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Changements" sheetId="2" state="visible" r:id="rId2"/>
    <sheet xmlns:r="http://schemas.openxmlformats.org/officeDocument/2006/relationships" name="Formacode_RNCP" sheetId="3" state="visible" r:id="rId3"/>
    <sheet xmlns:r="http://schemas.openxmlformats.org/officeDocument/2006/relationships" name="formacode 463" sheetId="4" state="visible" r:id="rId4"/>
    <sheet xmlns:r="http://schemas.openxmlformats.org/officeDocument/2006/relationships" name="formacode 462" sheetId="5" state="visible" r:id="rId5"/>
    <sheet xmlns:r="http://schemas.openxmlformats.org/officeDocument/2006/relationships" name="formacode 460" sheetId="6" state="visible" r:id="rId6"/>
    <sheet xmlns:r="http://schemas.openxmlformats.org/officeDocument/2006/relationships" name="formacode 455" sheetId="7" state="visible" r:id="rId7"/>
    <sheet xmlns:r="http://schemas.openxmlformats.org/officeDocument/2006/relationships" name="formacode 450" sheetId="8" state="visible" r:id="rId8"/>
    <sheet xmlns:r="http://schemas.openxmlformats.org/officeDocument/2006/relationships" name="formacode 445" sheetId="9" state="visible" r:id="rId9"/>
    <sheet xmlns:r="http://schemas.openxmlformats.org/officeDocument/2006/relationships" name="Formacode 440" sheetId="10" state="visible" r:id="rId10"/>
    <sheet xmlns:r="http://schemas.openxmlformats.org/officeDocument/2006/relationships" name="Formacode 434" sheetId="11" state="visible" r:id="rId11"/>
    <sheet xmlns:r="http://schemas.openxmlformats.org/officeDocument/2006/relationships" name="Formacode 430" sheetId="12" state="visible" r:id="rId12"/>
    <sheet xmlns:r="http://schemas.openxmlformats.org/officeDocument/2006/relationships" name="Formacode 428" sheetId="13" state="visible" r:id="rId13"/>
    <sheet xmlns:r="http://schemas.openxmlformats.org/officeDocument/2006/relationships" name="Formacode 427" sheetId="14" state="visible" r:id="rId14"/>
    <sheet xmlns:r="http://schemas.openxmlformats.org/officeDocument/2006/relationships" name="Formacode 426" sheetId="15" state="visible" r:id="rId15"/>
    <sheet xmlns:r="http://schemas.openxmlformats.org/officeDocument/2006/relationships" name="Formacode 421" sheetId="16" state="visible" r:id="rId16"/>
    <sheet xmlns:r="http://schemas.openxmlformats.org/officeDocument/2006/relationships" name="Formacode 420" sheetId="17" state="visible" r:id="rId17"/>
    <sheet xmlns:r="http://schemas.openxmlformats.org/officeDocument/2006/relationships" name="Formacode 410" sheetId="18" state="visible" r:id="rId18"/>
    <sheet xmlns:r="http://schemas.openxmlformats.org/officeDocument/2006/relationships" name="Formacode 350" sheetId="19" state="visible" r:id="rId19"/>
    <sheet xmlns:r="http://schemas.openxmlformats.org/officeDocument/2006/relationships" name="Formacode 345" sheetId="20" state="visible" r:id="rId20"/>
    <sheet xmlns:r="http://schemas.openxmlformats.org/officeDocument/2006/relationships" name="Formacode 342" sheetId="21" state="visible" r:id="rId21"/>
    <sheet xmlns:r="http://schemas.openxmlformats.org/officeDocument/2006/relationships" name="Formacode 340" sheetId="22" state="visible" r:id="rId22"/>
    <sheet xmlns:r="http://schemas.openxmlformats.org/officeDocument/2006/relationships" name="Formacode 330" sheetId="23" state="visible" r:id="rId23"/>
    <sheet xmlns:r="http://schemas.openxmlformats.org/officeDocument/2006/relationships" name="Formacode 326" sheetId="24" state="visible" r:id="rId24"/>
    <sheet xmlns:r="http://schemas.openxmlformats.org/officeDocument/2006/relationships" name="Formacode 321" sheetId="25" state="visible" r:id="rId25"/>
    <sheet xmlns:r="http://schemas.openxmlformats.org/officeDocument/2006/relationships" name="Formacode 318" sheetId="26" state="visible" r:id="rId26"/>
    <sheet xmlns:r="http://schemas.openxmlformats.org/officeDocument/2006/relationships" name="Formacode 317" sheetId="27" state="visible" r:id="rId27"/>
    <sheet xmlns:r="http://schemas.openxmlformats.org/officeDocument/2006/relationships" name="Formacode 316" sheetId="28" state="visible" r:id="rId28"/>
    <sheet xmlns:r="http://schemas.openxmlformats.org/officeDocument/2006/relationships" name="Formacode 314" sheetId="29" state="visible" r:id="rId29"/>
    <sheet xmlns:r="http://schemas.openxmlformats.org/officeDocument/2006/relationships" name="Formacode 310" sheetId="30" state="visible" r:id="rId30"/>
    <sheet xmlns:r="http://schemas.openxmlformats.org/officeDocument/2006/relationships" name="Formacode 244" sheetId="31" state="visible" r:id="rId31"/>
    <sheet xmlns:r="http://schemas.openxmlformats.org/officeDocument/2006/relationships" name="Formacode 243" sheetId="32" state="visible" r:id="rId32"/>
    <sheet xmlns:r="http://schemas.openxmlformats.org/officeDocument/2006/relationships" name="Formacode 242" sheetId="33" state="visible" r:id="rId33"/>
    <sheet xmlns:r="http://schemas.openxmlformats.org/officeDocument/2006/relationships" name="formacode 241" sheetId="34" state="visible" r:id="rId34"/>
    <sheet xmlns:r="http://schemas.openxmlformats.org/officeDocument/2006/relationships" name="Formacode 240" sheetId="35" state="visible" r:id="rId35"/>
    <sheet xmlns:r="http://schemas.openxmlformats.org/officeDocument/2006/relationships" name="Formacode 236" sheetId="36" state="visible" r:id="rId36"/>
    <sheet xmlns:r="http://schemas.openxmlformats.org/officeDocument/2006/relationships" name="formacode 230" sheetId="37" state="visible" r:id="rId37"/>
    <sheet xmlns:r="http://schemas.openxmlformats.org/officeDocument/2006/relationships" name="formacode 228" sheetId="38" state="visible" r:id="rId38"/>
    <sheet xmlns:r="http://schemas.openxmlformats.org/officeDocument/2006/relationships" name="formacode 226" sheetId="39" state="visible" r:id="rId39"/>
    <sheet xmlns:r="http://schemas.openxmlformats.org/officeDocument/2006/relationships" name="formacode 224" sheetId="40" state="visible" r:id="rId40"/>
    <sheet xmlns:r="http://schemas.openxmlformats.org/officeDocument/2006/relationships" name="formacode 223" sheetId="41" state="visible" r:id="rId41"/>
    <sheet xmlns:r="http://schemas.openxmlformats.org/officeDocument/2006/relationships" name="formacode 222" sheetId="42" state="visible" r:id="rId42"/>
    <sheet xmlns:r="http://schemas.openxmlformats.org/officeDocument/2006/relationships" name="formacode 220" sheetId="43" state="visible" r:id="rId43"/>
    <sheet xmlns:r="http://schemas.openxmlformats.org/officeDocument/2006/relationships" name="formacode 218" sheetId="44" state="visible" r:id="rId44"/>
    <sheet xmlns:r="http://schemas.openxmlformats.org/officeDocument/2006/relationships" name="formacode 217" sheetId="45" state="visible" r:id="rId45"/>
    <sheet xmlns:r="http://schemas.openxmlformats.org/officeDocument/2006/relationships" name="formacode 216" sheetId="46" state="visible" r:id="rId46"/>
    <sheet xmlns:r="http://schemas.openxmlformats.org/officeDocument/2006/relationships" name="Formacode 215" sheetId="47" state="visible" r:id="rId47"/>
    <sheet xmlns:r="http://schemas.openxmlformats.org/officeDocument/2006/relationships" name="formacode 213" sheetId="48" state="visible" r:id="rId48"/>
    <sheet xmlns:r="http://schemas.openxmlformats.org/officeDocument/2006/relationships" name="Formacode 210" sheetId="49" state="visible" r:id="rId49"/>
    <sheet xmlns:r="http://schemas.openxmlformats.org/officeDocument/2006/relationships" name="Formacode 154" sheetId="50" state="visible" r:id="rId50"/>
    <sheet xmlns:r="http://schemas.openxmlformats.org/officeDocument/2006/relationships" name="Formacode 150" sheetId="51" state="visible" r:id="rId51"/>
    <sheet xmlns:r="http://schemas.openxmlformats.org/officeDocument/2006/relationships" name="Formacode 132" sheetId="52" state="visible" r:id="rId52"/>
    <sheet xmlns:r="http://schemas.openxmlformats.org/officeDocument/2006/relationships" name="Formacode 125" sheetId="53" state="visible" r:id="rId53"/>
    <sheet xmlns:r="http://schemas.openxmlformats.org/officeDocument/2006/relationships" name="Formacode 122" sheetId="54" state="visible" r:id="rId54"/>
    <sheet xmlns:r="http://schemas.openxmlformats.org/officeDocument/2006/relationships" name="Formacode 120" sheetId="55" state="visible" r:id="rId55"/>
    <sheet xmlns:r="http://schemas.openxmlformats.org/officeDocument/2006/relationships" name="Formacode 115" sheetId="56" state="visible" r:id="rId56"/>
    <sheet xmlns:r="http://schemas.openxmlformats.org/officeDocument/2006/relationships" name="Formacode 114" sheetId="57" state="visible" r:id="rId57"/>
    <sheet xmlns:r="http://schemas.openxmlformats.org/officeDocument/2006/relationships" name="Formacode 110" sheetId="58" state="visible" r:id="rId58"/>
  </sheets>
  <definedNames>
    <definedName name="_xlnm._FilterDatabase" localSheetId="0" hidden="1">'Synthèse'!$A$12:$I$13</definedName>
    <definedName name="_xlnm._FilterDatabase" localSheetId="1" hidden="1">'Changements'!$A$2:$E$6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styles" Target="styles.xml" Id="rId59"/><Relationship Type="http://schemas.openxmlformats.org/officeDocument/2006/relationships/theme" Target="theme/theme1.xml" Id="rId60"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10/07/2026 22:19</t>
        </is>
      </c>
    </row>
    <row r="2">
      <c r="A2" s="61" t="inlineStr">
        <is>
          <t>APERÇU DE DÉMONSTRATION — données simulées (seul RNCP35803 reflète la fiche réelle) ; le premier vrai contrôle utilisera l'export France compétences du jour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1410</v>
      </c>
    </row>
    <row r="7">
      <c r="A7" s="37" t="inlineStr">
        <is>
          <t>À vérifier</t>
        </is>
      </c>
      <c r="B7" t="n">
        <v>1</v>
      </c>
    </row>
    <row r="8">
      <c r="A8" s="38" t="inlineStr">
        <is>
          <t>Expiré / remplacé</t>
        </is>
      </c>
      <c r="B8" t="n">
        <v>0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s="41" t="inlineStr">
        <is>
          <t>●</t>
        </is>
      </c>
      <c r="B13" t="inlineStr">
        <is>
          <t>RNCP35803</t>
        </is>
      </c>
      <c r="C13" t="inlineStr">
        <is>
          <t>BTS - Métiers de la mesure</t>
        </is>
      </c>
      <c r="D13" s="37" t="inlineStr">
        <is>
          <t>À vérifier</t>
        </is>
      </c>
      <c r="E13" t="inlineStr">
        <is>
          <t>Successeur déjà publié : RNCP41832 (BTS - Métiers de la mesure) — préparer la bascule de l'offre CPF | Échéance le 31/08/2026 (dans 52 j)</t>
        </is>
      </c>
      <c r="F13" t="inlineStr">
        <is>
          <t>RNCP41832</t>
        </is>
      </c>
      <c r="G13" t="inlineStr">
        <is>
          <t>BTS - Métiers de la mesure</t>
        </is>
      </c>
      <c r="H13" t="inlineStr">
        <is>
          <t>11421 (Thermométrie)</t>
        </is>
      </c>
      <c r="I13" t="inlineStr">
        <is>
          <t>31/08/2026</t>
        </is>
      </c>
    </row>
  </sheetData>
  <autoFilter ref="A12:I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2026-07-10</t>
        </is>
      </c>
      <c r="B3" s="43" t="inlineStr">
        <is>
          <t>RNCP35803</t>
        </is>
      </c>
      <c r="C3" s="43" t="inlineStr">
        <is>
          <t>Successeur(s) modifié(s)</t>
        </is>
      </c>
      <c r="D3" s="43" t="inlineStr"/>
      <c r="E3" s="43" t="inlineStr">
        <is>
          <t>RNCP41832</t>
        </is>
      </c>
    </row>
    <row r="4">
      <c r="A4" s="43" t="inlineStr">
        <is>
          <t>2026-07-10</t>
        </is>
      </c>
      <c r="B4" s="43" t="inlineStr">
        <is>
          <t>RNCP35803</t>
        </is>
      </c>
      <c r="C4" s="43" t="inlineStr">
        <is>
          <t>Échéance modifiée</t>
        </is>
      </c>
      <c r="D4" s="43" t="inlineStr">
        <is>
          <t>31/08/2030</t>
        </is>
      </c>
      <c r="E4" s="43" t="inlineStr">
        <is>
          <t>31/08/2026</t>
        </is>
      </c>
    </row>
    <row r="5">
      <c r="A5" s="43" t="inlineStr">
        <is>
          <t>2026-07-10</t>
        </is>
      </c>
      <c r="B5" s="43" t="inlineStr">
        <is>
          <t>RNCP35803</t>
        </is>
      </c>
      <c r="C5" s="43" t="inlineStr">
        <is>
          <t>Changement de statut</t>
        </is>
      </c>
      <c r="D5" s="43" t="inlineStr">
        <is>
          <t>RAS</t>
        </is>
      </c>
      <c r="E5" s="43" t="inlineStr">
        <is>
          <t>À vérifier</t>
        </is>
      </c>
    </row>
    <row r="6">
      <c r="A6" t="inlineStr">
        <is>
          <t>2026-07-10</t>
        </is>
      </c>
      <c r="B6" t="inlineStr">
        <is>
          <t>—</t>
        </is>
      </c>
      <c r="C6" t="inlineStr">
        <is>
          <t>Initialisation du suivi</t>
        </is>
      </c>
      <c r="E6" t="inlineStr">
        <is>
          <t>1411 codes suivis</t>
        </is>
      </c>
    </row>
  </sheetData>
  <autoFilter ref="A2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Titre ingénieur - Diplôme d'ingénieur d'Efrei Paris (Université Paris- Panthéon Assas)</t>
        </is>
      </c>
      <c r="L5" s="45" t="inlineStr">
        <is>
          <t>31/12/2030</t>
        </is>
      </c>
      <c r="M5" s="45" t="inlineStr"/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31/12/2030</t>
        </is>
      </c>
      <c r="M6" s="45" t="inlineStr"/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31/12/2030</t>
        </is>
      </c>
      <c r="M7" s="45" t="inlineStr"/>
      <c r="N7" s="50" t="inlineStr">
        <is>
          <t>NON</t>
        </is>
      </c>
      <c r="O7" s="45" t="inlineStr"/>
    </row>
    <row r="8" customFormat="1" s="3">
      <c r="A8" s="45" t="n"/>
      <c r="B8" s="46" t="inlineStr">
        <is>
          <t>11067</t>
        </is>
      </c>
      <c r="C8" s="46">
        <f>LEFT(Tableau1[[#This Row],[Formacode]],3)</f>
        <v/>
      </c>
      <c r="D8" s="47" t="n">
        <v>37707</v>
      </c>
      <c r="E8" s="48">
        <f>"RNCP"&amp;D8</f>
        <v/>
      </c>
      <c r="F8" s="48" t="inlineStr">
        <is>
          <t>BTS - Métiers du géomètre-topographe et de la modélisation numérique</t>
        </is>
      </c>
      <c r="G8" s="49">
        <f>E8&amp;" - "&amp;F8</f>
        <v/>
      </c>
      <c r="H8" s="36" t="inlineStr">
        <is>
          <t>RAS</t>
        </is>
      </c>
      <c r="I8" s="45" t="inlineStr"/>
      <c r="J8" s="45" t="inlineStr">
        <is>
          <t>RNCP37707</t>
        </is>
      </c>
      <c r="K8" s="45" t="inlineStr">
        <is>
          <t>BTS - Métiers du géomètre-topographe et de la modélisation numérique</t>
        </is>
      </c>
      <c r="L8" s="45" t="inlineStr">
        <is>
          <t>31/12/2030</t>
        </is>
      </c>
      <c r="M8" s="45" t="inlineStr"/>
      <c r="N8" s="50" t="inlineStr">
        <is>
          <t>NON</t>
        </is>
      </c>
      <c r="O8" s="45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(BTS - Métiers de la mesure) — préparer la bascule de l'offre CPF | Échéance le 31/08/2026 (dans 52 j)</t>
        </is>
      </c>
      <c r="J9" s="51" t="inlineStr">
        <is>
          <t>RNCP41832</t>
        </is>
      </c>
      <c r="K9" s="51" t="inlineStr">
        <is>
          <t>BTS - Métiers de la mesure</t>
        </is>
      </c>
      <c r="L9" s="51" t="inlineStr">
        <is>
          <t>31/08/2026</t>
        </is>
      </c>
      <c r="M9" s="51" t="inlineStr">
        <is>
          <t>11421 (Thermométrie)</t>
        </is>
      </c>
      <c r="N9" s="56" t="inlineStr">
        <is>
          <t>OUI</t>
        </is>
      </c>
      <c r="O9" s="41" t="inlineStr">
        <is>
          <t>Changement de statut : RAS → À vérifier ; Échéance modifiée : 31/08/2030 → 31/08/2026 ; Successeur(s) modifié(s) : RNCP41832</t>
        </is>
      </c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BTS - Motorisations toutes énergies</t>
        </is>
      </c>
      <c r="L10" s="45" t="inlineStr">
        <is>
          <t>31/12/2030</t>
        </is>
      </c>
      <c r="M10" s="45" t="inlineStr"/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BAC PRO - Optique Photonique : Technologies de la Lumière</t>
        </is>
      </c>
      <c r="L11" s="45" t="inlineStr">
        <is>
          <t>31/12/2030</t>
        </is>
      </c>
      <c r="M11" s="45" t="inlineStr"/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BTS - Photonique : Technologies et Sciences de la Lumière</t>
        </is>
      </c>
      <c r="L12" s="45" t="inlineStr">
        <is>
          <t>31/12/2030</t>
        </is>
      </c>
      <c r="M12" s="45" t="inlineStr"/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BAC PRO - Optique Photonique : Technologies de la Lumière</t>
        </is>
      </c>
      <c r="L13" s="45" t="inlineStr">
        <is>
          <t>31/12/2030</t>
        </is>
      </c>
      <c r="M13" s="45" t="inlineStr"/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BTS - Photonique : Technologies et Sciences de la Lumière</t>
        </is>
      </c>
      <c r="L14" s="45" t="inlineStr">
        <is>
          <t>31/12/2030</t>
        </is>
      </c>
      <c r="M14" s="45" t="inlineStr"/>
      <c r="N14" s="50" t="inlineStr">
        <is>
          <t>NON</t>
        </is>
      </c>
      <c r="O14" s="45" t="inlineStr"/>
    </row>
    <row r="15" customFormat="1" s="3">
      <c r="A15" s="45" t="n"/>
      <c r="B15" s="46" t="inlineStr">
        <is>
          <t>11502</t>
        </is>
      </c>
      <c r="C15" s="46">
        <f>LEFT(Tableau1[[#This Row],[Formacode]],3)</f>
        <v/>
      </c>
      <c r="D15" s="47" t="n">
        <v>35310</v>
      </c>
      <c r="E15" s="48">
        <f>"RNCP"&amp;D15</f>
        <v/>
      </c>
      <c r="F15" s="48" t="inlineStr">
        <is>
          <t>TP - Technicien de laboratoire</t>
        </is>
      </c>
      <c r="G15" s="49">
        <f>E15&amp;" - "&amp;F15</f>
        <v/>
      </c>
      <c r="H15" s="36" t="inlineStr">
        <is>
          <t>RAS</t>
        </is>
      </c>
      <c r="I15" s="45" t="inlineStr"/>
      <c r="J15" s="45" t="inlineStr">
        <is>
          <t>RNCP35310</t>
        </is>
      </c>
      <c r="K15" s="45" t="inlineStr">
        <is>
          <t>TP - Technicien de laboratoire</t>
        </is>
      </c>
      <c r="L15" s="45" t="inlineStr">
        <is>
          <t>31/12/2030</t>
        </is>
      </c>
      <c r="M15" s="45" t="inlineStr"/>
      <c r="N15" s="50" t="inlineStr">
        <is>
          <t>NON</t>
        </is>
      </c>
      <c r="O15" s="45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(BTS - Métiers de la mesure) — préparer la bascule de l'offre CPF | Échéance le 31/08/2026 (dans 52 j)</t>
        </is>
      </c>
      <c r="J16" s="51" t="inlineStr">
        <is>
          <t>RNCP41832</t>
        </is>
      </c>
      <c r="K16" s="51" t="inlineStr">
        <is>
          <t>BTS - Métiers de la mesure</t>
        </is>
      </c>
      <c r="L16" s="51" t="inlineStr">
        <is>
          <t>31/08/2026</t>
        </is>
      </c>
      <c r="M16" s="51" t="inlineStr">
        <is>
          <t>11421 (Thermométrie)</t>
        </is>
      </c>
      <c r="N16" s="56" t="inlineStr">
        <is>
          <t>OUI</t>
        </is>
      </c>
      <c r="O16" s="41" t="inlineStr">
        <is>
          <t>Changement de statut : RAS → À vérifier ; Échéance modifiée : 31/08/2030 → 31/08/2026 ; Successeur(s) modifié(s) : RNCP41832</t>
        </is>
      </c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BTS - Métiers de la chimie</t>
        </is>
      </c>
      <c r="L17" s="45" t="inlineStr">
        <is>
          <t>31/12/2030</t>
        </is>
      </c>
      <c r="M17" s="45" t="inlineStr"/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TP - Technicien supérieur physicien chimiste</t>
        </is>
      </c>
      <c r="L18" s="45" t="inlineStr">
        <is>
          <t>31/12/2030</t>
        </is>
      </c>
      <c r="M18" s="45" t="inlineStr"/>
      <c r="N18" s="50" t="inlineStr">
        <is>
          <t>NON</t>
        </is>
      </c>
      <c r="O18" s="45" t="inlineStr"/>
    </row>
    <row r="19" customFormat="1" s="3">
      <c r="A19" s="45" t="n"/>
      <c r="B19" s="46" t="inlineStr">
        <is>
          <t>11531</t>
        </is>
      </c>
      <c r="C19" s="46">
        <f>LEFT(Tableau1[[#This Row],[Formacode]],3)</f>
        <v/>
      </c>
      <c r="D19" s="47" t="n">
        <v>35308</v>
      </c>
      <c r="E19" s="48">
        <f>"RNCP"&amp;D19</f>
        <v/>
      </c>
      <c r="F19" s="48" t="inlineStr">
        <is>
          <t>TP - Technicien de fabrication de l'industrie de la chimie</t>
        </is>
      </c>
      <c r="G19" s="49">
        <f>E19&amp;" - "&amp;F19</f>
        <v/>
      </c>
      <c r="H19" s="36" t="inlineStr">
        <is>
          <t>RAS</t>
        </is>
      </c>
      <c r="I19" s="45" t="inlineStr"/>
      <c r="J19" s="45" t="inlineStr">
        <is>
          <t>RNCP35308</t>
        </is>
      </c>
      <c r="K19" s="45" t="inlineStr">
        <is>
          <t>TP - Technicien de fabrication de l'industrie de la chimie</t>
        </is>
      </c>
      <c r="L19" s="45" t="inlineStr">
        <is>
          <t>31/12/2030</t>
        </is>
      </c>
      <c r="M19" s="45" t="inlineStr"/>
      <c r="N19" s="50" t="inlineStr">
        <is>
          <t>NON</t>
        </is>
      </c>
      <c r="O19" s="45" t="inlineStr"/>
    </row>
    <row r="20" customFormat="1" s="3">
      <c r="A20" s="45" t="n"/>
      <c r="B20" s="46" t="inlineStr">
        <is>
          <t>11531</t>
        </is>
      </c>
      <c r="C20" s="46">
        <f>LEFT(Tableau1[[#This Row],[Formacode]],3)</f>
        <v/>
      </c>
      <c r="D20" s="47" t="n">
        <v>35314</v>
      </c>
      <c r="E20" s="48">
        <f>"RNCP"&amp;D20</f>
        <v/>
      </c>
      <c r="F20" s="48" t="inlineStr">
        <is>
          <t>TP - Conducteur d'appareils de l'industrie de la chimie</t>
        </is>
      </c>
      <c r="G20" s="49">
        <f>E20&amp;" - "&amp;F20</f>
        <v/>
      </c>
      <c r="H20" s="36" t="inlineStr">
        <is>
          <t>RAS</t>
        </is>
      </c>
      <c r="I20" s="45" t="inlineStr"/>
      <c r="J20" s="45" t="inlineStr">
        <is>
          <t>RNCP35314</t>
        </is>
      </c>
      <c r="K20" s="45" t="inlineStr">
        <is>
          <t>TP - Conducteur d'appareils de l'industrie de la chimie</t>
        </is>
      </c>
      <c r="L20" s="45" t="inlineStr">
        <is>
          <t>31/12/2030</t>
        </is>
      </c>
      <c r="M20" s="45" t="inlineStr"/>
      <c r="N20" s="50" t="inlineStr">
        <is>
          <t>NON</t>
        </is>
      </c>
      <c r="O20" s="45" t="inlineStr"/>
    </row>
    <row r="21" customFormat="1" s="3">
      <c r="A21" s="45" t="n"/>
      <c r="B21" s="46" t="inlineStr">
        <is>
          <t>11534</t>
        </is>
      </c>
      <c r="C21" s="46">
        <f>LEFT(Tableau1[[#This Row],[Formacode]],3)</f>
        <v/>
      </c>
      <c r="D21" s="47" t="n">
        <v>35308</v>
      </c>
      <c r="E21" s="48">
        <f>"RNCP"&amp;D21</f>
        <v/>
      </c>
      <c r="F21" s="48" t="inlineStr">
        <is>
          <t>TP - Technicien de fabrication de l'industrie de la chimie</t>
        </is>
      </c>
      <c r="G21" s="49">
        <f>E21&amp;" - "&amp;F21</f>
        <v/>
      </c>
      <c r="H21" s="36" t="inlineStr">
        <is>
          <t>RAS</t>
        </is>
      </c>
      <c r="I21" s="45" t="inlineStr"/>
      <c r="J21" s="45" t="inlineStr">
        <is>
          <t>RNCP35308</t>
        </is>
      </c>
      <c r="K21" s="45" t="inlineStr">
        <is>
          <t>TP - Technicien de fabrication de l'industrie de la chimie</t>
        </is>
      </c>
      <c r="L21" s="45" t="inlineStr">
        <is>
          <t>31/12/2030</t>
        </is>
      </c>
      <c r="M21" s="45" t="inlineStr"/>
      <c r="N21" s="50" t="inlineStr">
        <is>
          <t>NON</t>
        </is>
      </c>
      <c r="O21" s="45" t="inlineStr"/>
    </row>
    <row r="22" customFormat="1" s="3">
      <c r="A22" s="45" t="n"/>
      <c r="B22" s="46" t="inlineStr">
        <is>
          <t>11534</t>
        </is>
      </c>
      <c r="C22" s="46">
        <f>LEFT(Tableau1[[#This Row],[Formacode]],3)</f>
        <v/>
      </c>
      <c r="D22" s="47" t="n">
        <v>35314</v>
      </c>
      <c r="E22" s="48">
        <f>"RNCP"&amp;D22</f>
        <v/>
      </c>
      <c r="F22" s="48" t="inlineStr">
        <is>
          <t>TP - Conducteur d'appareils de l'industrie de la chimie</t>
        </is>
      </c>
      <c r="G22" s="49">
        <f>E22&amp;" - "&amp;F22</f>
        <v/>
      </c>
      <c r="H22" s="36" t="inlineStr">
        <is>
          <t>RAS</t>
        </is>
      </c>
      <c r="I22" s="45" t="inlineStr"/>
      <c r="J22" s="45" t="inlineStr">
        <is>
          <t>RNCP35314</t>
        </is>
      </c>
      <c r="K22" s="45" t="inlineStr">
        <is>
          <t>TP - Conducteur d'appareils de l'industrie de la chimie</t>
        </is>
      </c>
      <c r="L22" s="45" t="inlineStr">
        <is>
          <t>31/12/2030</t>
        </is>
      </c>
      <c r="M22" s="45" t="inlineStr"/>
      <c r="N22" s="50" t="inlineStr">
        <is>
          <t>NON</t>
        </is>
      </c>
      <c r="O22" s="45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BAC PRO - Procédés de la chimie, de l'eau et des papiers cartons</t>
        </is>
      </c>
      <c r="L23" s="45" t="inlineStr">
        <is>
          <t>31/12/2030</t>
        </is>
      </c>
      <c r="M23" s="45" t="inlineStr"/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31/12/2030</t>
        </is>
      </c>
      <c r="M24" s="45" t="inlineStr"/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BTS - Métiers de la chimie</t>
        </is>
      </c>
      <c r="L25" s="45" t="inlineStr">
        <is>
          <t>31/12/2030</t>
        </is>
      </c>
      <c r="M25" s="45" t="inlineStr"/>
      <c r="N25" s="50" t="inlineStr">
        <is>
          <t>NON</t>
        </is>
      </c>
      <c r="O25" s="45" t="inlineStr"/>
    </row>
    <row r="26" customFormat="1" s="3">
      <c r="A26" s="45" t="n"/>
      <c r="B26" s="46" t="inlineStr">
        <is>
          <t>11557</t>
        </is>
      </c>
      <c r="C26" s="46">
        <f>LEFT(Tableau1[[#This Row],[Formacode]],3)</f>
        <v/>
      </c>
      <c r="D26" s="47" t="n">
        <v>35308</v>
      </c>
      <c r="E26" s="48">
        <f>"RNCP"&amp;D26</f>
        <v/>
      </c>
      <c r="F26" s="48" t="inlineStr">
        <is>
          <t>TP - Technicien de fabrication de l'industrie de la chimie</t>
        </is>
      </c>
      <c r="G26" s="49">
        <f>E26&amp;" - "&amp;F26</f>
        <v/>
      </c>
      <c r="H26" s="36" t="inlineStr">
        <is>
          <t>RAS</t>
        </is>
      </c>
      <c r="I26" s="45" t="inlineStr"/>
      <c r="J26" s="45" t="inlineStr">
        <is>
          <t>RNCP35308</t>
        </is>
      </c>
      <c r="K26" s="45" t="inlineStr">
        <is>
          <t>TP - Technicien de fabrication de l'industrie de la chimie</t>
        </is>
      </c>
      <c r="L26" s="45" t="inlineStr">
        <is>
          <t>31/12/2030</t>
        </is>
      </c>
      <c r="M26" s="45" t="inlineStr"/>
      <c r="N26" s="50" t="inlineStr">
        <is>
          <t>NON</t>
        </is>
      </c>
      <c r="O26" s="45" t="inlineStr"/>
    </row>
    <row r="27" customFormat="1" s="3">
      <c r="A27" s="45" t="n"/>
      <c r="B27" s="46" t="inlineStr">
        <is>
          <t>11557</t>
        </is>
      </c>
      <c r="C27" s="46">
        <f>LEFT(Tableau1[[#This Row],[Formacode]],3)</f>
        <v/>
      </c>
      <c r="D27" s="47" t="n">
        <v>35314</v>
      </c>
      <c r="E27" s="48">
        <f>"RNCP"&amp;D27</f>
        <v/>
      </c>
      <c r="F27" s="48" t="inlineStr">
        <is>
          <t>TP - Conducteur d'appareils de l'industrie de la chimie</t>
        </is>
      </c>
      <c r="G27" s="49">
        <f>E27&amp;" - "&amp;F27</f>
        <v/>
      </c>
      <c r="H27" s="36" t="inlineStr">
        <is>
          <t>RAS</t>
        </is>
      </c>
      <c r="I27" s="45" t="inlineStr"/>
      <c r="J27" s="45" t="inlineStr">
        <is>
          <t>RNCP35314</t>
        </is>
      </c>
      <c r="K27" s="45" t="inlineStr">
        <is>
          <t>TP - Conducteur d'appareils de l'industrie de la chimie</t>
        </is>
      </c>
      <c r="L27" s="45" t="inlineStr">
        <is>
          <t>31/12/2030</t>
        </is>
      </c>
      <c r="M27" s="45" t="inlineStr"/>
      <c r="N27" s="50" t="inlineStr">
        <is>
          <t>NON</t>
        </is>
      </c>
      <c r="O27" s="45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CAP - Industries chimiques</t>
        </is>
      </c>
      <c r="L28" s="45" t="inlineStr">
        <is>
          <t>31/12/2030</t>
        </is>
      </c>
      <c r="M28" s="45" t="inlineStr"/>
      <c r="N28" s="50" t="inlineStr">
        <is>
          <t>NON</t>
        </is>
      </c>
      <c r="O28" s="45" t="inlineStr"/>
    </row>
    <row r="29" customFormat="1" s="3">
      <c r="A29" s="45" t="n"/>
      <c r="B29" s="46" t="inlineStr">
        <is>
          <t>11561</t>
        </is>
      </c>
      <c r="C29" s="46">
        <f>LEFT(Tableau1[[#This Row],[Formacode]],3)</f>
        <v/>
      </c>
      <c r="D29" s="47" t="n">
        <v>35308</v>
      </c>
      <c r="E29" s="48">
        <f>"RNCP"&amp;D29</f>
        <v/>
      </c>
      <c r="F29" s="48" t="inlineStr">
        <is>
          <t>TP - Technicien de fabrication de l'industrie de la chimie</t>
        </is>
      </c>
      <c r="G29" s="49">
        <f>E29&amp;" - "&amp;F29</f>
        <v/>
      </c>
      <c r="H29" s="36" t="inlineStr">
        <is>
          <t>RAS</t>
        </is>
      </c>
      <c r="I29" s="45" t="inlineStr"/>
      <c r="J29" s="45" t="inlineStr">
        <is>
          <t>RNCP35308</t>
        </is>
      </c>
      <c r="K29" s="45" t="inlineStr">
        <is>
          <t>TP - Technicien de fabrication de l'industrie de la chimie</t>
        </is>
      </c>
      <c r="L29" s="45" t="inlineStr">
        <is>
          <t>31/12/2030</t>
        </is>
      </c>
      <c r="M29" s="45" t="inlineStr"/>
      <c r="N29" s="50" t="inlineStr">
        <is>
          <t>NON</t>
        </is>
      </c>
      <c r="O29" s="45" t="inlineStr"/>
    </row>
    <row r="30" customFormat="1" s="3">
      <c r="A30" s="45" t="n"/>
      <c r="B30" s="46" t="inlineStr">
        <is>
          <t>11561</t>
        </is>
      </c>
      <c r="C30" s="46">
        <f>LEFT(Tableau1[[#This Row],[Formacode]],3)</f>
        <v/>
      </c>
      <c r="D30" s="47" t="n">
        <v>35314</v>
      </c>
      <c r="E30" s="48">
        <f>"RNCP"&amp;D30</f>
        <v/>
      </c>
      <c r="F30" s="48" t="inlineStr">
        <is>
          <t>TP - Conducteur d'appareils de l'industrie de la chimie</t>
        </is>
      </c>
      <c r="G30" s="49">
        <f>E30&amp;" - "&amp;F30</f>
        <v/>
      </c>
      <c r="H30" s="36" t="inlineStr">
        <is>
          <t>RAS</t>
        </is>
      </c>
      <c r="I30" s="45" t="inlineStr"/>
      <c r="J30" s="45" t="inlineStr">
        <is>
          <t>RNCP35314</t>
        </is>
      </c>
      <c r="K30" s="45" t="inlineStr">
        <is>
          <t>TP - Conducteur d'appareils de l'industrie de la chimie</t>
        </is>
      </c>
      <c r="L30" s="45" t="inlineStr">
        <is>
          <t>31/12/2030</t>
        </is>
      </c>
      <c r="M30" s="45" t="inlineStr"/>
      <c r="N30" s="50" t="inlineStr">
        <is>
          <t>NON</t>
        </is>
      </c>
      <c r="O30" s="45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BTSA - Analyses biologiques, biotechnologiques, agricoles et environnementales (ANABIOTEC)</t>
        </is>
      </c>
      <c r="L31" s="45" t="inlineStr">
        <is>
          <t>31/12/2030</t>
        </is>
      </c>
      <c r="M31" s="45" t="inlineStr"/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BP - Technicien animalier en unité d'expérimentation</t>
        </is>
      </c>
      <c r="L32" s="45" t="inlineStr">
        <is>
          <t>31/12/2030</t>
        </is>
      </c>
      <c r="M32" s="45" t="inlineStr"/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BAC PRO - Technicien en expérimentation animale</t>
        </is>
      </c>
      <c r="L33" s="45" t="inlineStr">
        <is>
          <t>31/12/2030</t>
        </is>
      </c>
      <c r="M33" s="45" t="inlineStr"/>
      <c r="N33" s="50" t="inlineStr">
        <is>
          <t>NON</t>
        </is>
      </c>
      <c r="O33" s="45" t="inlineStr"/>
    </row>
    <row r="34" customFormat="1" s="3">
      <c r="A34" s="45" t="n"/>
      <c r="B34" s="46" t="inlineStr">
        <is>
          <t>12046</t>
        </is>
      </c>
      <c r="C34" s="46">
        <f>LEFT(Tableau1[[#This Row],[Formacode]],3)</f>
        <v/>
      </c>
      <c r="D34" s="47" t="n">
        <v>35310</v>
      </c>
      <c r="E34" s="48">
        <f>"RNCP"&amp;D34</f>
        <v/>
      </c>
      <c r="F34" s="48" t="inlineStr">
        <is>
          <t>TP - Technicien de laboratoire</t>
        </is>
      </c>
      <c r="G34" s="49">
        <f>E34&amp;" - "&amp;F34</f>
        <v/>
      </c>
      <c r="H34" s="36" t="inlineStr">
        <is>
          <t>RAS</t>
        </is>
      </c>
      <c r="I34" s="45" t="inlineStr"/>
      <c r="J34" s="45" t="inlineStr">
        <is>
          <t>RNCP35310</t>
        </is>
      </c>
      <c r="K34" s="45" t="inlineStr">
        <is>
          <t>TP - Technicien de laboratoire</t>
        </is>
      </c>
      <c r="L34" s="45" t="inlineStr">
        <is>
          <t>31/12/2030</t>
        </is>
      </c>
      <c r="M34" s="45" t="inlineStr"/>
      <c r="N34" s="50" t="inlineStr">
        <is>
          <t>NON</t>
        </is>
      </c>
      <c r="O34" s="45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BAC PRO - Laboratoire contrôle qualité</t>
        </is>
      </c>
      <c r="L35" s="45" t="inlineStr">
        <is>
          <t>31/12/2030</t>
        </is>
      </c>
      <c r="M35" s="45" t="inlineStr"/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BTS - Bioanalyses en laboratoire de contrôle</t>
        </is>
      </c>
      <c r="L36" s="45" t="inlineStr">
        <is>
          <t>31/12/2030</t>
        </is>
      </c>
      <c r="M36" s="45" t="inlineStr"/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31/12/2030</t>
        </is>
      </c>
      <c r="M37" s="45" t="inlineStr"/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31/12/2030</t>
        </is>
      </c>
      <c r="M38" s="45" t="inlineStr"/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BTS - Bioqualité</t>
        </is>
      </c>
      <c r="L39" s="45" t="inlineStr">
        <is>
          <t>31/12/2030</t>
        </is>
      </c>
      <c r="M39" s="45" t="inlineStr"/>
      <c r="N39" s="50" t="inlineStr">
        <is>
          <t>NON</t>
        </is>
      </c>
      <c r="O39" s="45" t="inlineStr"/>
    </row>
    <row r="40" customFormat="1" s="3">
      <c r="A40" s="45" t="n"/>
      <c r="B40" s="46" t="inlineStr">
        <is>
          <t>12081</t>
        </is>
      </c>
      <c r="C40" s="46">
        <f>LEFT(Tableau1[[#This Row],[Formacode]],3)</f>
        <v/>
      </c>
      <c r="D40" s="47" t="n">
        <v>35310</v>
      </c>
      <c r="E40" s="48">
        <f>"RNCP"&amp;D40</f>
        <v/>
      </c>
      <c r="F40" s="48" t="inlineStr">
        <is>
          <t>TP - Technicien de laboratoire</t>
        </is>
      </c>
      <c r="G40" s="49">
        <f>E40&amp;" - "&amp;F40</f>
        <v/>
      </c>
      <c r="H40" s="36" t="inlineStr">
        <is>
          <t>RAS</t>
        </is>
      </c>
      <c r="I40" s="45" t="inlineStr"/>
      <c r="J40" s="45" t="inlineStr">
        <is>
          <t>RNCP35310</t>
        </is>
      </c>
      <c r="K40" s="45" t="inlineStr">
        <is>
          <t>TP - Technicien de laboratoire</t>
        </is>
      </c>
      <c r="L40" s="45" t="inlineStr">
        <is>
          <t>31/12/2030</t>
        </is>
      </c>
      <c r="M40" s="45" t="inlineStr"/>
      <c r="N40" s="50" t="inlineStr">
        <is>
          <t>NON</t>
        </is>
      </c>
      <c r="O40" s="45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BTSA - Analyses biologiques, biotechnologiques, agricoles et environnementales (ANABIOTEC)</t>
        </is>
      </c>
      <c r="L41" s="45" t="inlineStr">
        <is>
          <t>31/12/2030</t>
        </is>
      </c>
      <c r="M41" s="45" t="inlineStr"/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BAC PRO - Production en industries pharmaceutiques, alimentaires et cosmétiques (PIPAC)</t>
        </is>
      </c>
      <c r="L42" s="45" t="inlineStr">
        <is>
          <t>31/12/2030</t>
        </is>
      </c>
      <c r="M42" s="45" t="inlineStr"/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BTS - Biotechnologie  en recherche et en production</t>
        </is>
      </c>
      <c r="L43" s="45" t="inlineStr">
        <is>
          <t>31/12/2030</t>
        </is>
      </c>
      <c r="M43" s="45" t="inlineStr"/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BTS - Bioqualité</t>
        </is>
      </c>
      <c r="L44" s="45" t="inlineStr">
        <is>
          <t>31/12/2030</t>
        </is>
      </c>
      <c r="M44" s="45" t="inlineStr"/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CAP - Taxidermiste</t>
        </is>
      </c>
      <c r="L45" s="45" t="inlineStr">
        <is>
          <t>31/12/2030</t>
        </is>
      </c>
      <c r="M45" s="45" t="inlineStr"/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TP - Géomètre topographe d'entreprise du bâtiment et des travaux publics</t>
        </is>
      </c>
      <c r="L46" s="45" t="inlineStr">
        <is>
          <t>31/12/2030</t>
        </is>
      </c>
      <c r="M46" s="45" t="inlineStr"/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TP - Opérateur en détection de réseaux</t>
        </is>
      </c>
      <c r="L47" s="45" t="inlineStr">
        <is>
          <t>31/12/2030</t>
        </is>
      </c>
      <c r="M47" s="45" t="inlineStr"/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TP - Technicien en détection et géoréférencement de réseaux</t>
        </is>
      </c>
      <c r="L48" s="45" t="inlineStr">
        <is>
          <t>31/12/2030</t>
        </is>
      </c>
      <c r="M48" s="45" t="inlineStr"/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TP - Technicien géomètre en cabinet</t>
        </is>
      </c>
      <c r="L49" s="45" t="inlineStr">
        <is>
          <t>31/12/2030</t>
        </is>
      </c>
      <c r="M49" s="45" t="inlineStr"/>
      <c r="N49" s="50" t="inlineStr">
        <is>
          <t>NON</t>
        </is>
      </c>
      <c r="O49" s="45" t="inlineStr"/>
    </row>
    <row r="50" customFormat="1" s="3">
      <c r="A50" s="45" t="n"/>
      <c r="B50" s="46" t="inlineStr">
        <is>
          <t>12225</t>
        </is>
      </c>
      <c r="C50" s="46">
        <f>LEFT(Tableau1[[#This Row],[Formacode]],3)</f>
        <v/>
      </c>
      <c r="D50" s="47" t="n">
        <v>37707</v>
      </c>
      <c r="E50" s="48">
        <f>"RNCP"&amp;D50</f>
        <v/>
      </c>
      <c r="F50" s="48" t="inlineStr">
        <is>
          <t>BTS - Métiers du géomètre-topographe et de la modélisation numérique</t>
        </is>
      </c>
      <c r="G50" s="49">
        <f>E50&amp;" - "&amp;F50</f>
        <v/>
      </c>
      <c r="H50" s="36" t="inlineStr">
        <is>
          <t>RAS</t>
        </is>
      </c>
      <c r="I50" s="45" t="inlineStr"/>
      <c r="J50" s="45" t="inlineStr">
        <is>
          <t>RNCP37707</t>
        </is>
      </c>
      <c r="K50" s="45" t="inlineStr">
        <is>
          <t>BTS - Métiers du géomètre-topographe et de la modélisation numérique</t>
        </is>
      </c>
      <c r="L50" s="45" t="inlineStr">
        <is>
          <t>31/12/2030</t>
        </is>
      </c>
      <c r="M50" s="45" t="inlineStr"/>
      <c r="N50" s="50" t="inlineStr">
        <is>
          <t>NON</t>
        </is>
      </c>
      <c r="O50" s="45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BTS - Géologie appliquée</t>
        </is>
      </c>
      <c r="L51" s="45" t="inlineStr">
        <is>
          <t>31/12/2030</t>
        </is>
      </c>
      <c r="M51" s="45" t="inlineStr"/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BAC PRO - Géomètre</t>
        </is>
      </c>
      <c r="L52" s="45" t="inlineStr">
        <is>
          <t>31/12/2030</t>
        </is>
      </c>
      <c r="M52" s="45" t="inlineStr"/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TP - Opérateur en détection de réseaux</t>
        </is>
      </c>
      <c r="L53" s="45" t="inlineStr">
        <is>
          <t>31/12/2030</t>
        </is>
      </c>
      <c r="M53" s="45" t="inlineStr"/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TP - Technicien en détection et géoréférencement de réseaux</t>
        </is>
      </c>
      <c r="L54" s="45" t="inlineStr">
        <is>
          <t>31/12/2030</t>
        </is>
      </c>
      <c r="M54" s="45" t="inlineStr"/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TP - Technicien en géomatique</t>
        </is>
      </c>
      <c r="L55" s="45" t="inlineStr">
        <is>
          <t>31/12/2030</t>
        </is>
      </c>
      <c r="M55" s="45" t="inlineStr"/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31/12/2030</t>
        </is>
      </c>
      <c r="M56" s="45" t="inlineStr"/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BTS - Géologie appliquée</t>
        </is>
      </c>
      <c r="L57" s="45" t="inlineStr">
        <is>
          <t>31/12/2030</t>
        </is>
      </c>
      <c r="M57" s="45" t="inlineStr"/>
      <c r="N57" s="50" t="inlineStr">
        <is>
          <t>NON</t>
        </is>
      </c>
      <c r="O57" s="45" t="inlineStr"/>
    </row>
    <row r="58" customFormat="1" s="3">
      <c r="A58" s="45" t="n"/>
      <c r="B58" s="46" t="inlineStr">
        <is>
          <t>12518</t>
        </is>
      </c>
      <c r="C58" s="46">
        <f>LEFT(Tableau1[[#This Row],[Formacode]],3)</f>
        <v/>
      </c>
      <c r="D58" s="47" t="n">
        <v>35590</v>
      </c>
      <c r="E58" s="48">
        <f>"RNCP"&amp;D58</f>
        <v/>
      </c>
      <c r="F58" s="48" t="inlineStr">
        <is>
          <t>Manager de l'habitat social et durable</t>
        </is>
      </c>
      <c r="G58" s="49">
        <f>E58&amp;" - "&amp;F58</f>
        <v/>
      </c>
      <c r="H58" s="36" t="inlineStr">
        <is>
          <t>RAS</t>
        </is>
      </c>
      <c r="I58" s="45" t="inlineStr"/>
      <c r="J58" s="45" t="inlineStr">
        <is>
          <t>RNCP35590</t>
        </is>
      </c>
      <c r="K58" s="45" t="inlineStr">
        <is>
          <t>Manager de l'habitat social et durable</t>
        </is>
      </c>
      <c r="L58" s="45" t="inlineStr">
        <is>
          <t>31/12/2030</t>
        </is>
      </c>
      <c r="M58" s="45" t="inlineStr"/>
      <c r="N58" s="50" t="inlineStr">
        <is>
          <t>NON</t>
        </is>
      </c>
      <c r="O58" s="45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31/12/2030</t>
        </is>
      </c>
      <c r="M59" s="45" t="inlineStr"/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31/12/2030</t>
        </is>
      </c>
      <c r="M60" s="45" t="inlineStr"/>
      <c r="N60" s="50" t="inlineStr">
        <is>
          <t>NON</t>
        </is>
      </c>
      <c r="O60" s="45" t="inlineStr"/>
    </row>
    <row r="61" customFormat="1" s="3">
      <c r="A61" s="45" t="n"/>
      <c r="B61" s="46" t="inlineStr">
        <is>
          <t>12522</t>
        </is>
      </c>
      <c r="C61" s="46">
        <f>LEFT(Tableau1[[#This Row],[Formacode]],3)</f>
        <v/>
      </c>
      <c r="D61" s="47" t="n">
        <v>35590</v>
      </c>
      <c r="E61" s="48">
        <f>"RNCP"&amp;D61</f>
        <v/>
      </c>
      <c r="F61" s="48" t="inlineStr">
        <is>
          <t>Manager de l'habitat social et durable</t>
        </is>
      </c>
      <c r="G61" s="49">
        <f>E61&amp;" - "&amp;F61</f>
        <v/>
      </c>
      <c r="H61" s="36" t="inlineStr">
        <is>
          <t>RAS</t>
        </is>
      </c>
      <c r="I61" s="45" t="inlineStr"/>
      <c r="J61" s="45" t="inlineStr">
        <is>
          <t>RNCP35590</t>
        </is>
      </c>
      <c r="K61" s="45" t="inlineStr">
        <is>
          <t>Manager de l'habitat social et durable</t>
        </is>
      </c>
      <c r="L61" s="45" t="inlineStr">
        <is>
          <t>31/12/2030</t>
        </is>
      </c>
      <c r="M61" s="45" t="inlineStr"/>
      <c r="N61" s="50" t="inlineStr">
        <is>
          <t>NON</t>
        </is>
      </c>
      <c r="O61" s="45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31/12/2030</t>
        </is>
      </c>
      <c r="M62" s="45" t="inlineStr"/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DIPLOVIS - Coordinateur de projets de développement international et sociétal</t>
        </is>
      </c>
      <c r="L63" s="45" t="inlineStr">
        <is>
          <t>31/12/2030</t>
        </is>
      </c>
      <c r="M63" s="45" t="inlineStr"/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31/12/2030</t>
        </is>
      </c>
      <c r="M64" s="45" t="inlineStr"/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BTSA - Développement et animation de projets territoriaux</t>
        </is>
      </c>
      <c r="L65" s="45" t="inlineStr">
        <is>
          <t>31/12/2030</t>
        </is>
      </c>
      <c r="M65" s="45" t="inlineStr"/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31/12/2030</t>
        </is>
      </c>
      <c r="M66" s="45" t="inlineStr"/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31/12/2030</t>
        </is>
      </c>
      <c r="M67" s="45" t="inlineStr"/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31/12/2030</t>
        </is>
      </c>
      <c r="M68" s="45" t="inlineStr"/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31/12/2030</t>
        </is>
      </c>
      <c r="M69" s="45" t="inlineStr"/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31/12/2030</t>
        </is>
      </c>
      <c r="M70" s="45" t="inlineStr"/>
      <c r="N70" s="50" t="inlineStr">
        <is>
          <t>NON</t>
        </is>
      </c>
      <c r="O70" s="45" t="inlineStr"/>
    </row>
    <row r="71" customFormat="1" s="3">
      <c r="A71" s="45" t="n"/>
      <c r="B71" s="46" t="inlineStr">
        <is>
          <t>12526</t>
        </is>
      </c>
      <c r="C71" s="46">
        <f>LEFT(Tableau1[[#This Row],[Formacode]],3)</f>
        <v/>
      </c>
      <c r="D71" s="47" t="n">
        <v>35590</v>
      </c>
      <c r="E71" s="48">
        <f>"RNCP"&amp;D71</f>
        <v/>
      </c>
      <c r="F71" s="48" t="inlineStr">
        <is>
          <t>Manager de l'habitat social et durable</t>
        </is>
      </c>
      <c r="G71" s="49">
        <f>E71&amp;" - "&amp;F71</f>
        <v/>
      </c>
      <c r="H71" s="36" t="inlineStr">
        <is>
          <t>RAS</t>
        </is>
      </c>
      <c r="I71" s="45" t="inlineStr"/>
      <c r="J71" s="45" t="inlineStr">
        <is>
          <t>RNCP35590</t>
        </is>
      </c>
      <c r="K71" s="45" t="inlineStr">
        <is>
          <t>Manager de l'habitat social et durable</t>
        </is>
      </c>
      <c r="L71" s="45" t="inlineStr">
        <is>
          <t>31/12/2030</t>
        </is>
      </c>
      <c r="M71" s="45" t="inlineStr"/>
      <c r="N71" s="50" t="inlineStr">
        <is>
          <t>NON</t>
        </is>
      </c>
      <c r="O71" s="45" t="inlineStr"/>
    </row>
    <row r="72" customFormat="1" s="3">
      <c r="A72" s="45" t="n"/>
      <c r="B72" s="46" t="inlineStr">
        <is>
          <t>12526</t>
        </is>
      </c>
      <c r="C72" s="46">
        <f>LEFT(Tableau1[[#This Row],[Formacode]],3)</f>
        <v/>
      </c>
      <c r="D72" s="47" t="n">
        <v>35934</v>
      </c>
      <c r="E72" s="48">
        <f>"RNCP"&amp;D72</f>
        <v/>
      </c>
      <c r="F72" s="48" t="inlineStr">
        <is>
          <t>TP - Ouvrier du génie écologique</t>
        </is>
      </c>
      <c r="G72" s="49">
        <f>E72&amp;" - "&amp;F72</f>
        <v/>
      </c>
      <c r="H72" s="36" t="inlineStr">
        <is>
          <t>RAS</t>
        </is>
      </c>
      <c r="I72" s="45" t="inlineStr"/>
      <c r="J72" s="45" t="inlineStr">
        <is>
          <t>RNCP35934</t>
        </is>
      </c>
      <c r="K72" s="45" t="inlineStr">
        <is>
          <t>TP - Ouvrier du génie écologique</t>
        </is>
      </c>
      <c r="L72" s="45" t="inlineStr">
        <is>
          <t>31/12/2030</t>
        </is>
      </c>
      <c r="M72" s="45" t="inlineStr"/>
      <c r="N72" s="50" t="inlineStr">
        <is>
          <t>NON</t>
        </is>
      </c>
      <c r="O72" s="45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31/12/2030</t>
        </is>
      </c>
      <c r="M73" s="45" t="inlineStr"/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31/12/2030</t>
        </is>
      </c>
      <c r="M74" s="45" t="inlineStr"/>
      <c r="N74" s="50" t="inlineStr">
        <is>
          <t>NON</t>
        </is>
      </c>
      <c r="O74" s="45" t="inlineStr"/>
    </row>
    <row r="75" customFormat="1" s="3">
      <c r="A75" s="45" t="n"/>
      <c r="B75" s="46" t="inlineStr">
        <is>
          <t>12531</t>
        </is>
      </c>
      <c r="C75" s="46">
        <f>LEFT(Tableau1[[#This Row],[Formacode]],3)</f>
        <v/>
      </c>
      <c r="D75" s="47" t="n">
        <v>35590</v>
      </c>
      <c r="E75" s="48">
        <f>"RNCP"&amp;D75</f>
        <v/>
      </c>
      <c r="F75" s="48" t="inlineStr">
        <is>
          <t>Manager de l'habitat social et durable</t>
        </is>
      </c>
      <c r="G75" s="49">
        <f>E75&amp;" - "&amp;F75</f>
        <v/>
      </c>
      <c r="H75" s="36" t="inlineStr">
        <is>
          <t>RAS</t>
        </is>
      </c>
      <c r="I75" s="45" t="inlineStr"/>
      <c r="J75" s="45" t="inlineStr">
        <is>
          <t>RNCP35590</t>
        </is>
      </c>
      <c r="K75" s="45" t="inlineStr">
        <is>
          <t>Manager de l'habitat social et durable</t>
        </is>
      </c>
      <c r="L75" s="45" t="inlineStr">
        <is>
          <t>31/12/2030</t>
        </is>
      </c>
      <c r="M75" s="45" t="inlineStr"/>
      <c r="N75" s="50" t="inlineStr">
        <is>
          <t>NON</t>
        </is>
      </c>
      <c r="O75" s="45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31/12/2030</t>
        </is>
      </c>
      <c r="M76" s="45" t="inlineStr"/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31/12/2030</t>
        </is>
      </c>
      <c r="M77" s="45" t="inlineStr"/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31/12/2030</t>
        </is>
      </c>
      <c r="M78" s="45" t="inlineStr"/>
      <c r="N78" s="50" t="inlineStr">
        <is>
          <t>NON</t>
        </is>
      </c>
      <c r="O78" s="45" t="inlineStr"/>
    </row>
    <row r="79" customFormat="1" s="3">
      <c r="A79" s="45" t="n"/>
      <c r="B79" s="46" t="inlineStr">
        <is>
          <t>12532</t>
        </is>
      </c>
      <c r="C79" s="46">
        <f>LEFT(Tableau1[[#This Row],[Formacode]],3)</f>
        <v/>
      </c>
      <c r="D79" s="47" t="n">
        <v>35590</v>
      </c>
      <c r="E79" s="48">
        <f>"RNCP"&amp;D79</f>
        <v/>
      </c>
      <c r="F79" s="48" t="inlineStr">
        <is>
          <t>Manager de l'habitat social et durable</t>
        </is>
      </c>
      <c r="G79" s="49">
        <f>E79&amp;" - "&amp;F79</f>
        <v/>
      </c>
      <c r="H79" s="36" t="inlineStr">
        <is>
          <t>RAS</t>
        </is>
      </c>
      <c r="I79" s="45" t="inlineStr"/>
      <c r="J79" s="45" t="inlineStr">
        <is>
          <t>RNCP35590</t>
        </is>
      </c>
      <c r="K79" s="45" t="inlineStr">
        <is>
          <t>Manager de l'habitat social et durable</t>
        </is>
      </c>
      <c r="L79" s="45" t="inlineStr">
        <is>
          <t>31/12/2030</t>
        </is>
      </c>
      <c r="M79" s="45" t="inlineStr"/>
      <c r="N79" s="50" t="inlineStr">
        <is>
          <t>NON</t>
        </is>
      </c>
      <c r="O79" s="45" t="inlineStr"/>
    </row>
    <row r="80" customFormat="1" s="3">
      <c r="A80" s="45" t="n"/>
      <c r="B80" s="46" t="inlineStr">
        <is>
          <t>12532</t>
        </is>
      </c>
      <c r="C80" s="46">
        <f>LEFT(Tableau1[[#This Row],[Formacode]],3)</f>
        <v/>
      </c>
      <c r="D80" s="47" t="n">
        <v>35934</v>
      </c>
      <c r="E80" s="48">
        <f>"RNCP"&amp;D80</f>
        <v/>
      </c>
      <c r="F80" s="48" t="inlineStr">
        <is>
          <t>TP - Ouvrier du génie écologique</t>
        </is>
      </c>
      <c r="G80" s="49">
        <f>E80&amp;" - "&amp;F80</f>
        <v/>
      </c>
      <c r="H80" s="36" t="inlineStr">
        <is>
          <t>RAS</t>
        </is>
      </c>
      <c r="I80" s="45" t="inlineStr"/>
      <c r="J80" s="45" t="inlineStr">
        <is>
          <t>RNCP35934</t>
        </is>
      </c>
      <c r="K80" s="45" t="inlineStr">
        <is>
          <t>TP - Ouvrier du génie écologique</t>
        </is>
      </c>
      <c r="L80" s="45" t="inlineStr">
        <is>
          <t>31/12/2030</t>
        </is>
      </c>
      <c r="M80" s="45" t="inlineStr"/>
      <c r="N80" s="50" t="inlineStr">
        <is>
          <t>NON</t>
        </is>
      </c>
      <c r="O80" s="45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CS - Travaux mécanisés de génie écologique</t>
        </is>
      </c>
      <c r="L81" s="45" t="inlineStr">
        <is>
          <t>31/12/2030</t>
        </is>
      </c>
      <c r="M81" s="45" t="inlineStr"/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31/12/2030</t>
        </is>
      </c>
      <c r="M82" s="45" t="inlineStr"/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BTS - Métiers de l'eau</t>
        </is>
      </c>
      <c r="L83" s="45" t="inlineStr">
        <is>
          <t>31/12/2030</t>
        </is>
      </c>
      <c r="M83" s="45" t="inlineStr"/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TP - Canalisateur</t>
        </is>
      </c>
      <c r="L84" s="45" t="inlineStr">
        <is>
          <t>31/12/2030</t>
        </is>
      </c>
      <c r="M84" s="45" t="inlineStr"/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BTSA - Gestion et protection de la nature</t>
        </is>
      </c>
      <c r="L85" s="45" t="inlineStr">
        <is>
          <t>31/12/2030</t>
        </is>
      </c>
      <c r="M85" s="45" t="inlineStr"/>
      <c r="N85" s="50" t="inlineStr">
        <is>
          <t>NON</t>
        </is>
      </c>
      <c r="O85" s="45" t="inlineStr"/>
    </row>
    <row r="86" customFormat="1" s="3">
      <c r="A86" s="45" t="n"/>
      <c r="B86" s="46" t="inlineStr">
        <is>
          <t>12532</t>
        </is>
      </c>
      <c r="C86" s="46">
        <f>LEFT(Tableau1[[#This Row],[Formacode]],3)</f>
        <v/>
      </c>
      <c r="D86" s="47" t="n">
        <v>38741</v>
      </c>
      <c r="E86" s="48">
        <f>"RNCP"&amp;D86</f>
        <v/>
      </c>
      <c r="F86" s="48" t="inlineStr">
        <is>
          <t>CAP - Agent de la qualité de l'eau</t>
        </is>
      </c>
      <c r="G86" s="49">
        <f>E86&amp;" - "&amp;F86</f>
        <v/>
      </c>
      <c r="H86" s="36" t="inlineStr">
        <is>
          <t>RAS</t>
        </is>
      </c>
      <c r="I86" s="45" t="inlineStr"/>
      <c r="J86" s="45" t="inlineStr">
        <is>
          <t>RNCP38741</t>
        </is>
      </c>
      <c r="K86" s="45" t="inlineStr">
        <is>
          <t>CAP - Agent de la qualité de l'eau</t>
        </is>
      </c>
      <c r="L86" s="45" t="inlineStr">
        <is>
          <t>31/12/2030</t>
        </is>
      </c>
      <c r="M86" s="45" t="inlineStr"/>
      <c r="N86" s="50" t="inlineStr">
        <is>
          <t>NON</t>
        </is>
      </c>
      <c r="O86" s="45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31/12/2030</t>
        </is>
      </c>
      <c r="M87" s="45" t="inlineStr"/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31/12/2030</t>
        </is>
      </c>
      <c r="M88" s="45" t="inlineStr"/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TP - Technicien de traitement des eaux</t>
        </is>
      </c>
      <c r="L89" s="45" t="inlineStr">
        <is>
          <t>31/12/2030</t>
        </is>
      </c>
      <c r="M89" s="45" t="inlineStr"/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BTSA - Gestion et maîtrise de l'eau</t>
        </is>
      </c>
      <c r="L90" s="45" t="inlineStr">
        <is>
          <t>31/12/2030</t>
        </is>
      </c>
      <c r="M90" s="45" t="inlineStr"/>
      <c r="N90" s="50" t="inlineStr">
        <is>
          <t>NON</t>
        </is>
      </c>
      <c r="O90" s="45" t="inlineStr"/>
    </row>
    <row r="91" customFormat="1" s="3">
      <c r="A91" s="45" t="n"/>
      <c r="B91" s="46" t="inlineStr">
        <is>
          <t>12534</t>
        </is>
      </c>
      <c r="C91" s="46">
        <f>LEFT(Tableau1[[#This Row],[Formacode]],3)</f>
        <v/>
      </c>
      <c r="D91" s="47" t="n">
        <v>35590</v>
      </c>
      <c r="E91" s="48">
        <f>"RNCP"&amp;D91</f>
        <v/>
      </c>
      <c r="F91" s="48" t="inlineStr">
        <is>
          <t>Manager de l'habitat social et durable</t>
        </is>
      </c>
      <c r="G91" s="49">
        <f>E91&amp;" - "&amp;F91</f>
        <v/>
      </c>
      <c r="H91" s="36" t="inlineStr">
        <is>
          <t>RAS</t>
        </is>
      </c>
      <c r="I91" s="45" t="inlineStr"/>
      <c r="J91" s="45" t="inlineStr">
        <is>
          <t>RNCP35590</t>
        </is>
      </c>
      <c r="K91" s="45" t="inlineStr">
        <is>
          <t>Manager de l'habitat social et durable</t>
        </is>
      </c>
      <c r="L91" s="45" t="inlineStr">
        <is>
          <t>31/12/2030</t>
        </is>
      </c>
      <c r="M91" s="45" t="inlineStr"/>
      <c r="N91" s="50" t="inlineStr">
        <is>
          <t>NON</t>
        </is>
      </c>
      <c r="O91" s="45" t="inlineStr"/>
    </row>
    <row r="92" customFormat="1" s="3">
      <c r="A92" s="45" t="n"/>
      <c r="B92" s="46" t="inlineStr">
        <is>
          <t>12534</t>
        </is>
      </c>
      <c r="C92" s="46">
        <f>LEFT(Tableau1[[#This Row],[Formacode]],3)</f>
        <v/>
      </c>
      <c r="D92" s="47" t="n">
        <v>35706</v>
      </c>
      <c r="E92" s="48">
        <f>"RNCP"&amp;D92</f>
        <v/>
      </c>
      <c r="F92" s="48" t="inlineStr">
        <is>
          <t>TP - Responsable de développement touristique territorial</t>
        </is>
      </c>
      <c r="G92" s="49">
        <f>E92&amp;" - "&amp;F92</f>
        <v/>
      </c>
      <c r="H92" s="36" t="inlineStr">
        <is>
          <t>RAS</t>
        </is>
      </c>
      <c r="I92" s="45" t="inlineStr"/>
      <c r="J92" s="45" t="inlineStr">
        <is>
          <t>RNCP35706</t>
        </is>
      </c>
      <c r="K92" s="45" t="inlineStr">
        <is>
          <t>TP - Responsable de développement touristique territorial</t>
        </is>
      </c>
      <c r="L92" s="45" t="inlineStr">
        <is>
          <t>31/12/2030</t>
        </is>
      </c>
      <c r="M92" s="45" t="inlineStr"/>
      <c r="N92" s="50" t="inlineStr">
        <is>
          <t>NON</t>
        </is>
      </c>
      <c r="O92" s="45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31/12/2030</t>
        </is>
      </c>
      <c r="M93" s="45" t="inlineStr"/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TP - Technicien en géomatique</t>
        </is>
      </c>
      <c r="L94" s="45" t="inlineStr">
        <is>
          <t>31/12/2030</t>
        </is>
      </c>
      <c r="M94" s="45" t="inlineStr"/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31/12/2030</t>
        </is>
      </c>
      <c r="M95" s="45" t="inlineStr"/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BTSA - Développement et animation de projets territoriaux</t>
        </is>
      </c>
      <c r="L96" s="45" t="inlineStr">
        <is>
          <t>31/12/2030</t>
        </is>
      </c>
      <c r="M96" s="45" t="inlineStr"/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CAP - Constructeur de routes et d'aménagements urbains</t>
        </is>
      </c>
      <c r="L97" s="45" t="inlineStr">
        <is>
          <t>31/12/2030</t>
        </is>
      </c>
      <c r="M97" s="45" t="inlineStr"/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31/12/2030</t>
        </is>
      </c>
      <c r="M98" s="45" t="inlineStr"/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31/12/2030</t>
        </is>
      </c>
      <c r="M99" s="45" t="inlineStr"/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31/12/2030</t>
        </is>
      </c>
      <c r="M100" s="45" t="inlineStr"/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31/12/2030</t>
        </is>
      </c>
      <c r="M101" s="45" t="inlineStr"/>
      <c r="N101" s="50" t="inlineStr">
        <is>
          <t>NON</t>
        </is>
      </c>
      <c r="O101" s="45" t="inlineStr"/>
    </row>
    <row r="102" customFormat="1" s="3">
      <c r="A102" s="45" t="n"/>
      <c r="B102" s="46" t="inlineStr">
        <is>
          <t>12547</t>
        </is>
      </c>
      <c r="C102" s="46">
        <f>LEFT(Tableau1[[#This Row],[Formacode]],3)</f>
        <v/>
      </c>
      <c r="D102" s="47" t="n">
        <v>35590</v>
      </c>
      <c r="E102" s="48">
        <f>"RNCP"&amp;D102</f>
        <v/>
      </c>
      <c r="F102" s="48" t="inlineStr">
        <is>
          <t>Manager de l'habitat social et durable</t>
        </is>
      </c>
      <c r="G102" s="49">
        <f>E102&amp;" - "&amp;F102</f>
        <v/>
      </c>
      <c r="H102" s="36" t="inlineStr">
        <is>
          <t>RAS</t>
        </is>
      </c>
      <c r="I102" s="45" t="inlineStr"/>
      <c r="J102" s="45" t="inlineStr">
        <is>
          <t>RNCP35590</t>
        </is>
      </c>
      <c r="K102" s="45" t="inlineStr">
        <is>
          <t>Manager de l'habitat social et durable</t>
        </is>
      </c>
      <c r="L102" s="45" t="inlineStr">
        <is>
          <t>31/12/2030</t>
        </is>
      </c>
      <c r="M102" s="45" t="inlineStr"/>
      <c r="N102" s="50" t="inlineStr">
        <is>
          <t>NON</t>
        </is>
      </c>
      <c r="O102" s="45" t="inlineStr"/>
    </row>
    <row r="103" customFormat="1" s="3">
      <c r="A103" s="45" t="n"/>
      <c r="B103" s="46" t="inlineStr">
        <is>
          <t>12547</t>
        </is>
      </c>
      <c r="C103" s="46">
        <f>LEFT(Tableau1[[#This Row],[Formacode]],3)</f>
        <v/>
      </c>
      <c r="D103" s="47" t="n">
        <v>35934</v>
      </c>
      <c r="E103" s="48">
        <f>"RNCP"&amp;D103</f>
        <v/>
      </c>
      <c r="F103" s="48" t="inlineStr">
        <is>
          <t>TP - Ouvrier du génie écologique</t>
        </is>
      </c>
      <c r="G103" s="49">
        <f>E103&amp;" - "&amp;F103</f>
        <v/>
      </c>
      <c r="H103" s="36" t="inlineStr">
        <is>
          <t>RAS</t>
        </is>
      </c>
      <c r="I103" s="45" t="inlineStr"/>
      <c r="J103" s="45" t="inlineStr">
        <is>
          <t>RNCP35934</t>
        </is>
      </c>
      <c r="K103" s="45" t="inlineStr">
        <is>
          <t>TP - Ouvrier du génie écologique</t>
        </is>
      </c>
      <c r="L103" s="45" t="inlineStr">
        <is>
          <t>31/12/2030</t>
        </is>
      </c>
      <c r="M103" s="45" t="inlineStr"/>
      <c r="N103" s="50" t="inlineStr">
        <is>
          <t>NON</t>
        </is>
      </c>
      <c r="O103" s="45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BAC PRO - Gestion des milieux naturels et de la faune</t>
        </is>
      </c>
      <c r="L104" s="45" t="inlineStr">
        <is>
          <t>31/12/2030</t>
        </is>
      </c>
      <c r="M104" s="45" t="inlineStr"/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CS - Travaux mécanisés de génie écologique</t>
        </is>
      </c>
      <c r="L105" s="45" t="inlineStr">
        <is>
          <t>31/12/2030</t>
        </is>
      </c>
      <c r="M105" s="45" t="inlineStr"/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31/12/2030</t>
        </is>
      </c>
      <c r="M106" s="45" t="inlineStr"/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BTSA - Gestion et protection de la nature</t>
        </is>
      </c>
      <c r="L107" s="45" t="inlineStr">
        <is>
          <t>31/12/2030</t>
        </is>
      </c>
      <c r="M107" s="45" t="inlineStr"/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CS - Techniques cynégétiques</t>
        </is>
      </c>
      <c r="L108" s="45" t="inlineStr">
        <is>
          <t>31/12/2030</t>
        </is>
      </c>
      <c r="M108" s="45" t="inlineStr"/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31/12/2030</t>
        </is>
      </c>
      <c r="M109" s="45" t="inlineStr"/>
      <c r="N109" s="50" t="inlineStr">
        <is>
          <t>NON</t>
        </is>
      </c>
      <c r="O109" s="45" t="inlineStr"/>
    </row>
    <row r="110" customFormat="1" s="3">
      <c r="A110" s="45" t="n"/>
      <c r="B110" s="46" t="inlineStr">
        <is>
          <t>12556</t>
        </is>
      </c>
      <c r="C110" s="46">
        <f>LEFT(Tableau1[[#This Row],[Formacode]],3)</f>
        <v/>
      </c>
      <c r="D110" s="47" t="n">
        <v>35590</v>
      </c>
      <c r="E110" s="48">
        <f>"RNCP"&amp;D110</f>
        <v/>
      </c>
      <c r="F110" s="48" t="inlineStr">
        <is>
          <t>Manager de l'habitat social et durable</t>
        </is>
      </c>
      <c r="G110" s="49">
        <f>E110&amp;" - "&amp;F110</f>
        <v/>
      </c>
      <c r="H110" s="36" t="inlineStr">
        <is>
          <t>RAS</t>
        </is>
      </c>
      <c r="I110" s="45" t="inlineStr"/>
      <c r="J110" s="45" t="inlineStr">
        <is>
          <t>RNCP35590</t>
        </is>
      </c>
      <c r="K110" s="45" t="inlineStr">
        <is>
          <t>Manager de l'habitat social et durable</t>
        </is>
      </c>
      <c r="L110" s="45" t="inlineStr">
        <is>
          <t>31/12/2030</t>
        </is>
      </c>
      <c r="M110" s="45" t="inlineStr"/>
      <c r="N110" s="50" t="inlineStr">
        <is>
          <t>NON</t>
        </is>
      </c>
      <c r="O110" s="45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31/12/2030</t>
        </is>
      </c>
      <c r="M111" s="45" t="inlineStr"/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31/12/2030</t>
        </is>
      </c>
      <c r="M112" s="45" t="inlineStr"/>
      <c r="N112" s="50" t="inlineStr">
        <is>
          <t>NON</t>
        </is>
      </c>
      <c r="O112" s="45" t="inlineStr"/>
    </row>
    <row r="113" customFormat="1" s="3">
      <c r="A113" s="45" t="n"/>
      <c r="B113" s="46" t="inlineStr">
        <is>
          <t>12562</t>
        </is>
      </c>
      <c r="C113" s="46">
        <f>LEFT(Tableau1[[#This Row],[Formacode]],3)</f>
        <v/>
      </c>
      <c r="D113" s="47" t="n">
        <v>35234</v>
      </c>
      <c r="E113" s="48">
        <f>"RNCP"&amp;D113</f>
        <v/>
      </c>
      <c r="F113" s="48" t="inlineStr">
        <is>
          <t>TP - Agent technique de réception et de valorisation de déchets</t>
        </is>
      </c>
      <c r="G113" s="49">
        <f>E113&amp;" - "&amp;F113</f>
        <v/>
      </c>
      <c r="H113" s="36" t="inlineStr">
        <is>
          <t>RAS</t>
        </is>
      </c>
      <c r="I113" s="45" t="inlineStr"/>
      <c r="J113" s="45" t="inlineStr">
        <is>
          <t>RNCP35234</t>
        </is>
      </c>
      <c r="K113" s="45" t="inlineStr">
        <is>
          <t>TP - Agent technique de réception et de valorisation de déchets</t>
        </is>
      </c>
      <c r="L113" s="45" t="inlineStr">
        <is>
          <t>31/12/2030</t>
        </is>
      </c>
      <c r="M113" s="45" t="inlineStr"/>
      <c r="N113" s="50" t="inlineStr">
        <is>
          <t>NON</t>
        </is>
      </c>
      <c r="O113" s="45" t="inlineStr"/>
    </row>
    <row r="114" customFormat="1" s="3">
      <c r="A114" s="45" t="n"/>
      <c r="B114" s="46" t="inlineStr">
        <is>
          <t>12562</t>
        </is>
      </c>
      <c r="C114" s="46">
        <f>LEFT(Tableau1[[#This Row],[Formacode]],3)</f>
        <v/>
      </c>
      <c r="D114" s="47" t="n">
        <v>35297</v>
      </c>
      <c r="E114" s="48">
        <f>"RNCP"&amp;D114</f>
        <v/>
      </c>
      <c r="F114" s="48" t="inlineStr">
        <is>
          <t>TP - Opérateur en dépollution pyrotechnique</t>
        </is>
      </c>
      <c r="G114" s="49">
        <f>E114&amp;" - "&amp;F114</f>
        <v/>
      </c>
      <c r="H114" s="36" t="inlineStr">
        <is>
          <t>RAS</t>
        </is>
      </c>
      <c r="I114" s="45" t="inlineStr"/>
      <c r="J114" s="45" t="inlineStr">
        <is>
          <t>RNCP35297</t>
        </is>
      </c>
      <c r="K114" s="45" t="inlineStr">
        <is>
          <t>TP - Opérateur en dépollution pyrotechnique</t>
        </is>
      </c>
      <c r="L114" s="45" t="inlineStr">
        <is>
          <t>31/12/2030</t>
        </is>
      </c>
      <c r="M114" s="45" t="inlineStr"/>
      <c r="N114" s="50" t="inlineStr">
        <is>
          <t>NON</t>
        </is>
      </c>
      <c r="O114" s="45" t="inlineStr"/>
    </row>
    <row r="115" customFormat="1" s="3">
      <c r="A115" s="45" t="n"/>
      <c r="B115" s="46" t="inlineStr">
        <is>
          <t>12562</t>
        </is>
      </c>
      <c r="C115" s="46">
        <f>LEFT(Tableau1[[#This Row],[Formacode]],3)</f>
        <v/>
      </c>
      <c r="D115" s="47" t="n">
        <v>35590</v>
      </c>
      <c r="E115" s="48">
        <f>"RNCP"&amp;D115</f>
        <v/>
      </c>
      <c r="F115" s="48" t="inlineStr">
        <is>
          <t>Manager de l'habitat social et durable</t>
        </is>
      </c>
      <c r="G115" s="49">
        <f>E115&amp;" - "&amp;F115</f>
        <v/>
      </c>
      <c r="H115" s="36" t="inlineStr">
        <is>
          <t>RAS</t>
        </is>
      </c>
      <c r="I115" s="45" t="inlineStr"/>
      <c r="J115" s="45" t="inlineStr">
        <is>
          <t>RNCP35590</t>
        </is>
      </c>
      <c r="K115" s="45" t="inlineStr">
        <is>
          <t>Manager de l'habitat social et durable</t>
        </is>
      </c>
      <c r="L115" s="45" t="inlineStr">
        <is>
          <t>31/12/2030</t>
        </is>
      </c>
      <c r="M115" s="45" t="inlineStr"/>
      <c r="N115" s="50" t="inlineStr">
        <is>
          <t>NON</t>
        </is>
      </c>
      <c r="O115" s="45" t="inlineStr"/>
    </row>
    <row r="116" customFormat="1" s="3">
      <c r="A116" s="45" t="n"/>
      <c r="B116" s="46" t="inlineStr">
        <is>
          <t>12562</t>
        </is>
      </c>
      <c r="C116" s="46">
        <f>LEFT(Tableau1[[#This Row],[Formacode]],3)</f>
        <v/>
      </c>
      <c r="D116" s="47" t="n">
        <v>36170</v>
      </c>
      <c r="E116" s="48">
        <f>"RNCP"&amp;D116</f>
        <v/>
      </c>
      <c r="F116" s="48" t="inlineStr">
        <is>
          <t>TP - Agent de refabrication et de recyclage de batteries d'accumulateurs</t>
        </is>
      </c>
      <c r="G116" s="49">
        <f>E116&amp;" - "&amp;F116</f>
        <v/>
      </c>
      <c r="H116" s="36" t="inlineStr">
        <is>
          <t>RAS</t>
        </is>
      </c>
      <c r="I116" s="45" t="inlineStr"/>
      <c r="J116" s="45" t="inlineStr">
        <is>
          <t>RNCP36170</t>
        </is>
      </c>
      <c r="K116" s="45" t="inlineStr">
        <is>
          <t>TP - Agent de refabrication et de recyclage de batteries d'accumulateurs</t>
        </is>
      </c>
      <c r="L116" s="45" t="inlineStr">
        <is>
          <t>31/12/2030</t>
        </is>
      </c>
      <c r="M116" s="45" t="inlineStr"/>
      <c r="N116" s="50" t="inlineStr">
        <is>
          <t>NON</t>
        </is>
      </c>
      <c r="O116" s="45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31/12/2030</t>
        </is>
      </c>
      <c r="M117" s="45" t="inlineStr"/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31/12/2030</t>
        </is>
      </c>
      <c r="M118" s="45" t="inlineStr"/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TP - Encadrant technique d'une opération de traitement de l'amiante ou d'autres polluants particulaires</t>
        </is>
      </c>
      <c r="L119" s="45" t="inlineStr">
        <is>
          <t>31/12/2030</t>
        </is>
      </c>
      <c r="M119" s="45" t="inlineStr"/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TP - Opérateur de chantier de traitement de l'amiante ou d'autres polluants particulaires</t>
        </is>
      </c>
      <c r="L120" s="45" t="inlineStr">
        <is>
          <t>31/12/2030</t>
        </is>
      </c>
      <c r="M120" s="45" t="inlineStr"/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TP - Encadrant de chantier de traitement de l'amiante ou d'autres polluants particulaires</t>
        </is>
      </c>
      <c r="L121" s="45" t="inlineStr">
        <is>
          <t>31/12/2030</t>
        </is>
      </c>
      <c r="M121" s="45" t="inlineStr"/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31/12/2030</t>
        </is>
      </c>
      <c r="M122" s="45" t="inlineStr"/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31/12/2030</t>
        </is>
      </c>
      <c r="M123" s="45" t="inlineStr"/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31/12/2030</t>
        </is>
      </c>
      <c r="M124" s="45" t="inlineStr"/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31/12/2030</t>
        </is>
      </c>
      <c r="M125" s="45" t="inlineStr"/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BTS - Métiers des services à l'environnement</t>
        </is>
      </c>
      <c r="L126" s="45" t="inlineStr">
        <is>
          <t>31/12/2030</t>
        </is>
      </c>
      <c r="M126" s="45" t="inlineStr"/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CAP - Valorisation des matières et propreté des espaces urbains</t>
        </is>
      </c>
      <c r="L127" s="45" t="inlineStr">
        <is>
          <t>31/12/2030</t>
        </is>
      </c>
      <c r="M127" s="45" t="inlineStr"/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BAC PRO - Maintenance environnementale et propreté des espaces urbains</t>
        </is>
      </c>
      <c r="L128" s="45" t="inlineStr">
        <is>
          <t>31/12/2030</t>
        </is>
      </c>
      <c r="M128" s="45" t="inlineStr"/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TP - Aide opérateur en dépollution pyrotechnique</t>
        </is>
      </c>
      <c r="L129" s="45" t="inlineStr">
        <is>
          <t>31/12/2030</t>
        </is>
      </c>
      <c r="M129" s="45" t="inlineStr"/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31/12/2030</t>
        </is>
      </c>
      <c r="M130" s="45" t="inlineStr"/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31/12/2030</t>
        </is>
      </c>
      <c r="M131" s="45" t="inlineStr"/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31/12/2030</t>
        </is>
      </c>
      <c r="M132" s="45" t="inlineStr"/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31/12/2030</t>
        </is>
      </c>
      <c r="M133" s="45" t="inlineStr"/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31/12/2030</t>
        </is>
      </c>
      <c r="M134" s="45" t="inlineStr"/>
      <c r="N134" s="50" t="inlineStr">
        <is>
          <t>NON</t>
        </is>
      </c>
      <c r="O134" s="45" t="inlineStr"/>
    </row>
    <row r="135" customFormat="1" s="3">
      <c r="A135" s="45" t="n"/>
      <c r="B135" s="46" t="inlineStr">
        <is>
          <t>12576</t>
        </is>
      </c>
      <c r="C135" s="46">
        <f>LEFT(Tableau1[[#This Row],[Formacode]],3)</f>
        <v/>
      </c>
      <c r="D135" s="47" t="n">
        <v>35590</v>
      </c>
      <c r="E135" s="48">
        <f>"RNCP"&amp;D135</f>
        <v/>
      </c>
      <c r="F135" s="48" t="inlineStr">
        <is>
          <t>Manager de l'habitat social et durable</t>
        </is>
      </c>
      <c r="G135" s="49">
        <f>E135&amp;" - "&amp;F135</f>
        <v/>
      </c>
      <c r="H135" s="36" t="inlineStr">
        <is>
          <t>RAS</t>
        </is>
      </c>
      <c r="I135" s="45" t="inlineStr"/>
      <c r="J135" s="45" t="inlineStr">
        <is>
          <t>RNCP35590</t>
        </is>
      </c>
      <c r="K135" s="45" t="inlineStr">
        <is>
          <t>Manager de l'habitat social et durable</t>
        </is>
      </c>
      <c r="L135" s="45" t="inlineStr">
        <is>
          <t>31/12/2030</t>
        </is>
      </c>
      <c r="M135" s="45" t="inlineStr"/>
      <c r="N135" s="50" t="inlineStr">
        <is>
          <t>NON</t>
        </is>
      </c>
      <c r="O135" s="45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31/12/2030</t>
        </is>
      </c>
      <c r="M136" s="45" t="inlineStr"/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31/12/2030</t>
        </is>
      </c>
      <c r="M137" s="45" t="inlineStr"/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Grade_Master - Designer textile</t>
        </is>
      </c>
      <c r="L138" s="45" t="inlineStr">
        <is>
          <t>31/12/2030</t>
        </is>
      </c>
      <c r="M138" s="45" t="inlineStr"/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31/12/2030</t>
        </is>
      </c>
      <c r="M139" s="45" t="inlineStr"/>
      <c r="N139" s="50" t="inlineStr">
        <is>
          <t>NON</t>
        </is>
      </c>
      <c r="O139" s="45" t="inlineStr"/>
    </row>
    <row r="140" customFormat="1" s="3">
      <c r="A140" s="45" t="n"/>
      <c r="B140" s="46" t="inlineStr">
        <is>
          <t>12578</t>
        </is>
      </c>
      <c r="C140" s="46">
        <f>LEFT(Tableau1[[#This Row],[Formacode]],3)</f>
        <v/>
      </c>
      <c r="D140" s="47" t="n">
        <v>35590</v>
      </c>
      <c r="E140" s="48">
        <f>"RNCP"&amp;D140</f>
        <v/>
      </c>
      <c r="F140" s="48" t="inlineStr">
        <is>
          <t>Manager de l'habitat social et durable</t>
        </is>
      </c>
      <c r="G140" s="49">
        <f>E140&amp;" - "&amp;F140</f>
        <v/>
      </c>
      <c r="H140" s="36" t="inlineStr">
        <is>
          <t>RAS</t>
        </is>
      </c>
      <c r="I140" s="45" t="inlineStr"/>
      <c r="J140" s="45" t="inlineStr">
        <is>
          <t>RNCP35590</t>
        </is>
      </c>
      <c r="K140" s="45" t="inlineStr">
        <is>
          <t>Manager de l'habitat social et durable</t>
        </is>
      </c>
      <c r="L140" s="45" t="inlineStr">
        <is>
          <t>31/12/2030</t>
        </is>
      </c>
      <c r="M140" s="45" t="inlineStr"/>
      <c r="N140" s="50" t="inlineStr">
        <is>
          <t>NON</t>
        </is>
      </c>
      <c r="O140" s="45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31/12/2030</t>
        </is>
      </c>
      <c r="M141" s="45" t="inlineStr"/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BTSA - Gestion et protection de la nature</t>
        </is>
      </c>
      <c r="L142" s="45" t="inlineStr">
        <is>
          <t>31/12/2030</t>
        </is>
      </c>
      <c r="M142" s="45" t="inlineStr"/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31/12/2030</t>
        </is>
      </c>
      <c r="M143" s="45" t="inlineStr"/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31/12/2030</t>
        </is>
      </c>
      <c r="M144" s="45" t="inlineStr"/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31/12/2030</t>
        </is>
      </c>
      <c r="M145" s="45" t="inlineStr"/>
      <c r="N145" s="50" t="inlineStr">
        <is>
          <t>NON</t>
        </is>
      </c>
      <c r="O145" s="45" t="inlineStr"/>
    </row>
    <row r="146" customFormat="1" s="3">
      <c r="A146" s="45" t="n"/>
      <c r="B146" s="46" t="inlineStr">
        <is>
          <t>12584</t>
        </is>
      </c>
      <c r="C146" s="46">
        <f>LEFT(Tableau1[[#This Row],[Formacode]],3)</f>
        <v/>
      </c>
      <c r="D146" s="47" t="n">
        <v>35590</v>
      </c>
      <c r="E146" s="48">
        <f>"RNCP"&amp;D146</f>
        <v/>
      </c>
      <c r="F146" s="48" t="inlineStr">
        <is>
          <t>Manager de l'habitat social et durable</t>
        </is>
      </c>
      <c r="G146" s="49">
        <f>E146&amp;" - "&amp;F146</f>
        <v/>
      </c>
      <c r="H146" s="36" t="inlineStr">
        <is>
          <t>RAS</t>
        </is>
      </c>
      <c r="I146" s="45" t="inlineStr"/>
      <c r="J146" s="45" t="inlineStr">
        <is>
          <t>RNCP35590</t>
        </is>
      </c>
      <c r="K146" s="45" t="inlineStr">
        <is>
          <t>Manager de l'habitat social et durable</t>
        </is>
      </c>
      <c r="L146" s="45" t="inlineStr">
        <is>
          <t>31/12/2030</t>
        </is>
      </c>
      <c r="M146" s="45" t="inlineStr"/>
      <c r="N146" s="50" t="inlineStr">
        <is>
          <t>NON</t>
        </is>
      </c>
      <c r="O146" s="45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31/12/2030</t>
        </is>
      </c>
      <c r="M147" s="45" t="inlineStr"/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31/12/2030</t>
        </is>
      </c>
      <c r="M148" s="45" t="inlineStr"/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TP - Technicien de traitement des eaux</t>
        </is>
      </c>
      <c r="L149" s="45" t="inlineStr">
        <is>
          <t>31/12/2030</t>
        </is>
      </c>
      <c r="M149" s="45" t="inlineStr"/>
      <c r="N149" s="50" t="inlineStr">
        <is>
          <t>NON</t>
        </is>
      </c>
      <c r="O149" s="45" t="inlineStr"/>
    </row>
    <row r="150" customFormat="1" s="3">
      <c r="A150" s="45" t="n"/>
      <c r="B150" s="46" t="inlineStr">
        <is>
          <t>12585</t>
        </is>
      </c>
      <c r="C150" s="46">
        <f>LEFT(Tableau1[[#This Row],[Formacode]],3)</f>
        <v/>
      </c>
      <c r="D150" s="47" t="n">
        <v>35590</v>
      </c>
      <c r="E150" s="48">
        <f>"RNCP"&amp;D150</f>
        <v/>
      </c>
      <c r="F150" s="48" t="inlineStr">
        <is>
          <t>Manager de l'habitat social et durable</t>
        </is>
      </c>
      <c r="G150" s="49">
        <f>E150&amp;" - "&amp;F150</f>
        <v/>
      </c>
      <c r="H150" s="36" t="inlineStr">
        <is>
          <t>RAS</t>
        </is>
      </c>
      <c r="I150" s="45" t="inlineStr"/>
      <c r="J150" s="45" t="inlineStr">
        <is>
          <t>RNCP35590</t>
        </is>
      </c>
      <c r="K150" s="45" t="inlineStr">
        <is>
          <t>Manager de l'habitat social et durable</t>
        </is>
      </c>
      <c r="L150" s="45" t="inlineStr">
        <is>
          <t>31/12/2030</t>
        </is>
      </c>
      <c r="M150" s="45" t="inlineStr"/>
      <c r="N150" s="50" t="inlineStr">
        <is>
          <t>NON</t>
        </is>
      </c>
      <c r="O150" s="45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31/12/2030</t>
        </is>
      </c>
      <c r="M151" s="45" t="inlineStr"/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31/12/2030</t>
        </is>
      </c>
      <c r="M152" s="45" t="inlineStr"/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31/12/2030</t>
        </is>
      </c>
      <c r="M153" s="45" t="inlineStr"/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31/12/2030</t>
        </is>
      </c>
      <c r="M154" s="45" t="inlineStr"/>
      <c r="N154" s="50" t="inlineStr">
        <is>
          <t>NON</t>
        </is>
      </c>
      <c r="O154" s="45" t="inlineStr"/>
    </row>
    <row r="155" customFormat="1" s="3">
      <c r="A155" s="45" t="n"/>
      <c r="B155" s="46" t="inlineStr">
        <is>
          <t>12587</t>
        </is>
      </c>
      <c r="C155" s="46">
        <f>LEFT(Tableau1[[#This Row],[Formacode]],3)</f>
        <v/>
      </c>
      <c r="D155" s="47" t="n">
        <v>35590</v>
      </c>
      <c r="E155" s="48">
        <f>"RNCP"&amp;D155</f>
        <v/>
      </c>
      <c r="F155" s="48" t="inlineStr">
        <is>
          <t>Manager de l'habitat social et durable</t>
        </is>
      </c>
      <c r="G155" s="49">
        <f>E155&amp;" - "&amp;F155</f>
        <v/>
      </c>
      <c r="H155" s="36" t="inlineStr">
        <is>
          <t>RAS</t>
        </is>
      </c>
      <c r="I155" s="45" t="inlineStr"/>
      <c r="J155" s="45" t="inlineStr">
        <is>
          <t>RNCP35590</t>
        </is>
      </c>
      <c r="K155" s="45" t="inlineStr">
        <is>
          <t>Manager de l'habitat social et durable</t>
        </is>
      </c>
      <c r="L155" s="45" t="inlineStr">
        <is>
          <t>31/12/2030</t>
        </is>
      </c>
      <c r="M155" s="45" t="inlineStr"/>
      <c r="N155" s="50" t="inlineStr">
        <is>
          <t>NON</t>
        </is>
      </c>
      <c r="O155" s="45" t="inlineStr"/>
    </row>
    <row r="156" customFormat="1" s="3">
      <c r="A156" s="45" t="n"/>
      <c r="B156" s="46" t="inlineStr">
        <is>
          <t>12587</t>
        </is>
      </c>
      <c r="C156" s="46">
        <f>LEFT(Tableau1[[#This Row],[Formacode]],3)</f>
        <v/>
      </c>
      <c r="D156" s="47" t="n">
        <v>35862</v>
      </c>
      <c r="E156" s="48">
        <f>"RNCP"&amp;D156</f>
        <v/>
      </c>
      <c r="F156" s="48" t="inlineStr">
        <is>
          <t>Responsable qualité, santé, sécurité, environnement</t>
        </is>
      </c>
      <c r="G156" s="49">
        <f>E156&amp;" - "&amp;F156</f>
        <v/>
      </c>
      <c r="H156" s="36" t="inlineStr">
        <is>
          <t>RAS</t>
        </is>
      </c>
      <c r="I156" s="45" t="inlineStr"/>
      <c r="J156" s="45" t="inlineStr">
        <is>
          <t>RNCP35862</t>
        </is>
      </c>
      <c r="K156" s="45" t="inlineStr">
        <is>
          <t>Responsable qualité, santé, sécurité, environnement</t>
        </is>
      </c>
      <c r="L156" s="45" t="inlineStr">
        <is>
          <t>31/12/2030</t>
        </is>
      </c>
      <c r="M156" s="45" t="inlineStr"/>
      <c r="N156" s="50" t="inlineStr">
        <is>
          <t>NON</t>
        </is>
      </c>
      <c r="O156" s="45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31/12/2030</t>
        </is>
      </c>
      <c r="M157" s="45" t="inlineStr"/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31/12/2030</t>
        </is>
      </c>
      <c r="M158" s="45" t="inlineStr"/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31/12/2030</t>
        </is>
      </c>
      <c r="M159" s="45" t="inlineStr"/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31/12/2030</t>
        </is>
      </c>
      <c r="M160" s="45" t="inlineStr"/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31/12/2030</t>
        </is>
      </c>
      <c r="M161" s="45" t="inlineStr"/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31/12/2030</t>
        </is>
      </c>
      <c r="M162" s="45" t="inlineStr"/>
      <c r="N162" s="50" t="inlineStr">
        <is>
          <t>NON</t>
        </is>
      </c>
      <c r="O162" s="45" t="inlineStr"/>
    </row>
    <row r="163" customFormat="1" s="3">
      <c r="A163" s="45" t="n"/>
      <c r="B163" s="46" t="inlineStr">
        <is>
          <t>12598</t>
        </is>
      </c>
      <c r="C163" s="46">
        <f>LEFT(Tableau1[[#This Row],[Formacode]],3)</f>
        <v/>
      </c>
      <c r="D163" s="47" t="n">
        <v>35590</v>
      </c>
      <c r="E163" s="48">
        <f>"RNCP"&amp;D163</f>
        <v/>
      </c>
      <c r="F163" s="48" t="inlineStr">
        <is>
          <t>Manager de l'habitat social et durable</t>
        </is>
      </c>
      <c r="G163" s="49">
        <f>E163&amp;" - "&amp;F163</f>
        <v/>
      </c>
      <c r="H163" s="36" t="inlineStr">
        <is>
          <t>RAS</t>
        </is>
      </c>
      <c r="I163" s="45" t="inlineStr"/>
      <c r="J163" s="45" t="inlineStr">
        <is>
          <t>RNCP35590</t>
        </is>
      </c>
      <c r="K163" s="45" t="inlineStr">
        <is>
          <t>Manager de l'habitat social et durable</t>
        </is>
      </c>
      <c r="L163" s="45" t="inlineStr">
        <is>
          <t>31/12/2030</t>
        </is>
      </c>
      <c r="M163" s="45" t="inlineStr"/>
      <c r="N163" s="50" t="inlineStr">
        <is>
          <t>NON</t>
        </is>
      </c>
      <c r="O163" s="45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31/12/2030</t>
        </is>
      </c>
      <c r="M164" s="45" t="inlineStr"/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BP - Responsable d'entreprise agricole</t>
        </is>
      </c>
      <c r="L165" s="45" t="inlineStr">
        <is>
          <t>31/12/2030</t>
        </is>
      </c>
      <c r="M165" s="45" t="inlineStr"/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31/12/2030</t>
        </is>
      </c>
      <c r="M166" s="45" t="inlineStr"/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BTSA - ACS'AGRI : Analyse, Conduite et Stratégie de l'entreprise Agricole</t>
        </is>
      </c>
      <c r="L167" s="45" t="inlineStr">
        <is>
          <t>31/12/2030</t>
        </is>
      </c>
      <c r="M167" s="45" t="inlineStr"/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Grade_Master - Diplôme des Instituts d’Études Politiques – Sciences Po</t>
        </is>
      </c>
      <c r="L168" s="45" t="inlineStr">
        <is>
          <t>31/12/2030</t>
        </is>
      </c>
      <c r="M168" s="45" t="inlineStr"/>
      <c r="N168" s="50" t="inlineStr">
        <is>
          <t>NON</t>
        </is>
      </c>
      <c r="O168" s="45" t="inlineStr"/>
    </row>
    <row r="169" customFormat="1" s="4">
      <c r="A169" s="45" t="n"/>
      <c r="B169" s="46" t="inlineStr">
        <is>
          <t>13027</t>
        </is>
      </c>
      <c r="C169" s="46">
        <f>LEFT(Tableau1[[#This Row],[Formacode]],3)</f>
        <v/>
      </c>
      <c r="D169" s="47" t="n">
        <v>38947</v>
      </c>
      <c r="E169" s="48">
        <f>"RNCP"&amp;D169</f>
        <v/>
      </c>
      <c r="F169" s="48" t="inlineStr">
        <is>
          <t>Manager du commerce de l'art</t>
        </is>
      </c>
      <c r="G169" s="49">
        <f>E169&amp;" - "&amp;F169</f>
        <v/>
      </c>
      <c r="H169" s="36" t="inlineStr">
        <is>
          <t>RAS</t>
        </is>
      </c>
      <c r="I169" s="45" t="inlineStr"/>
      <c r="J169" s="45" t="inlineStr">
        <is>
          <t>RNCP38947</t>
        </is>
      </c>
      <c r="K169" s="45" t="inlineStr">
        <is>
          <t>Manager du commerce de l'art</t>
        </is>
      </c>
      <c r="L169" s="45" t="inlineStr">
        <is>
          <t>31/12/2030</t>
        </is>
      </c>
      <c r="M169" s="45" t="inlineStr"/>
      <c r="N169" s="50" t="inlineStr">
        <is>
          <t>NON</t>
        </is>
      </c>
      <c r="O169" s="45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Grade_Master - Diplôme des Instituts d’Études Politiques – Sciences Po</t>
        </is>
      </c>
      <c r="L170" s="45" t="inlineStr">
        <is>
          <t>31/12/2030</t>
        </is>
      </c>
      <c r="M170" s="45" t="inlineStr"/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31/12/2030</t>
        </is>
      </c>
      <c r="M171" s="45" t="inlineStr"/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31/12/2030</t>
        </is>
      </c>
      <c r="M172" s="45" t="inlineStr"/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31/12/2030</t>
        </is>
      </c>
      <c r="M173" s="45" t="inlineStr"/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Grade_Master - Créateur industriel</t>
        </is>
      </c>
      <c r="L174" s="45" t="inlineStr">
        <is>
          <t>31/12/2030</t>
        </is>
      </c>
      <c r="M174" s="45" t="inlineStr"/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Grade_Master - Diplôme des Instituts d’Études Politiques – Sciences Po</t>
        </is>
      </c>
      <c r="L175" s="45" t="inlineStr">
        <is>
          <t>31/12/2030</t>
        </is>
      </c>
      <c r="M175" s="45" t="inlineStr"/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31/12/2030</t>
        </is>
      </c>
      <c r="M176" s="45" t="inlineStr"/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Grade_Master - Diplôme des Instituts d’Études Politiques – Sciences Po</t>
        </is>
      </c>
      <c r="L177" s="45" t="inlineStr">
        <is>
          <t>31/12/2030</t>
        </is>
      </c>
      <c r="M177" s="45" t="inlineStr"/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31/12/2030</t>
        </is>
      </c>
      <c r="M178" s="45" t="inlineStr"/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DIPLOVIS - Coordinateur de projets de développement international et sociétal</t>
        </is>
      </c>
      <c r="L179" s="45" t="inlineStr">
        <is>
          <t>31/12/2030</t>
        </is>
      </c>
      <c r="M179" s="45" t="inlineStr"/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BTSA - Développement et animation de projets territoriaux</t>
        </is>
      </c>
      <c r="L180" s="45" t="inlineStr">
        <is>
          <t>31/12/2030</t>
        </is>
      </c>
      <c r="M180" s="45" t="inlineStr"/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31/12/2030</t>
        </is>
      </c>
      <c r="M181" s="45" t="inlineStr"/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31/12/2030</t>
        </is>
      </c>
      <c r="M182" s="45" t="inlineStr"/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Grade_Master - Diplôme des Instituts d’Études Politiques – Sciences Po</t>
        </is>
      </c>
      <c r="L183" s="45" t="inlineStr">
        <is>
          <t>31/12/2030</t>
        </is>
      </c>
      <c r="M183" s="45" t="inlineStr"/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Grade_Master - Diplôme des Instituts d’Études Politiques – Sciences Po</t>
        </is>
      </c>
      <c r="L184" s="45" t="inlineStr">
        <is>
          <t>31/12/2030</t>
        </is>
      </c>
      <c r="M184" s="45" t="inlineStr"/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Grade_Master - Diplôme des Instituts d’Études Politiques – Sciences Po</t>
        </is>
      </c>
      <c r="L185" s="45" t="inlineStr">
        <is>
          <t>31/12/2030</t>
        </is>
      </c>
      <c r="M185" s="45" t="inlineStr"/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Grade_Master - Diplôme des Instituts d’Études Politiques – Sciences Po</t>
        </is>
      </c>
      <c r="L186" s="45" t="inlineStr">
        <is>
          <t>31/12/2030</t>
        </is>
      </c>
      <c r="M186" s="45" t="inlineStr"/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Grade_Master - Diplôme des Instituts d’Études Politiques – Sciences Po</t>
        </is>
      </c>
      <c r="L187" s="45" t="inlineStr">
        <is>
          <t>31/12/2030</t>
        </is>
      </c>
      <c r="M187" s="45" t="inlineStr"/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31/12/2030</t>
        </is>
      </c>
      <c r="M188" s="45" t="inlineStr"/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31/12/2030</t>
        </is>
      </c>
      <c r="M189" s="45" t="inlineStr"/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Grade_Master - Diplôme des Instituts d’Études Politiques – Sciences Po</t>
        </is>
      </c>
      <c r="L190" s="45" t="inlineStr">
        <is>
          <t>31/12/2030</t>
        </is>
      </c>
      <c r="M190" s="45" t="inlineStr"/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Grade_Master - Diplôme des Instituts d’Études Politiques – Sciences Po</t>
        </is>
      </c>
      <c r="L191" s="45" t="inlineStr">
        <is>
          <t>31/12/2030</t>
        </is>
      </c>
      <c r="M191" s="45" t="inlineStr"/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Grade_Master - Diplôme des Instituts d’Études Politiques – Sciences Po</t>
        </is>
      </c>
      <c r="L192" s="45" t="inlineStr">
        <is>
          <t>31/12/2030</t>
        </is>
      </c>
      <c r="M192" s="45" t="inlineStr"/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31/12/2030</t>
        </is>
      </c>
      <c r="M193" s="45" t="inlineStr"/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Grade_Master - Diplôme des Instituts d’Études Politiques – Sciences Po</t>
        </is>
      </c>
      <c r="L194" s="45" t="inlineStr">
        <is>
          <t>31/12/2030</t>
        </is>
      </c>
      <c r="M194" s="45" t="inlineStr"/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Grade_Master - Diplôme des Instituts d’Études Politiques – Sciences Po</t>
        </is>
      </c>
      <c r="L195" s="45" t="inlineStr">
        <is>
          <t>31/12/2030</t>
        </is>
      </c>
      <c r="M195" s="45" t="inlineStr"/>
      <c r="N195" s="50" t="inlineStr">
        <is>
          <t>NON</t>
        </is>
      </c>
      <c r="O195" s="45" t="inlineStr"/>
    </row>
    <row r="196" customFormat="1" s="4">
      <c r="A196" s="45" t="n"/>
      <c r="B196" s="46" t="inlineStr">
        <is>
          <t>13166</t>
        </is>
      </c>
      <c r="C196" s="46">
        <f>LEFT(Tableau1[[#This Row],[Formacode]],3)</f>
        <v/>
      </c>
      <c r="D196" s="47" t="n">
        <v>37824</v>
      </c>
      <c r="E196" s="48">
        <f>"RNCP"&amp;D196</f>
        <v/>
      </c>
      <c r="F196" s="48" t="inlineStr">
        <is>
          <t>Expert-conseil en stratégie des filières agricoles et agroalimentaires</t>
        </is>
      </c>
      <c r="G196" s="49">
        <f>E196&amp;" - "&amp;F196</f>
        <v/>
      </c>
      <c r="H196" s="36" t="inlineStr">
        <is>
          <t>RAS</t>
        </is>
      </c>
      <c r="I196" s="45" t="inlineStr"/>
      <c r="J196" s="45" t="inlineStr">
        <is>
          <t>RNCP37824</t>
        </is>
      </c>
      <c r="K196" s="45" t="inlineStr">
        <is>
          <t>Expert-conseil en stratégie des filières agricoles et agroalimentaires</t>
        </is>
      </c>
      <c r="L196" s="45" t="inlineStr">
        <is>
          <t>31/12/2030</t>
        </is>
      </c>
      <c r="M196" s="45" t="inlineStr"/>
      <c r="N196" s="50" t="inlineStr">
        <is>
          <t>NON</t>
        </is>
      </c>
      <c r="O196" s="45" t="inlineStr"/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31/12/2030</t>
        </is>
      </c>
      <c r="M197" s="45" t="inlineStr"/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Grade_Master - Diplôme des Instituts d’Études Politiques – Sciences Po</t>
        </is>
      </c>
      <c r="L198" s="45" t="inlineStr">
        <is>
          <t>31/12/2030</t>
        </is>
      </c>
      <c r="M198" s="45" t="inlineStr"/>
      <c r="N198" s="50" t="inlineStr">
        <is>
          <t>NON</t>
        </is>
      </c>
      <c r="O198" s="45" t="inlineStr"/>
    </row>
    <row r="199" customFormat="1" s="4">
      <c r="A199" s="45" t="n"/>
      <c r="B199" s="46" t="inlineStr">
        <is>
          <t>13175</t>
        </is>
      </c>
      <c r="C199" s="46">
        <f>LEFT(Tableau1[[#This Row],[Formacode]],3)</f>
        <v/>
      </c>
      <c r="D199" s="47" t="n">
        <v>37519</v>
      </c>
      <c r="E199" s="48">
        <f>"RNCP"&amp;D199</f>
        <v/>
      </c>
      <c r="F199" s="48" t="inlineStr">
        <is>
          <t>Directeur d''organisation ou d'entreprise d'innovation sociale</t>
        </is>
      </c>
      <c r="G199" s="49">
        <f>E199&amp;" - "&amp;F199</f>
        <v/>
      </c>
      <c r="H199" s="36" t="inlineStr">
        <is>
          <t>RAS</t>
        </is>
      </c>
      <c r="I199" s="45" t="inlineStr"/>
      <c r="J199" s="45" t="inlineStr">
        <is>
          <t>RNCP37519</t>
        </is>
      </c>
      <c r="K199" s="45" t="inlineStr">
        <is>
          <t>Directeur d''organisation ou d'entreprise d'innovation sociale</t>
        </is>
      </c>
      <c r="L199" s="45" t="inlineStr">
        <is>
          <t>31/12/2030</t>
        </is>
      </c>
      <c r="M199" s="45" t="inlineStr"/>
      <c r="N199" s="50" t="inlineStr">
        <is>
          <t>NON</t>
        </is>
      </c>
      <c r="O199" s="45" t="inlineStr"/>
    </row>
    <row r="200" customFormat="1" s="4">
      <c r="A200" s="45" t="n"/>
      <c r="B200" s="46" t="inlineStr">
        <is>
          <t>13175</t>
        </is>
      </c>
      <c r="C200" s="46">
        <f>LEFT(Tableau1[[#This Row],[Formacode]],3)</f>
        <v/>
      </c>
      <c r="D200" s="47" t="n">
        <v>37523</v>
      </c>
      <c r="E200" s="48">
        <f>"RNCP"&amp;D200</f>
        <v/>
      </c>
      <c r="F200" s="48" t="inlineStr">
        <is>
          <t>Responsable de service ou d'entité dans le secteur de l'économie sociale et solidaire</t>
        </is>
      </c>
      <c r="G200" s="49">
        <f>E200&amp;" - "&amp;F200</f>
        <v/>
      </c>
      <c r="H200" s="36" t="inlineStr">
        <is>
          <t>RAS</t>
        </is>
      </c>
      <c r="I200" s="45" t="inlineStr"/>
      <c r="J200" s="45" t="inlineStr">
        <is>
          <t>RNCP37523</t>
        </is>
      </c>
      <c r="K200" s="45" t="inlineStr">
        <is>
          <t>Responsable de service ou d'entité dans le secteur de l'économie sociale et solidaire</t>
        </is>
      </c>
      <c r="L200" s="45" t="inlineStr">
        <is>
          <t>31/12/2030</t>
        </is>
      </c>
      <c r="M200" s="45" t="inlineStr"/>
      <c r="N200" s="50" t="inlineStr">
        <is>
          <t>NON</t>
        </is>
      </c>
      <c r="O200" s="45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TP - Responsable de petite ou moyenne structure</t>
        </is>
      </c>
      <c r="L201" s="45" t="inlineStr">
        <is>
          <t>31/12/2030</t>
        </is>
      </c>
      <c r="M201" s="45" t="inlineStr"/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Grade_Master - Diplôme des Instituts d’Études Politiques – Sciences Po</t>
        </is>
      </c>
      <c r="L202" s="45" t="inlineStr">
        <is>
          <t>31/12/2030</t>
        </is>
      </c>
      <c r="M202" s="45" t="inlineStr"/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31/12/2030</t>
        </is>
      </c>
      <c r="M203" s="45" t="inlineStr"/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DIPLOVIS - Coordinateur de projets de développement international et sociétal</t>
        </is>
      </c>
      <c r="L204" s="45" t="inlineStr">
        <is>
          <t>31/12/2030</t>
        </is>
      </c>
      <c r="M204" s="45" t="inlineStr"/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31/12/2030</t>
        </is>
      </c>
      <c r="M205" s="45" t="inlineStr"/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Grade_Master - Créateur industriel</t>
        </is>
      </c>
      <c r="L206" s="45" t="inlineStr">
        <is>
          <t>31/12/2030</t>
        </is>
      </c>
      <c r="M206" s="45" t="inlineStr"/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31/12/2030</t>
        </is>
      </c>
      <c r="M207" s="45" t="inlineStr"/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Grade_Master - Diplôme des Instituts d’Études Politiques – Sciences Po</t>
        </is>
      </c>
      <c r="L208" s="45" t="inlineStr">
        <is>
          <t>31/12/2030</t>
        </is>
      </c>
      <c r="M208" s="45" t="inlineStr"/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31/12/2030</t>
        </is>
      </c>
      <c r="M209" s="45" t="inlineStr"/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Grade_Master - Diplôme des Instituts d’Études Politiques – Sciences Po</t>
        </is>
      </c>
      <c r="L210" s="45" t="inlineStr">
        <is>
          <t>31/12/2030</t>
        </is>
      </c>
      <c r="M210" s="45" t="inlineStr"/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Grade_Master - Diplôme des Instituts d’Études Politiques – Sciences Po</t>
        </is>
      </c>
      <c r="L211" s="45" t="inlineStr">
        <is>
          <t>31/12/2030</t>
        </is>
      </c>
      <c r="M211" s="45" t="inlineStr"/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Grade_Master - Diplôme des Instituts d’Études Politiques – Sciences Po</t>
        </is>
      </c>
      <c r="L212" s="45" t="inlineStr">
        <is>
          <t>31/12/2030</t>
        </is>
      </c>
      <c r="M212" s="45" t="inlineStr"/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Grade_Master - Diplôme des Instituts d’Études Politiques – Sciences Po</t>
        </is>
      </c>
      <c r="L213" s="45" t="inlineStr">
        <is>
          <t>31/12/2030</t>
        </is>
      </c>
      <c r="M213" s="45" t="inlineStr"/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Grade_Master - Diplôme des Instituts d’Études Politiques – Sciences Po</t>
        </is>
      </c>
      <c r="L214" s="45" t="inlineStr">
        <is>
          <t>31/12/2030</t>
        </is>
      </c>
      <c r="M214" s="45" t="inlineStr"/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BTS - Collaborateur juriste notarial</t>
        </is>
      </c>
      <c r="L215" s="45" t="inlineStr">
        <is>
          <t>31/12/2030</t>
        </is>
      </c>
      <c r="M215" s="45" t="inlineStr"/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31/12/2030</t>
        </is>
      </c>
      <c r="M216" s="45" t="inlineStr"/>
      <c r="N216" s="50" t="inlineStr">
        <is>
          <t>NON</t>
        </is>
      </c>
      <c r="O216" s="45" t="inlineStr"/>
    </row>
    <row r="217" customFormat="1" s="3">
      <c r="A217" s="45" t="n"/>
      <c r="B217" s="46" t="inlineStr">
        <is>
          <t>13274</t>
        </is>
      </c>
      <c r="C217" s="46">
        <f>LEFT(Tableau1[[#This Row],[Formacode]],3)</f>
        <v/>
      </c>
      <c r="D217" s="47" t="n">
        <v>37435</v>
      </c>
      <c r="E217" s="48">
        <f>"RNCP"&amp;D217</f>
        <v/>
      </c>
      <c r="F217" s="48" t="inlineStr">
        <is>
          <t>Gestionnaire d'affaires immobilières</t>
        </is>
      </c>
      <c r="G217" s="49">
        <f>E217&amp;" - "&amp;F217</f>
        <v/>
      </c>
      <c r="H217" s="36" t="inlineStr">
        <is>
          <t>RAS</t>
        </is>
      </c>
      <c r="I217" s="45" t="inlineStr"/>
      <c r="J217" s="45" t="inlineStr">
        <is>
          <t>RNCP37435</t>
        </is>
      </c>
      <c r="K217" s="45" t="inlineStr">
        <is>
          <t>Gestionnaire d'affaires immobilières</t>
        </is>
      </c>
      <c r="L217" s="45" t="inlineStr">
        <is>
          <t>31/12/2030</t>
        </is>
      </c>
      <c r="M217" s="45" t="inlineStr"/>
      <c r="N217" s="50" t="inlineStr">
        <is>
          <t>NON</t>
        </is>
      </c>
      <c r="O217" s="45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31/12/2030</t>
        </is>
      </c>
      <c r="M218" s="45" t="inlineStr"/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31/12/2030</t>
        </is>
      </c>
      <c r="M219" s="45" t="inlineStr"/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Grade_Master - Diplôme des Instituts d’Études Politiques – Sciences Po</t>
        </is>
      </c>
      <c r="L220" s="45" t="inlineStr">
        <is>
          <t>31/12/2030</t>
        </is>
      </c>
      <c r="M220" s="45" t="inlineStr"/>
      <c r="N220" s="50" t="inlineStr">
        <is>
          <t>NON</t>
        </is>
      </c>
      <c r="O220" s="45" t="inlineStr"/>
    </row>
    <row r="221" customFormat="1" s="3">
      <c r="A221" s="45" t="n"/>
      <c r="B221" s="46" t="inlineStr">
        <is>
          <t>13274</t>
        </is>
      </c>
      <c r="C221" s="46">
        <f>LEFT(Tableau1[[#This Row],[Formacode]],3)</f>
        <v/>
      </c>
      <c r="D221" s="47" t="n">
        <v>39587</v>
      </c>
      <c r="E221" s="48">
        <f>"RNCP"&amp;D221</f>
        <v/>
      </c>
      <c r="F221" s="48" t="inlineStr">
        <is>
          <t>Juriste d'affaires</t>
        </is>
      </c>
      <c r="G221" s="49">
        <f>E221&amp;" - "&amp;F221</f>
        <v/>
      </c>
      <c r="H221" s="36" t="inlineStr">
        <is>
          <t>RAS</t>
        </is>
      </c>
      <c r="I221" s="45" t="inlineStr"/>
      <c r="J221" s="45" t="inlineStr">
        <is>
          <t>RNCP39587</t>
        </is>
      </c>
      <c r="K221" s="45" t="inlineStr">
        <is>
          <t>Juriste d'affaires</t>
        </is>
      </c>
      <c r="L221" s="45" t="inlineStr">
        <is>
          <t>31/12/2030</t>
        </is>
      </c>
      <c r="M221" s="45" t="inlineStr"/>
      <c r="N221" s="50" t="inlineStr">
        <is>
          <t>NON</t>
        </is>
      </c>
      <c r="O221" s="45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31/12/2030</t>
        </is>
      </c>
      <c r="M222" s="45" t="inlineStr"/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31/12/2030</t>
        </is>
      </c>
      <c r="M223" s="45" t="inlineStr"/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31/12/2030</t>
        </is>
      </c>
      <c r="M224" s="45" t="inlineStr"/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31/12/2030</t>
        </is>
      </c>
      <c r="M225" s="45" t="inlineStr"/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Grade_Master - Diplôme des Instituts d’Études Politiques – Sciences Po</t>
        </is>
      </c>
      <c r="L226" s="45" t="inlineStr">
        <is>
          <t>31/12/2030</t>
        </is>
      </c>
      <c r="M226" s="45" t="inlineStr"/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31/12/2030</t>
        </is>
      </c>
      <c r="M227" s="45" t="inlineStr"/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31/12/2030</t>
        </is>
      </c>
      <c r="M228" s="45" t="inlineStr"/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31/12/2030</t>
        </is>
      </c>
      <c r="M229" s="45" t="inlineStr"/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31/12/2030</t>
        </is>
      </c>
      <c r="M230" s="45" t="inlineStr"/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31/12/2030</t>
        </is>
      </c>
      <c r="M231" s="45" t="inlineStr"/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31/12/2030</t>
        </is>
      </c>
      <c r="M232" s="45" t="inlineStr"/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31/12/2030</t>
        </is>
      </c>
      <c r="M233" s="45" t="inlineStr"/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31/12/2030</t>
        </is>
      </c>
      <c r="M234" s="45" t="inlineStr"/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31/12/2030</t>
        </is>
      </c>
      <c r="M235" s="45" t="inlineStr"/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31/12/2030</t>
        </is>
      </c>
      <c r="M236" s="45" t="inlineStr"/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31/12/2030</t>
        </is>
      </c>
      <c r="M237" s="45" t="inlineStr"/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31/12/2030</t>
        </is>
      </c>
      <c r="M238" s="45" t="inlineStr"/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31/12/2030</t>
        </is>
      </c>
      <c r="M239" s="45" t="inlineStr"/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31/12/2030</t>
        </is>
      </c>
      <c r="M240" s="45" t="inlineStr"/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31/12/2030</t>
        </is>
      </c>
      <c r="M241" s="45" t="inlineStr"/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31/12/2030</t>
        </is>
      </c>
      <c r="M242" s="45" t="inlineStr"/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31/12/2030</t>
        </is>
      </c>
      <c r="M243" s="45" t="inlineStr"/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31/12/2030</t>
        </is>
      </c>
      <c r="M244" s="45" t="inlineStr"/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31/12/2030</t>
        </is>
      </c>
      <c r="M245" s="45" t="inlineStr"/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31/12/2030</t>
        </is>
      </c>
      <c r="M246" s="45" t="inlineStr"/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CS - Entretien des collections du patrimoine</t>
        </is>
      </c>
      <c r="L247" s="45" t="inlineStr">
        <is>
          <t>31/12/2030</t>
        </is>
      </c>
      <c r="M247" s="45" t="inlineStr"/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31/12/2030</t>
        </is>
      </c>
      <c r="M248" s="45" t="inlineStr"/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31/12/2030</t>
        </is>
      </c>
      <c r="M249" s="45" t="inlineStr"/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31/12/2030</t>
        </is>
      </c>
      <c r="M250" s="45" t="inlineStr"/>
      <c r="N250" s="50" t="inlineStr">
        <is>
          <t>NON</t>
        </is>
      </c>
      <c r="O250" s="45" t="inlineStr"/>
    </row>
    <row r="251" customFormat="1" s="4">
      <c r="A251" s="45" t="n"/>
      <c r="B251" s="46" t="inlineStr">
        <is>
          <t>14456</t>
        </is>
      </c>
      <c r="C251" s="46">
        <f>LEFT(Tableau1[[#This Row],[Formacode]],3)</f>
        <v/>
      </c>
      <c r="D251" s="47" t="n">
        <v>38497</v>
      </c>
      <c r="E251" s="48">
        <f>"RNCP"&amp;D251</f>
        <v/>
      </c>
      <c r="F251" s="48" t="inlineStr">
        <is>
          <t>Art-thérapeute</t>
        </is>
      </c>
      <c r="G251" s="49">
        <f>E251&amp;" - "&amp;F251</f>
        <v/>
      </c>
      <c r="H251" s="36" t="inlineStr">
        <is>
          <t>RAS</t>
        </is>
      </c>
      <c r="I251" s="45" t="inlineStr"/>
      <c r="J251" s="45" t="inlineStr">
        <is>
          <t>RNCP38497</t>
        </is>
      </c>
      <c r="K251" s="45" t="inlineStr">
        <is>
          <t>Art-thérapeute</t>
        </is>
      </c>
      <c r="L251" s="45" t="inlineStr">
        <is>
          <t>31/12/2030</t>
        </is>
      </c>
      <c r="M251" s="45" t="inlineStr"/>
      <c r="N251" s="50" t="inlineStr">
        <is>
          <t>NON</t>
        </is>
      </c>
      <c r="O251" s="45" t="inlineStr"/>
    </row>
    <row r="252" customFormat="1" s="3">
      <c r="A252" s="45" t="n"/>
      <c r="B252" s="46" t="inlineStr">
        <is>
          <t>15031</t>
        </is>
      </c>
      <c r="C252" s="46">
        <f>LEFT(Tableau1[[#This Row],[Formacode]],3)</f>
        <v/>
      </c>
      <c r="D252" s="47" t="n">
        <v>37779</v>
      </c>
      <c r="E252" s="48">
        <f>"RNCP"&amp;D252</f>
        <v/>
      </c>
      <c r="F252" s="48" t="inlineStr">
        <is>
          <t>Conseiller en emploi accompagné</t>
        </is>
      </c>
      <c r="G252" s="49">
        <f>E252&amp;" - "&amp;F252</f>
        <v/>
      </c>
      <c r="H252" s="36" t="inlineStr">
        <is>
          <t>RAS</t>
        </is>
      </c>
      <c r="I252" s="45" t="inlineStr"/>
      <c r="J252" s="45" t="inlineStr">
        <is>
          <t>RNCP37779</t>
        </is>
      </c>
      <c r="K252" s="45" t="inlineStr">
        <is>
          <t>Conseiller en emploi accompagné</t>
        </is>
      </c>
      <c r="L252" s="45" t="inlineStr">
        <is>
          <t>31/12/2030</t>
        </is>
      </c>
      <c r="M252" s="45" t="inlineStr"/>
      <c r="N252" s="50" t="inlineStr">
        <is>
          <t>NON</t>
        </is>
      </c>
      <c r="O252" s="45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TP - Médiateur social accès aux droits et services</t>
        </is>
      </c>
      <c r="L253" s="45" t="inlineStr">
        <is>
          <t>31/12/2030</t>
        </is>
      </c>
      <c r="M253" s="45" t="inlineStr"/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31/12/2030</t>
        </is>
      </c>
      <c r="M254" s="45" t="inlineStr"/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31/12/2030</t>
        </is>
      </c>
      <c r="M255" s="45" t="inlineStr"/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31/12/2030</t>
        </is>
      </c>
      <c r="M256" s="45" t="inlineStr"/>
      <c r="N256" s="50" t="inlineStr">
        <is>
          <t>NON</t>
        </is>
      </c>
      <c r="O256" s="45" t="inlineStr"/>
    </row>
    <row r="257" customFormat="1" s="3">
      <c r="A257" s="45" t="n"/>
      <c r="B257" s="46" t="inlineStr">
        <is>
          <t>15041</t>
        </is>
      </c>
      <c r="C257" s="46">
        <f>LEFT(Tableau1[[#This Row],[Formacode]],3)</f>
        <v/>
      </c>
      <c r="D257" s="47" t="n">
        <v>35517</v>
      </c>
      <c r="E257" s="48">
        <f>"RNCP"&amp;D257</f>
        <v/>
      </c>
      <c r="F257" s="48" t="inlineStr">
        <is>
          <t>CS - Services numériques aux organisations</t>
        </is>
      </c>
      <c r="G257" s="49">
        <f>E257&amp;" - "&amp;F257</f>
        <v/>
      </c>
      <c r="H257" s="36" t="inlineStr">
        <is>
          <t>RAS</t>
        </is>
      </c>
      <c r="I257" s="45" t="inlineStr"/>
      <c r="J257" s="45" t="inlineStr">
        <is>
          <t>RNCP35517</t>
        </is>
      </c>
      <c r="K257" s="45" t="inlineStr">
        <is>
          <t>CS - Services numériques aux organisations</t>
        </is>
      </c>
      <c r="L257" s="45" t="inlineStr">
        <is>
          <t>31/12/2030</t>
        </is>
      </c>
      <c r="M257" s="45" t="inlineStr"/>
      <c r="N257" s="50" t="inlineStr">
        <is>
          <t>NON</t>
        </is>
      </c>
      <c r="O257" s="45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TP - Formateur professionnel d'adultes</t>
        </is>
      </c>
      <c r="L258" s="45" t="inlineStr">
        <is>
          <t>31/12/2030</t>
        </is>
      </c>
      <c r="M258" s="45" t="inlineStr"/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TP - Médiateur numérique</t>
        </is>
      </c>
      <c r="L259" s="45" t="inlineStr">
        <is>
          <t>31/12/2030</t>
        </is>
      </c>
      <c r="M259" s="45" t="inlineStr"/>
      <c r="N259" s="50" t="inlineStr">
        <is>
          <t>NON</t>
        </is>
      </c>
      <c r="O259" s="45" t="inlineStr"/>
    </row>
    <row r="260" customFormat="1" s="3">
      <c r="A260" s="45" t="n"/>
      <c r="B260" s="46" t="inlineStr">
        <is>
          <t>15061</t>
        </is>
      </c>
      <c r="C260" s="46">
        <f>LEFT(Tableau1[[#This Row],[Formacode]],3)</f>
        <v/>
      </c>
      <c r="D260" s="47" t="n">
        <v>37779</v>
      </c>
      <c r="E260" s="48">
        <f>"RNCP"&amp;D260</f>
        <v/>
      </c>
      <c r="F260" s="48" t="inlineStr">
        <is>
          <t>Conseiller en emploi accompagné</t>
        </is>
      </c>
      <c r="G260" s="49">
        <f>E260&amp;" - "&amp;F260</f>
        <v/>
      </c>
      <c r="H260" s="36" t="inlineStr">
        <is>
          <t>RAS</t>
        </is>
      </c>
      <c r="I260" s="45" t="inlineStr"/>
      <c r="J260" s="45" t="inlineStr">
        <is>
          <t>RNCP37779</t>
        </is>
      </c>
      <c r="K260" s="45" t="inlineStr">
        <is>
          <t>Conseiller en emploi accompagné</t>
        </is>
      </c>
      <c r="L260" s="45" t="inlineStr">
        <is>
          <t>31/12/2030</t>
        </is>
      </c>
      <c r="M260" s="45" t="inlineStr"/>
      <c r="N260" s="50" t="inlineStr">
        <is>
          <t>NON</t>
        </is>
      </c>
      <c r="O260" s="45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31/12/2030</t>
        </is>
      </c>
      <c r="M261" s="45" t="inlineStr"/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TP - Médiateur social accès aux droits et services</t>
        </is>
      </c>
      <c r="L262" s="45" t="inlineStr">
        <is>
          <t>31/12/2030</t>
        </is>
      </c>
      <c r="M262" s="45" t="inlineStr"/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TP - Agent de médiation, information, services</t>
        </is>
      </c>
      <c r="L263" s="45" t="inlineStr">
        <is>
          <t>31/12/2030</t>
        </is>
      </c>
      <c r="M263" s="45" t="inlineStr"/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Titre ingénieur - Ingénieur diplômé de l'Institut supérieur d'électronique de Paris</t>
        </is>
      </c>
      <c r="L264" s="45" t="inlineStr">
        <is>
          <t>31/12/2030</t>
        </is>
      </c>
      <c r="M264" s="45" t="inlineStr"/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31/12/2030</t>
        </is>
      </c>
      <c r="M265" s="45" t="inlineStr"/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Titre ingénieur - Ingénieur diplômé de l’ESIEE IT - CCI Paris Ile-de-France Éducation</t>
        </is>
      </c>
      <c r="L266" s="45" t="inlineStr">
        <is>
          <t>31/12/2030</t>
        </is>
      </c>
      <c r="M266" s="45" t="inlineStr"/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31/12/2030</t>
        </is>
      </c>
      <c r="M267" s="45" t="inlineStr"/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TP - Formateur professionnel d'adultes</t>
        </is>
      </c>
      <c r="L268" s="45" t="inlineStr">
        <is>
          <t>31/12/2030</t>
        </is>
      </c>
      <c r="M268" s="45" t="inlineStr"/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31/12/2030</t>
        </is>
      </c>
      <c r="M269" s="45" t="inlineStr"/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31/12/2030</t>
        </is>
      </c>
      <c r="M270" s="45" t="inlineStr"/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TP - Assistant import-export</t>
        </is>
      </c>
      <c r="L271" s="45" t="inlineStr">
        <is>
          <t>31/12/2030</t>
        </is>
      </c>
      <c r="M271" s="45" t="inlineStr"/>
      <c r="N271" s="50" t="inlineStr">
        <is>
          <t>NON</t>
        </is>
      </c>
      <c r="O271" s="45" t="inlineStr"/>
    </row>
    <row r="272" customFormat="1" s="3">
      <c r="A272" s="45" t="n"/>
      <c r="B272" s="46" t="inlineStr">
        <is>
          <t>15401</t>
        </is>
      </c>
      <c r="C272" s="46">
        <f>LEFT(Tableau1[[#This Row],[Formacode]],3)</f>
        <v/>
      </c>
      <c r="D272" s="47" t="n">
        <v>37996</v>
      </c>
      <c r="E272" s="48">
        <f>"RNCP"&amp;D272</f>
        <v/>
      </c>
      <c r="F272" s="48" t="inlineStr">
        <is>
          <t>CQP Moniteur de sports à roulettes</t>
        </is>
      </c>
      <c r="G272" s="49">
        <f>E272&amp;" - "&amp;F272</f>
        <v/>
      </c>
      <c r="H272" s="36" t="inlineStr">
        <is>
          <t>RAS</t>
        </is>
      </c>
      <c r="I272" s="45" t="inlineStr"/>
      <c r="J272" s="45" t="inlineStr">
        <is>
          <t>RNCP37996</t>
        </is>
      </c>
      <c r="K272" s="45" t="inlineStr">
        <is>
          <t>CQP Moniteur de sports à roulettes</t>
        </is>
      </c>
      <c r="L272" s="45" t="inlineStr">
        <is>
          <t>31/12/2030</t>
        </is>
      </c>
      <c r="M272" s="45" t="inlineStr"/>
      <c r="N272" s="50" t="inlineStr">
        <is>
          <t>NON</t>
        </is>
      </c>
      <c r="O272" s="45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31/12/2030</t>
        </is>
      </c>
      <c r="M273" s="45" t="inlineStr"/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31/12/2030</t>
        </is>
      </c>
      <c r="M274" s="45" t="inlineStr"/>
      <c r="N274" s="50" t="inlineStr">
        <is>
          <t>NON</t>
        </is>
      </c>
      <c r="O274" s="45" t="inlineStr"/>
    </row>
    <row r="275" customFormat="1" s="3">
      <c r="A275" s="45" t="n"/>
      <c r="B275" s="46" t="inlineStr">
        <is>
          <t>15418</t>
        </is>
      </c>
      <c r="C275" s="46">
        <f>LEFT(Tableau1[[#This Row],[Formacode]],3)</f>
        <v/>
      </c>
      <c r="D275" s="47" t="n">
        <v>38243</v>
      </c>
      <c r="E275" s="48">
        <f>"RNCP"&amp;D275</f>
        <v/>
      </c>
      <c r="F275" s="48" t="inlineStr">
        <is>
          <t>CQP Animateur de tennis de table</t>
        </is>
      </c>
      <c r="G275" s="49">
        <f>E275&amp;" - "&amp;F275</f>
        <v/>
      </c>
      <c r="H275" s="36" t="inlineStr">
        <is>
          <t>RAS</t>
        </is>
      </c>
      <c r="I275" s="45" t="inlineStr"/>
      <c r="J275" s="45" t="inlineStr">
        <is>
          <t>RNCP38243</t>
        </is>
      </c>
      <c r="K275" s="45" t="inlineStr">
        <is>
          <t>CQP Animateur de tennis de table</t>
        </is>
      </c>
      <c r="L275" s="45" t="inlineStr">
        <is>
          <t>31/12/2030</t>
        </is>
      </c>
      <c r="M275" s="45" t="inlineStr"/>
      <c r="N275" s="50" t="inlineStr">
        <is>
          <t>NON</t>
        </is>
      </c>
      <c r="O275" s="45" t="inlineStr"/>
    </row>
    <row r="276" customFormat="1" s="3">
      <c r="A276" s="45" t="n"/>
      <c r="B276" s="46" t="inlineStr">
        <is>
          <t>15418</t>
        </is>
      </c>
      <c r="C276" s="46">
        <f>LEFT(Tableau1[[#This Row],[Formacode]],3)</f>
        <v/>
      </c>
      <c r="D276" s="47" t="n">
        <v>38275</v>
      </c>
      <c r="E276" s="48">
        <f>"RNCP"&amp;D276</f>
        <v/>
      </c>
      <c r="F276" s="48" t="inlineStr">
        <is>
          <t>CQP Educateur de tennis</t>
        </is>
      </c>
      <c r="G276" s="49">
        <f>E276&amp;" - "&amp;F276</f>
        <v/>
      </c>
      <c r="H276" s="36" t="inlineStr">
        <is>
          <t>RAS</t>
        </is>
      </c>
      <c r="I276" s="45" t="inlineStr"/>
      <c r="J276" s="45" t="inlineStr">
        <is>
          <t>RNCP38275</t>
        </is>
      </c>
      <c r="K276" s="45" t="inlineStr">
        <is>
          <t>CQP Educateur de tennis</t>
        </is>
      </c>
      <c r="L276" s="45" t="inlineStr">
        <is>
          <t>31/12/2030</t>
        </is>
      </c>
      <c r="M276" s="45" t="inlineStr"/>
      <c r="N276" s="50" t="inlineStr">
        <is>
          <t>NON</t>
        </is>
      </c>
      <c r="O276" s="45" t="inlineStr"/>
    </row>
    <row r="277" customFormat="1" s="3">
      <c r="A277" s="45" t="n"/>
      <c r="B277" s="46" t="inlineStr">
        <is>
          <t>15418</t>
        </is>
      </c>
      <c r="C277" s="46">
        <f>LEFT(Tableau1[[#This Row],[Formacode]],3)</f>
        <v/>
      </c>
      <c r="D277" s="47" t="n">
        <v>38284</v>
      </c>
      <c r="E277" s="48">
        <f>"RNCP"&amp;D277</f>
        <v/>
      </c>
      <c r="F277" s="48" t="inlineStr">
        <is>
          <t>CQP Moniteur de squash</t>
        </is>
      </c>
      <c r="G277" s="49">
        <f>E277&amp;" - "&amp;F277</f>
        <v/>
      </c>
      <c r="H277" s="36" t="inlineStr">
        <is>
          <t>RAS</t>
        </is>
      </c>
      <c r="I277" s="45" t="inlineStr"/>
      <c r="J277" s="45" t="inlineStr">
        <is>
          <t>RNCP38284</t>
        </is>
      </c>
      <c r="K277" s="45" t="inlineStr">
        <is>
          <t>CQP Moniteur de squash</t>
        </is>
      </c>
      <c r="L277" s="45" t="inlineStr">
        <is>
          <t>31/12/2030</t>
        </is>
      </c>
      <c r="M277" s="45" t="inlineStr"/>
      <c r="N277" s="50" t="inlineStr">
        <is>
          <t>NON</t>
        </is>
      </c>
      <c r="O277" s="45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31/12/2030</t>
        </is>
      </c>
      <c r="M278" s="45" t="inlineStr"/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31/12/2030</t>
        </is>
      </c>
      <c r="M279" s="45" t="inlineStr"/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31/12/2030</t>
        </is>
      </c>
      <c r="M280" s="45" t="inlineStr"/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31/12/2030</t>
        </is>
      </c>
      <c r="M281" s="45" t="inlineStr"/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BPJEPS - Spécialité Educateur sportif mention Activités des sports de contact</t>
        </is>
      </c>
      <c r="L282" s="45" t="inlineStr">
        <is>
          <t>31/12/2030</t>
        </is>
      </c>
      <c r="M282" s="45" t="inlineStr"/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31/12/2030</t>
        </is>
      </c>
      <c r="M283" s="45" t="inlineStr"/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31/12/2030</t>
        </is>
      </c>
      <c r="M284" s="45" t="inlineStr"/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31/12/2030</t>
        </is>
      </c>
      <c r="M285" s="45" t="inlineStr"/>
      <c r="N285" s="50" t="inlineStr">
        <is>
          <t>NON</t>
        </is>
      </c>
      <c r="O285" s="45" t="inlineStr"/>
    </row>
    <row r="286" customFormat="1" s="3">
      <c r="A286" s="45" t="n"/>
      <c r="B286" s="46" t="inlineStr">
        <is>
          <t>15436</t>
        </is>
      </c>
      <c r="C286" s="46">
        <f>LEFT(Tableau1[[#This Row],[Formacode]],3)</f>
        <v/>
      </c>
      <c r="D286" s="47" t="n">
        <v>37503</v>
      </c>
      <c r="E286" s="48">
        <f>"RNCP"&amp;D286</f>
        <v/>
      </c>
      <c r="F286" s="48" t="inlineStr">
        <is>
          <t>CQP Initiateur en motocyclisme</t>
        </is>
      </c>
      <c r="G286" s="49">
        <f>E286&amp;" - "&amp;F286</f>
        <v/>
      </c>
      <c r="H286" s="36" t="inlineStr">
        <is>
          <t>RAS</t>
        </is>
      </c>
      <c r="I286" s="45" t="inlineStr"/>
      <c r="J286" s="45" t="inlineStr">
        <is>
          <t>RNCP37503</t>
        </is>
      </c>
      <c r="K286" s="45" t="inlineStr">
        <is>
          <t>CQP Initiateur en motocyclisme</t>
        </is>
      </c>
      <c r="L286" s="45" t="inlineStr">
        <is>
          <t>31/12/2030</t>
        </is>
      </c>
      <c r="M286" s="45" t="inlineStr"/>
      <c r="N286" s="50" t="inlineStr">
        <is>
          <t>NON</t>
        </is>
      </c>
      <c r="O286" s="45" t="inlineStr"/>
    </row>
    <row r="287" customFormat="1" s="3">
      <c r="A287" s="45" t="n"/>
      <c r="B287" s="46" t="inlineStr">
        <is>
          <t>15436</t>
        </is>
      </c>
      <c r="C287" s="46">
        <f>LEFT(Tableau1[[#This Row],[Formacode]],3)</f>
        <v/>
      </c>
      <c r="D287" s="47" t="n">
        <v>37514</v>
      </c>
      <c r="E287" s="48">
        <f>"RNCP"&amp;D287</f>
        <v/>
      </c>
      <c r="F287" s="48" t="inlineStr">
        <is>
          <t>CQP Moniteur de tir sportif</t>
        </is>
      </c>
      <c r="G287" s="49">
        <f>E287&amp;" - "&amp;F287</f>
        <v/>
      </c>
      <c r="H287" s="36" t="inlineStr">
        <is>
          <t>RAS</t>
        </is>
      </c>
      <c r="I287" s="45" t="inlineStr"/>
      <c r="J287" s="45" t="inlineStr">
        <is>
          <t>RNCP37514</t>
        </is>
      </c>
      <c r="K287" s="45" t="inlineStr">
        <is>
          <t>CQP Moniteur de tir sportif</t>
        </is>
      </c>
      <c r="L287" s="45" t="inlineStr">
        <is>
          <t>31/12/2030</t>
        </is>
      </c>
      <c r="M287" s="45" t="inlineStr"/>
      <c r="N287" s="50" t="inlineStr">
        <is>
          <t>NON</t>
        </is>
      </c>
      <c r="O287" s="45" t="inlineStr"/>
    </row>
    <row r="288" customFormat="1" s="3">
      <c r="A288" s="45" t="n"/>
      <c r="B288" s="46" t="inlineStr">
        <is>
          <t>15436</t>
        </is>
      </c>
      <c r="C288" s="46">
        <f>LEFT(Tableau1[[#This Row],[Formacode]],3)</f>
        <v/>
      </c>
      <c r="D288" s="47" t="n">
        <v>37758</v>
      </c>
      <c r="E288" s="48">
        <f>"RNCP"&amp;D288</f>
        <v/>
      </c>
      <c r="F288" s="48" t="inlineStr">
        <is>
          <t>Entraineur de football</t>
        </is>
      </c>
      <c r="G288" s="49">
        <f>E288&amp;" - "&amp;F288</f>
        <v/>
      </c>
      <c r="H288" s="36" t="inlineStr">
        <is>
          <t>RAS</t>
        </is>
      </c>
      <c r="I288" s="45" t="inlineStr"/>
      <c r="J288" s="45" t="inlineStr">
        <is>
          <t>RNCP37758</t>
        </is>
      </c>
      <c r="K288" s="45" t="inlineStr">
        <is>
          <t>Entraineur de football</t>
        </is>
      </c>
      <c r="L288" s="45" t="inlineStr">
        <is>
          <t>31/12/2030</t>
        </is>
      </c>
      <c r="M288" s="45" t="inlineStr"/>
      <c r="N288" s="50" t="inlineStr">
        <is>
          <t>NON</t>
        </is>
      </c>
      <c r="O288" s="45" t="inlineStr"/>
    </row>
    <row r="289" customFormat="1" s="3">
      <c r="A289" s="45" t="n"/>
      <c r="B289" s="46" t="inlineStr">
        <is>
          <t>15436</t>
        </is>
      </c>
      <c r="C289" s="46">
        <f>LEFT(Tableau1[[#This Row],[Formacode]],3)</f>
        <v/>
      </c>
      <c r="D289" s="47" t="n">
        <v>37996</v>
      </c>
      <c r="E289" s="48">
        <f>"RNCP"&amp;D289</f>
        <v/>
      </c>
      <c r="F289" s="48" t="inlineStr">
        <is>
          <t>CQP Moniteur de sports à roulettes</t>
        </is>
      </c>
      <c r="G289" s="49">
        <f>E289&amp;" - "&amp;F289</f>
        <v/>
      </c>
      <c r="H289" s="36" t="inlineStr">
        <is>
          <t>RAS</t>
        </is>
      </c>
      <c r="I289" s="45" t="inlineStr"/>
      <c r="J289" s="45" t="inlineStr">
        <is>
          <t>RNCP37996</t>
        </is>
      </c>
      <c r="K289" s="45" t="inlineStr">
        <is>
          <t>CQP Moniteur de sports à roulettes</t>
        </is>
      </c>
      <c r="L289" s="45" t="inlineStr">
        <is>
          <t>31/12/2030</t>
        </is>
      </c>
      <c r="M289" s="45" t="inlineStr"/>
      <c r="N289" s="50" t="inlineStr">
        <is>
          <t>NON</t>
        </is>
      </c>
      <c r="O289" s="45" t="inlineStr"/>
    </row>
    <row r="290" customFormat="1" s="3">
      <c r="A290" s="45" t="n"/>
      <c r="B290" s="46" t="inlineStr">
        <is>
          <t>15436</t>
        </is>
      </c>
      <c r="C290" s="46">
        <f>LEFT(Tableau1[[#This Row],[Formacode]],3)</f>
        <v/>
      </c>
      <c r="D290" s="47" t="n">
        <v>38243</v>
      </c>
      <c r="E290" s="48">
        <f>"RNCP"&amp;D290</f>
        <v/>
      </c>
      <c r="F290" s="48" t="inlineStr">
        <is>
          <t>CQP Animateur de tennis de table</t>
        </is>
      </c>
      <c r="G290" s="49">
        <f>E290&amp;" - "&amp;F290</f>
        <v/>
      </c>
      <c r="H290" s="36" t="inlineStr">
        <is>
          <t>RAS</t>
        </is>
      </c>
      <c r="I290" s="45" t="inlineStr"/>
      <c r="J290" s="45" t="inlineStr">
        <is>
          <t>RNCP38243</t>
        </is>
      </c>
      <c r="K290" s="45" t="inlineStr">
        <is>
          <t>CQP Animateur de tennis de table</t>
        </is>
      </c>
      <c r="L290" s="45" t="inlineStr">
        <is>
          <t>31/12/2030</t>
        </is>
      </c>
      <c r="M290" s="45" t="inlineStr"/>
      <c r="N290" s="50" t="inlineStr">
        <is>
          <t>NON</t>
        </is>
      </c>
      <c r="O290" s="45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31/12/2030</t>
        </is>
      </c>
      <c r="M291" s="45" t="inlineStr"/>
      <c r="N291" s="50" t="inlineStr">
        <is>
          <t>NON</t>
        </is>
      </c>
      <c r="O291" s="45" t="inlineStr"/>
    </row>
    <row r="292" customFormat="1" s="3">
      <c r="A292" s="45" t="n"/>
      <c r="B292" s="46" t="inlineStr">
        <is>
          <t>15436</t>
        </is>
      </c>
      <c r="C292" s="46">
        <f>LEFT(Tableau1[[#This Row],[Formacode]],3)</f>
        <v/>
      </c>
      <c r="D292" s="47" t="n">
        <v>38275</v>
      </c>
      <c r="E292" s="48">
        <f>"RNCP"&amp;D292</f>
        <v/>
      </c>
      <c r="F292" s="48" t="inlineStr">
        <is>
          <t>CQP Educateur de tennis</t>
        </is>
      </c>
      <c r="G292" s="49">
        <f>E292&amp;" - "&amp;F292</f>
        <v/>
      </c>
      <c r="H292" s="36" t="inlineStr">
        <is>
          <t>RAS</t>
        </is>
      </c>
      <c r="I292" s="45" t="inlineStr"/>
      <c r="J292" s="45" t="inlineStr">
        <is>
          <t>RNCP38275</t>
        </is>
      </c>
      <c r="K292" s="45" t="inlineStr">
        <is>
          <t>CQP Educateur de tennis</t>
        </is>
      </c>
      <c r="L292" s="45" t="inlineStr">
        <is>
          <t>31/12/2030</t>
        </is>
      </c>
      <c r="M292" s="45" t="inlineStr"/>
      <c r="N292" s="50" t="inlineStr">
        <is>
          <t>NON</t>
        </is>
      </c>
      <c r="O292" s="45" t="inlineStr"/>
    </row>
    <row r="293" customFormat="1" s="3">
      <c r="A293" s="45" t="n"/>
      <c r="B293" s="46" t="inlineStr">
        <is>
          <t>15436</t>
        </is>
      </c>
      <c r="C293" s="46">
        <f>LEFT(Tableau1[[#This Row],[Formacode]],3)</f>
        <v/>
      </c>
      <c r="D293" s="47" t="n">
        <v>38283</v>
      </c>
      <c r="E293" s="48">
        <f>"RNCP"&amp;D293</f>
        <v/>
      </c>
      <c r="F293" s="48" t="inlineStr">
        <is>
          <t>CQP Moniteur d'aviron</t>
        </is>
      </c>
      <c r="G293" s="49">
        <f>E293&amp;" - "&amp;F293</f>
        <v/>
      </c>
      <c r="H293" s="36" t="inlineStr">
        <is>
          <t>RAS</t>
        </is>
      </c>
      <c r="I293" s="45" t="inlineStr"/>
      <c r="J293" s="45" t="inlineStr">
        <is>
          <t>RNCP38283</t>
        </is>
      </c>
      <c r="K293" s="45" t="inlineStr">
        <is>
          <t>CQP Moniteur d'aviron</t>
        </is>
      </c>
      <c r="L293" s="45" t="inlineStr">
        <is>
          <t>31/12/2030</t>
        </is>
      </c>
      <c r="M293" s="45" t="inlineStr"/>
      <c r="N293" s="50" t="inlineStr">
        <is>
          <t>NON</t>
        </is>
      </c>
      <c r="O293" s="45" t="inlineStr"/>
    </row>
    <row r="294" customFormat="1" s="3">
      <c r="A294" s="45" t="n"/>
      <c r="B294" s="46" t="inlineStr">
        <is>
          <t>15436</t>
        </is>
      </c>
      <c r="C294" s="46">
        <f>LEFT(Tableau1[[#This Row],[Formacode]],3)</f>
        <v/>
      </c>
      <c r="D294" s="47" t="n">
        <v>38284</v>
      </c>
      <c r="E294" s="48">
        <f>"RNCP"&amp;D294</f>
        <v/>
      </c>
      <c r="F294" s="48" t="inlineStr">
        <is>
          <t>CQP Moniteur de squash</t>
        </is>
      </c>
      <c r="G294" s="49">
        <f>E294&amp;" - "&amp;F294</f>
        <v/>
      </c>
      <c r="H294" s="36" t="inlineStr">
        <is>
          <t>RAS</t>
        </is>
      </c>
      <c r="I294" s="45" t="inlineStr"/>
      <c r="J294" s="45" t="inlineStr">
        <is>
          <t>RNCP38284</t>
        </is>
      </c>
      <c r="K294" s="45" t="inlineStr">
        <is>
          <t>CQP Moniteur de squash</t>
        </is>
      </c>
      <c r="L294" s="45" t="inlineStr">
        <is>
          <t>31/12/2030</t>
        </is>
      </c>
      <c r="M294" s="45" t="inlineStr"/>
      <c r="N294" s="50" t="inlineStr">
        <is>
          <t>NON</t>
        </is>
      </c>
      <c r="O294" s="45" t="inlineStr"/>
    </row>
    <row r="295" customFormat="1" s="3">
      <c r="A295" s="45" t="n"/>
      <c r="B295" s="46" t="inlineStr">
        <is>
          <t>15436</t>
        </is>
      </c>
      <c r="C295" s="46">
        <f>LEFT(Tableau1[[#This Row],[Formacode]],3)</f>
        <v/>
      </c>
      <c r="D295" s="47" t="n">
        <v>38292</v>
      </c>
      <c r="E295" s="48">
        <f>"RNCP"&amp;D295</f>
        <v/>
      </c>
      <c r="F295" s="48" t="inlineStr">
        <is>
          <t>Moniteur de football</t>
        </is>
      </c>
      <c r="G295" s="49">
        <f>E295&amp;" - "&amp;F295</f>
        <v/>
      </c>
      <c r="H295" s="36" t="inlineStr">
        <is>
          <t>RAS</t>
        </is>
      </c>
      <c r="I295" s="45" t="inlineStr"/>
      <c r="J295" s="45" t="inlineStr">
        <is>
          <t>RNCP38292</t>
        </is>
      </c>
      <c r="K295" s="45" t="inlineStr">
        <is>
          <t>Moniteur de football</t>
        </is>
      </c>
      <c r="L295" s="45" t="inlineStr">
        <is>
          <t>31/12/2030</t>
        </is>
      </c>
      <c r="M295" s="45" t="inlineStr"/>
      <c r="N295" s="50" t="inlineStr">
        <is>
          <t>NON</t>
        </is>
      </c>
      <c r="O295" s="45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31/12/2030</t>
        </is>
      </c>
      <c r="M296" s="45" t="inlineStr"/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31/12/2030</t>
        </is>
      </c>
      <c r="M297" s="45" t="inlineStr"/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31/12/2030</t>
        </is>
      </c>
      <c r="M298" s="45" t="inlineStr"/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31/12/2030</t>
        </is>
      </c>
      <c r="M299" s="45" t="inlineStr"/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31/12/2030</t>
        </is>
      </c>
      <c r="M300" s="45" t="inlineStr"/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31/12/2030</t>
        </is>
      </c>
      <c r="M301" s="45" t="inlineStr"/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31/12/2030</t>
        </is>
      </c>
      <c r="M302" s="45" t="inlineStr"/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31/12/2030</t>
        </is>
      </c>
      <c r="M303" s="45" t="inlineStr"/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BPJEPS - Spécialité Educateur sportif mention Activités des sports de contact</t>
        </is>
      </c>
      <c r="L304" s="45" t="inlineStr">
        <is>
          <t>31/12/2030</t>
        </is>
      </c>
      <c r="M304" s="45" t="inlineStr"/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31/12/2030</t>
        </is>
      </c>
      <c r="M305" s="45" t="inlineStr"/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31/12/2030</t>
        </is>
      </c>
      <c r="M306" s="45" t="inlineStr"/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31/12/2030</t>
        </is>
      </c>
      <c r="M307" s="45" t="inlineStr"/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31/12/2030</t>
        </is>
      </c>
      <c r="M308" s="45" t="inlineStr"/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31/12/2030</t>
        </is>
      </c>
      <c r="M309" s="45" t="inlineStr"/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31/12/2030</t>
        </is>
      </c>
      <c r="M310" s="45" t="inlineStr"/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31/12/2030</t>
        </is>
      </c>
      <c r="M311" s="45" t="inlineStr"/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31/12/2030</t>
        </is>
      </c>
      <c r="M312" s="45" t="inlineStr"/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31/12/2030</t>
        </is>
      </c>
      <c r="M313" s="45" t="inlineStr"/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31/12/2030</t>
        </is>
      </c>
      <c r="M314" s="45" t="inlineStr"/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31/12/2030</t>
        </is>
      </c>
      <c r="M315" s="45" t="inlineStr"/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31/12/2030</t>
        </is>
      </c>
      <c r="M316" s="45" t="inlineStr"/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31/12/2030</t>
        </is>
      </c>
      <c r="M317" s="45" t="inlineStr"/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31/12/2030</t>
        </is>
      </c>
      <c r="M318" s="45" t="inlineStr"/>
      <c r="N318" s="50" t="inlineStr">
        <is>
          <t>NON</t>
        </is>
      </c>
      <c r="O318" s="45" t="inlineStr"/>
    </row>
    <row r="319" customFormat="1" s="3">
      <c r="A319" s="45" t="n"/>
      <c r="B319" s="46" t="inlineStr">
        <is>
          <t>15437</t>
        </is>
      </c>
      <c r="C319" s="46">
        <f>LEFT(Tableau1[[#This Row],[Formacode]],3)</f>
        <v/>
      </c>
      <c r="D319" s="47" t="n">
        <v>37758</v>
      </c>
      <c r="E319" s="48">
        <f>"RNCP"&amp;D319</f>
        <v/>
      </c>
      <c r="F319" s="48" t="inlineStr">
        <is>
          <t>Entraineur de football</t>
        </is>
      </c>
      <c r="G319" s="49">
        <f>E319&amp;" - "&amp;F319</f>
        <v/>
      </c>
      <c r="H319" s="36" t="inlineStr">
        <is>
          <t>RAS</t>
        </is>
      </c>
      <c r="I319" s="45" t="inlineStr"/>
      <c r="J319" s="45" t="inlineStr">
        <is>
          <t>RNCP37758</t>
        </is>
      </c>
      <c r="K319" s="45" t="inlineStr">
        <is>
          <t>Entraineur de football</t>
        </is>
      </c>
      <c r="L319" s="45" t="inlineStr">
        <is>
          <t>31/12/2030</t>
        </is>
      </c>
      <c r="M319" s="45" t="inlineStr"/>
      <c r="N319" s="50" t="inlineStr">
        <is>
          <t>NON</t>
        </is>
      </c>
      <c r="O319" s="45" t="inlineStr"/>
    </row>
    <row r="320" customFormat="1" s="3">
      <c r="A320" s="45" t="n"/>
      <c r="B320" s="46" t="inlineStr">
        <is>
          <t>15437</t>
        </is>
      </c>
      <c r="C320" s="46">
        <f>LEFT(Tableau1[[#This Row],[Formacode]],3)</f>
        <v/>
      </c>
      <c r="D320" s="47" t="n">
        <v>38292</v>
      </c>
      <c r="E320" s="48">
        <f>"RNCP"&amp;D320</f>
        <v/>
      </c>
      <c r="F320" s="48" t="inlineStr">
        <is>
          <t>Moniteur de football</t>
        </is>
      </c>
      <c r="G320" s="49">
        <f>E320&amp;" - "&amp;F320</f>
        <v/>
      </c>
      <c r="H320" s="36" t="inlineStr">
        <is>
          <t>RAS</t>
        </is>
      </c>
      <c r="I320" s="45" t="inlineStr"/>
      <c r="J320" s="45" t="inlineStr">
        <is>
          <t>RNCP38292</t>
        </is>
      </c>
      <c r="K320" s="45" t="inlineStr">
        <is>
          <t>Moniteur de football</t>
        </is>
      </c>
      <c r="L320" s="45" t="inlineStr">
        <is>
          <t>31/12/2030</t>
        </is>
      </c>
      <c r="M320" s="45" t="inlineStr"/>
      <c r="N320" s="50" t="inlineStr">
        <is>
          <t>NON</t>
        </is>
      </c>
      <c r="O320" s="45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31/12/2030</t>
        </is>
      </c>
      <c r="M321" s="45" t="inlineStr"/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31/12/2030</t>
        </is>
      </c>
      <c r="M322" s="45" t="inlineStr"/>
      <c r="N322" s="50" t="inlineStr">
        <is>
          <t>NON</t>
        </is>
      </c>
      <c r="O322" s="45" t="inlineStr"/>
    </row>
    <row r="323" customFormat="1" s="3">
      <c r="A323" s="45" t="n"/>
      <c r="B323" s="46" t="inlineStr">
        <is>
          <t>15447</t>
        </is>
      </c>
      <c r="C323" s="46">
        <f>LEFT(Tableau1[[#This Row],[Formacode]],3)</f>
        <v/>
      </c>
      <c r="D323" s="47" t="n">
        <v>35992</v>
      </c>
      <c r="E323" s="48">
        <f>"RNCP"&amp;D323</f>
        <v/>
      </c>
      <c r="F323" s="48" t="inlineStr">
        <is>
          <t>TP - Employé technicien-vendeur en matériel de sport</t>
        </is>
      </c>
      <c r="G323" s="49">
        <f>E323&amp;" - "&amp;F323</f>
        <v/>
      </c>
      <c r="H323" s="36" t="inlineStr">
        <is>
          <t>RAS</t>
        </is>
      </c>
      <c r="I323" s="45" t="inlineStr"/>
      <c r="J323" s="45" t="inlineStr">
        <is>
          <t>RNCP35992</t>
        </is>
      </c>
      <c r="K323" s="45" t="inlineStr">
        <is>
          <t>TP - Employé technicien-vendeur en matériel de sport</t>
        </is>
      </c>
      <c r="L323" s="45" t="inlineStr">
        <is>
          <t>31/12/2030</t>
        </is>
      </c>
      <c r="M323" s="45" t="inlineStr"/>
      <c r="N323" s="50" t="inlineStr">
        <is>
          <t>NON</t>
        </is>
      </c>
      <c r="O323" s="45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TP - Technicien d'installation et de maintenance de piscines</t>
        </is>
      </c>
      <c r="L324" s="45" t="inlineStr">
        <is>
          <t>31/12/2030</t>
        </is>
      </c>
      <c r="M324" s="45" t="inlineStr"/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CAP - Transports par câbles et remontées mécaniques</t>
        </is>
      </c>
      <c r="L325" s="45" t="inlineStr">
        <is>
          <t>31/12/2030</t>
        </is>
      </c>
      <c r="M325" s="45" t="inlineStr"/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BAC PRO - Transports par câbles et remontées mécaniques</t>
        </is>
      </c>
      <c r="L326" s="45" t="inlineStr">
        <is>
          <t>31/12/2030</t>
        </is>
      </c>
      <c r="M326" s="45" t="inlineStr"/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BP - Métiers de la piscine</t>
        </is>
      </c>
      <c r="L327" s="45" t="inlineStr">
        <is>
          <t>31/12/2030</t>
        </is>
      </c>
      <c r="M327" s="45" t="inlineStr"/>
      <c r="N327" s="50" t="inlineStr">
        <is>
          <t>NON</t>
        </is>
      </c>
      <c r="O327" s="45" t="inlineStr"/>
    </row>
    <row r="328" customFormat="1" s="3">
      <c r="A328" s="45" t="n"/>
      <c r="B328" s="46" t="inlineStr">
        <is>
          <t>15455</t>
        </is>
      </c>
      <c r="C328" s="46">
        <f>LEFT(Tableau1[[#This Row],[Formacode]],3)</f>
        <v/>
      </c>
      <c r="D328" s="47" t="n">
        <v>37514</v>
      </c>
      <c r="E328" s="48">
        <f>"RNCP"&amp;D328</f>
        <v/>
      </c>
      <c r="F328" s="48" t="inlineStr">
        <is>
          <t>CQP Moniteur de tir sportif</t>
        </is>
      </c>
      <c r="G328" s="49">
        <f>E328&amp;" - "&amp;F328</f>
        <v/>
      </c>
      <c r="H328" s="36" t="inlineStr">
        <is>
          <t>RAS</t>
        </is>
      </c>
      <c r="I328" s="45" t="inlineStr"/>
      <c r="J328" s="45" t="inlineStr">
        <is>
          <t>RNCP37514</t>
        </is>
      </c>
      <c r="K328" s="45" t="inlineStr">
        <is>
          <t>CQP Moniteur de tir sportif</t>
        </is>
      </c>
      <c r="L328" s="45" t="inlineStr">
        <is>
          <t>31/12/2030</t>
        </is>
      </c>
      <c r="M328" s="45" t="inlineStr"/>
      <c r="N328" s="50" t="inlineStr">
        <is>
          <t>NON</t>
        </is>
      </c>
      <c r="O328" s="45" t="inlineStr"/>
    </row>
    <row r="329" customFormat="1" s="3">
      <c r="A329" s="45" t="n"/>
      <c r="B329" s="46" t="inlineStr">
        <is>
          <t>15457</t>
        </is>
      </c>
      <c r="C329" s="46">
        <f>LEFT(Tableau1[[#This Row],[Formacode]],3)</f>
        <v/>
      </c>
      <c r="D329" s="47" t="n">
        <v>38142</v>
      </c>
      <c r="E329" s="48">
        <f>"RNCP"&amp;D329</f>
        <v/>
      </c>
      <c r="F329" s="48" t="inlineStr">
        <is>
          <t>Chargé de développement d’une structure sportive associative</t>
        </is>
      </c>
      <c r="G329" s="49">
        <f>E329&amp;" - "&amp;F329</f>
        <v/>
      </c>
      <c r="H329" s="36" t="inlineStr">
        <is>
          <t>RAS</t>
        </is>
      </c>
      <c r="I329" s="45" t="inlineStr"/>
      <c r="J329" s="45" t="inlineStr">
        <is>
          <t>RNCP38142</t>
        </is>
      </c>
      <c r="K329" s="45" t="inlineStr">
        <is>
          <t>Chargé de développement d’une structure sportive associative</t>
        </is>
      </c>
      <c r="L329" s="45" t="inlineStr">
        <is>
          <t>31/12/2030</t>
        </is>
      </c>
      <c r="M329" s="45" t="inlineStr"/>
      <c r="N329" s="50" t="inlineStr">
        <is>
          <t>NON</t>
        </is>
      </c>
      <c r="O329" s="45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BP - Responsable d'entreprise hippique</t>
        </is>
      </c>
      <c r="L330" s="45" t="inlineStr">
        <is>
          <t>31/12/2030</t>
        </is>
      </c>
      <c r="M330" s="45" t="inlineStr"/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31/12/2030</t>
        </is>
      </c>
      <c r="M331" s="45" t="inlineStr"/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31/12/2030</t>
        </is>
      </c>
      <c r="M332" s="45" t="inlineStr"/>
      <c r="N332" s="50" t="inlineStr">
        <is>
          <t>NON</t>
        </is>
      </c>
      <c r="O332" s="45" t="inlineStr"/>
    </row>
    <row r="333" customFormat="1" s="3">
      <c r="A333" s="45" t="n"/>
      <c r="B333" s="46" t="inlineStr">
        <is>
          <t>15472</t>
        </is>
      </c>
      <c r="C333" s="46">
        <f>LEFT(Tableau1[[#This Row],[Formacode]],3)</f>
        <v/>
      </c>
      <c r="D333" s="47" t="n">
        <v>35232</v>
      </c>
      <c r="E333" s="48">
        <f>"RNCP"&amp;D333</f>
        <v/>
      </c>
      <c r="F333" s="48" t="inlineStr">
        <is>
          <t>TP - Scaphandrier travaux publics</t>
        </is>
      </c>
      <c r="G333" s="49">
        <f>E333&amp;" - "&amp;F333</f>
        <v/>
      </c>
      <c r="H333" s="36" t="inlineStr">
        <is>
          <t>RAS</t>
        </is>
      </c>
      <c r="I333" s="45" t="inlineStr"/>
      <c r="J333" s="45" t="inlineStr">
        <is>
          <t>RNCP35232</t>
        </is>
      </c>
      <c r="K333" s="45" t="inlineStr">
        <is>
          <t>TP - Scaphandrier travaux publics</t>
        </is>
      </c>
      <c r="L333" s="45" t="inlineStr">
        <is>
          <t>31/12/2030</t>
        </is>
      </c>
      <c r="M333" s="45" t="inlineStr"/>
      <c r="N333" s="50" t="inlineStr">
        <is>
          <t>NON</t>
        </is>
      </c>
      <c r="O333" s="45" t="inlineStr"/>
    </row>
    <row r="334" customFormat="1" s="3">
      <c r="A334" s="45" t="n"/>
      <c r="B334" s="46" t="inlineStr">
        <is>
          <t>15472</t>
        </is>
      </c>
      <c r="C334" s="46">
        <f>LEFT(Tableau1[[#This Row],[Formacode]],3)</f>
        <v/>
      </c>
      <c r="D334" s="47" t="n">
        <v>36816</v>
      </c>
      <c r="E334" s="48">
        <f>"RNCP"&amp;D334</f>
        <v/>
      </c>
      <c r="F334" s="48" t="inlineStr">
        <is>
          <t>CS - Opérateur polyvalent en interventions subaquatiques</t>
        </is>
      </c>
      <c r="G334" s="49">
        <f>E334&amp;" - "&amp;F334</f>
        <v/>
      </c>
      <c r="H334" s="36" t="inlineStr">
        <is>
          <t>RAS</t>
        </is>
      </c>
      <c r="I334" s="45" t="inlineStr"/>
      <c r="J334" s="45" t="inlineStr">
        <is>
          <t>RNCP36816</t>
        </is>
      </c>
      <c r="K334" s="45" t="inlineStr">
        <is>
          <t>CS - Opérateur polyvalent en interventions subaquatiques</t>
        </is>
      </c>
      <c r="L334" s="45" t="inlineStr">
        <is>
          <t>31/12/2030</t>
        </is>
      </c>
      <c r="M334" s="45" t="inlineStr"/>
      <c r="N334" s="50" t="inlineStr">
        <is>
          <t>NON</t>
        </is>
      </c>
      <c r="O334" s="45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31/12/2030</t>
        </is>
      </c>
      <c r="M335" s="45" t="inlineStr"/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31/12/2030</t>
        </is>
      </c>
      <c r="M336" s="45" t="inlineStr"/>
      <c r="N336" s="50" t="inlineStr">
        <is>
          <t>NON</t>
        </is>
      </c>
      <c r="O336" s="45" t="inlineStr"/>
    </row>
    <row r="337" customFormat="1" s="3">
      <c r="A337" s="45" t="n"/>
      <c r="B337" s="46" t="inlineStr">
        <is>
          <t>15472</t>
        </is>
      </c>
      <c r="C337" s="46">
        <f>LEFT(Tableau1[[#This Row],[Formacode]],3)</f>
        <v/>
      </c>
      <c r="D337" s="47" t="n">
        <v>38283</v>
      </c>
      <c r="E337" s="48">
        <f>"RNCP"&amp;D337</f>
        <v/>
      </c>
      <c r="F337" s="48" t="inlineStr">
        <is>
          <t>CQP Moniteur d'aviron</t>
        </is>
      </c>
      <c r="G337" s="49">
        <f>E337&amp;" - "&amp;F337</f>
        <v/>
      </c>
      <c r="H337" s="36" t="inlineStr">
        <is>
          <t>RAS</t>
        </is>
      </c>
      <c r="I337" s="45" t="inlineStr"/>
      <c r="J337" s="45" t="inlineStr">
        <is>
          <t>RNCP38283</t>
        </is>
      </c>
      <c r="K337" s="45" t="inlineStr">
        <is>
          <t>CQP Moniteur d'aviron</t>
        </is>
      </c>
      <c r="L337" s="45" t="inlineStr">
        <is>
          <t>31/12/2030</t>
        </is>
      </c>
      <c r="M337" s="45" t="inlineStr"/>
      <c r="N337" s="50" t="inlineStr">
        <is>
          <t>NON</t>
        </is>
      </c>
      <c r="O337" s="45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31/12/2030</t>
        </is>
      </c>
      <c r="M338" s="45" t="inlineStr"/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31/12/2030</t>
        </is>
      </c>
      <c r="M339" s="45" t="inlineStr"/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31/12/2030</t>
        </is>
      </c>
      <c r="M340" s="45" t="inlineStr"/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31/12/2030</t>
        </is>
      </c>
      <c r="M341" s="45" t="inlineStr"/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BAC PRO - Conduite et gestion de l'entreprise hippique</t>
        </is>
      </c>
      <c r="L342" s="45" t="inlineStr">
        <is>
          <t>31/12/2030</t>
        </is>
      </c>
      <c r="M342" s="45" t="inlineStr"/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CAPA - Lad-cavalier d'entraînement</t>
        </is>
      </c>
      <c r="L343" s="45" t="inlineStr">
        <is>
          <t>31/12/2030</t>
        </is>
      </c>
      <c r="M343" s="45" t="inlineStr"/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Certificat de spécialisation - Traction équine et conduite d'attelages</t>
        </is>
      </c>
      <c r="L344" s="45" t="inlineStr">
        <is>
          <t>31/12/2030</t>
        </is>
      </c>
      <c r="M344" s="45" t="inlineStr"/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31/12/2030</t>
        </is>
      </c>
      <c r="M345" s="45" t="inlineStr"/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31/12/2030</t>
        </is>
      </c>
      <c r="M346" s="45" t="inlineStr"/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31/12/2030</t>
        </is>
      </c>
      <c r="M347" s="45" t="inlineStr"/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31/12/2030</t>
        </is>
      </c>
      <c r="M348" s="45" t="inlineStr"/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31/12/2030</t>
        </is>
      </c>
      <c r="M349" s="45" t="inlineStr"/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31/12/2030</t>
        </is>
      </c>
      <c r="M350" s="45" t="inlineStr"/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31/12/2030</t>
        </is>
      </c>
      <c r="M351" s="45" t="inlineStr"/>
      <c r="N351" s="50" t="inlineStr">
        <is>
          <t>NON</t>
        </is>
      </c>
      <c r="O351" s="45" t="inlineStr"/>
    </row>
    <row r="352" customFormat="1" s="3">
      <c r="A352" s="45" t="n"/>
      <c r="B352" s="46" t="inlineStr">
        <is>
          <t>15497</t>
        </is>
      </c>
      <c r="C352" s="46">
        <f>LEFT(Tableau1[[#This Row],[Formacode]],3)</f>
        <v/>
      </c>
      <c r="D352" s="47" t="n">
        <v>37503</v>
      </c>
      <c r="E352" s="48">
        <f>"RNCP"&amp;D352</f>
        <v/>
      </c>
      <c r="F352" s="48" t="inlineStr">
        <is>
          <t>CQP Initiateur en motocyclisme</t>
        </is>
      </c>
      <c r="G352" s="49">
        <f>E352&amp;" - "&amp;F352</f>
        <v/>
      </c>
      <c r="H352" s="36" t="inlineStr">
        <is>
          <t>RAS</t>
        </is>
      </c>
      <c r="I352" s="45" t="inlineStr"/>
      <c r="J352" s="45" t="inlineStr">
        <is>
          <t>RNCP37503</t>
        </is>
      </c>
      <c r="K352" s="45" t="inlineStr">
        <is>
          <t>CQP Initiateur en motocyclisme</t>
        </is>
      </c>
      <c r="L352" s="45" t="inlineStr">
        <is>
          <t>31/12/2030</t>
        </is>
      </c>
      <c r="M352" s="45" t="inlineStr"/>
      <c r="N352" s="50" t="inlineStr">
        <is>
          <t>NON</t>
        </is>
      </c>
      <c r="O352" s="45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BTSA - Métiers du végétal : alimentation, ornement et environnement</t>
        </is>
      </c>
      <c r="L353" s="45" t="inlineStr">
        <is>
          <t>31/12/2030</t>
        </is>
      </c>
      <c r="M353" s="45" t="inlineStr"/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31/12/2030</t>
        </is>
      </c>
      <c r="M354" s="45" t="inlineStr"/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CS - Conduite de la production de plantes à parfum, aromatiques et médicinales</t>
        </is>
      </c>
      <c r="L355" s="45" t="inlineStr">
        <is>
          <t>31/12/2030</t>
        </is>
      </c>
      <c r="M355" s="45" t="inlineStr"/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BTSA - Métiers du végétal : alimentation, ornement et environnement</t>
        </is>
      </c>
      <c r="L356" s="45" t="inlineStr">
        <is>
          <t>31/12/2030</t>
        </is>
      </c>
      <c r="M356" s="45" t="inlineStr"/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BTSA - Agronomie et cultures durables</t>
        </is>
      </c>
      <c r="L357" s="45" t="inlineStr">
        <is>
          <t>31/12/2030</t>
        </is>
      </c>
      <c r="M357" s="45" t="inlineStr"/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31/12/2030</t>
        </is>
      </c>
      <c r="M358" s="45" t="inlineStr"/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BTSA - Métiers du végétal : alimentation, ornement et environnement</t>
        </is>
      </c>
      <c r="L359" s="45" t="inlineStr">
        <is>
          <t>31/12/2030</t>
        </is>
      </c>
      <c r="M359" s="45" t="inlineStr"/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31/12/2030</t>
        </is>
      </c>
      <c r="M360" s="45" t="inlineStr"/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BTSA - Métiers du végétal : alimentation, ornement et environnement</t>
        </is>
      </c>
      <c r="L361" s="45" t="inlineStr">
        <is>
          <t>31/12/2030</t>
        </is>
      </c>
      <c r="M361" s="45" t="inlineStr"/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TP - Ouvrier de production horticole</t>
        </is>
      </c>
      <c r="L362" s="45" t="inlineStr">
        <is>
          <t>31/12/2030</t>
        </is>
      </c>
      <c r="M362" s="45" t="inlineStr"/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31/12/2030</t>
        </is>
      </c>
      <c r="M363" s="45" t="inlineStr"/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CAPA - Agricultures des régions chaudes</t>
        </is>
      </c>
      <c r="L364" s="45" t="inlineStr">
        <is>
          <t>31/12/2030</t>
        </is>
      </c>
      <c r="M364" s="45" t="inlineStr"/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CS - Conduite de productions en arboriculture fruitière</t>
        </is>
      </c>
      <c r="L365" s="45" t="inlineStr">
        <is>
          <t>31/12/2030</t>
        </is>
      </c>
      <c r="M365" s="45" t="inlineStr"/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BAC PRO - Conduite de productions horticoles (arbres, arbustes, fruits, fleurs, légumes)</t>
        </is>
      </c>
      <c r="L366" s="45" t="inlineStr">
        <is>
          <t>31/12/2030</t>
        </is>
      </c>
      <c r="M366" s="45" t="inlineStr"/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BPA - Ouvrier maraîcher</t>
        </is>
      </c>
      <c r="L367" s="45" t="inlineStr">
        <is>
          <t>31/12/2030</t>
        </is>
      </c>
      <c r="M367" s="45" t="inlineStr"/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BAC PRO - Maintenance des matériels</t>
        </is>
      </c>
      <c r="L368" s="45" t="inlineStr">
        <is>
          <t>31/12/2030</t>
        </is>
      </c>
      <c r="M368" s="45" t="inlineStr"/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CAP - Maintenance des matériels</t>
        </is>
      </c>
      <c r="L369" s="45" t="inlineStr">
        <is>
          <t>31/12/2030</t>
        </is>
      </c>
      <c r="M369" s="45" t="inlineStr"/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CS - Conduite de productions maraîchères</t>
        </is>
      </c>
      <c r="L370" s="45" t="inlineStr">
        <is>
          <t>31/12/2030</t>
        </is>
      </c>
      <c r="M370" s="45" t="inlineStr"/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CS - Arboriste grimpeur</t>
        </is>
      </c>
      <c r="L371" s="45" t="inlineStr">
        <is>
          <t>31/12/2030</t>
        </is>
      </c>
      <c r="M371" s="45" t="inlineStr"/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BP - Responsable de productions légumières, fruitières, florales et de pépinières</t>
        </is>
      </c>
      <c r="L372" s="45" t="inlineStr">
        <is>
          <t>31/12/2030</t>
        </is>
      </c>
      <c r="M372" s="45" t="inlineStr"/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BTSA - Métiers du végétal : alimentation, ornement et environnement</t>
        </is>
      </c>
      <c r="L373" s="45" t="inlineStr">
        <is>
          <t>31/12/2030</t>
        </is>
      </c>
      <c r="M373" s="45" t="inlineStr"/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31/12/2030</t>
        </is>
      </c>
      <c r="M374" s="45" t="inlineStr"/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CAPA - Agricultures des régions chaudes</t>
        </is>
      </c>
      <c r="L375" s="45" t="inlineStr">
        <is>
          <t>31/12/2030</t>
        </is>
      </c>
      <c r="M375" s="45" t="inlineStr"/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BPA - ouvrier d'élevage de ruminants et de cultures fourragères</t>
        </is>
      </c>
      <c r="L376" s="45" t="inlineStr">
        <is>
          <t>31/12/2030</t>
        </is>
      </c>
      <c r="M376" s="45" t="inlineStr"/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CAPA - Métiers de l'agriculture</t>
        </is>
      </c>
      <c r="L377" s="45" t="inlineStr">
        <is>
          <t>31/12/2030</t>
        </is>
      </c>
      <c r="M377" s="45" t="inlineStr"/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BTSA - Métiers du végétal : alimentation, ornement et environnement</t>
        </is>
      </c>
      <c r="L378" s="45" t="inlineStr">
        <is>
          <t>31/12/2030</t>
        </is>
      </c>
      <c r="M378" s="45" t="inlineStr"/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BAC PRO - Forêt</t>
        </is>
      </c>
      <c r="L379" s="45" t="inlineStr">
        <is>
          <t>31/12/2030</t>
        </is>
      </c>
      <c r="M379" s="45" t="inlineStr"/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CAP - Conducteur opérateur de scierie</t>
        </is>
      </c>
      <c r="L380" s="45" t="inlineStr">
        <is>
          <t>31/12/2030</t>
        </is>
      </c>
      <c r="M380" s="45" t="inlineStr"/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BAC PRO - Technicien de scierie</t>
        </is>
      </c>
      <c r="L381" s="45" t="inlineStr">
        <is>
          <t>31/12/2030</t>
        </is>
      </c>
      <c r="M381" s="45" t="inlineStr"/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BP - Responsable de chantiers de bûcheronnage manuel et de débardage</t>
        </is>
      </c>
      <c r="L382" s="45" t="inlineStr">
        <is>
          <t>31/12/2030</t>
        </is>
      </c>
      <c r="M382" s="45" t="inlineStr"/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BP - Responsable de chantiers de bûcheronnage manuel et de sylviculture</t>
        </is>
      </c>
      <c r="L383" s="45" t="inlineStr">
        <is>
          <t>31/12/2030</t>
        </is>
      </c>
      <c r="M383" s="45" t="inlineStr"/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31/12/2030</t>
        </is>
      </c>
      <c r="M384" s="45" t="inlineStr"/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CS - Pilote de machines de bûcheronnage</t>
        </is>
      </c>
      <c r="L385" s="45" t="inlineStr">
        <is>
          <t>31/12/2030</t>
        </is>
      </c>
      <c r="M385" s="45" t="inlineStr"/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BTSA - Gestion Forestière</t>
        </is>
      </c>
      <c r="L386" s="45" t="inlineStr">
        <is>
          <t>31/12/2030</t>
        </is>
      </c>
      <c r="M386" s="45" t="inlineStr"/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CAPA - Travaux forestiers</t>
        </is>
      </c>
      <c r="L387" s="45" t="inlineStr">
        <is>
          <t>31/12/2030</t>
        </is>
      </c>
      <c r="M387" s="45" t="inlineStr"/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BPA - Bûcheron</t>
        </is>
      </c>
      <c r="L388" s="45" t="inlineStr">
        <is>
          <t>31/12/2030</t>
        </is>
      </c>
      <c r="M388" s="45" t="inlineStr"/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BPA - Conducteur d'engins forestiers</t>
        </is>
      </c>
      <c r="L389" s="45" t="inlineStr">
        <is>
          <t>31/12/2030</t>
        </is>
      </c>
      <c r="M389" s="45" t="inlineStr"/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Certificat de spécialisation - Traction équine et conduite d'attelages</t>
        </is>
      </c>
      <c r="L390" s="45" t="inlineStr">
        <is>
          <t>31/12/2030</t>
        </is>
      </c>
      <c r="M390" s="45" t="inlineStr"/>
      <c r="N390" s="50" t="inlineStr">
        <is>
          <t>NON</t>
        </is>
      </c>
      <c r="O390" s="45" t="inlineStr"/>
    </row>
    <row r="391" customFormat="1" s="3">
      <c r="A391" s="45" t="n"/>
      <c r="B391" s="46" t="inlineStr">
        <is>
          <t>21046</t>
        </is>
      </c>
      <c r="C391" s="46">
        <f>LEFT(Tableau1[[#This Row],[Formacode]],3)</f>
        <v/>
      </c>
      <c r="D391" s="47" t="n">
        <v>35397</v>
      </c>
      <c r="E391" s="48">
        <f>"RNCP"&amp;D391</f>
        <v/>
      </c>
      <c r="F391" s="48" t="inlineStr">
        <is>
          <t>CS - Arrosage automatique : espaces verts et sols sportifs</t>
        </is>
      </c>
      <c r="G391" s="49">
        <f>E391&amp;" - "&amp;F391</f>
        <v/>
      </c>
      <c r="H391" s="36" t="inlineStr">
        <is>
          <t>RAS</t>
        </is>
      </c>
      <c r="I391" s="45" t="inlineStr"/>
      <c r="J391" s="45" t="inlineStr">
        <is>
          <t>RNCP35397</t>
        </is>
      </c>
      <c r="K391" s="45" t="inlineStr">
        <is>
          <t>CS - Arrosage automatique : espaces verts et sols sportifs</t>
        </is>
      </c>
      <c r="L391" s="45" t="inlineStr">
        <is>
          <t>31/12/2030</t>
        </is>
      </c>
      <c r="M391" s="45" t="inlineStr"/>
      <c r="N391" s="50" t="inlineStr">
        <is>
          <t>NON</t>
        </is>
      </c>
      <c r="O391" s="45" t="inlineStr"/>
    </row>
    <row r="392" customFormat="1" s="3">
      <c r="A392" s="45" t="n"/>
      <c r="B392" s="46" t="inlineStr">
        <is>
          <t>21046</t>
        </is>
      </c>
      <c r="C392" s="46">
        <f>LEFT(Tableau1[[#This Row],[Formacode]],3)</f>
        <v/>
      </c>
      <c r="D392" s="47" t="n">
        <v>35398</v>
      </c>
      <c r="E392" s="48">
        <f>"RNCP"&amp;D392</f>
        <v/>
      </c>
      <c r="F392" s="48" t="inlineStr">
        <is>
          <t>CS - Sols sportifs engazonnés</t>
        </is>
      </c>
      <c r="G392" s="49">
        <f>E392&amp;" - "&amp;F392</f>
        <v/>
      </c>
      <c r="H392" s="36" t="inlineStr">
        <is>
          <t>RAS</t>
        </is>
      </c>
      <c r="I392" s="45" t="inlineStr"/>
      <c r="J392" s="45" t="inlineStr">
        <is>
          <t>RNCP35398</t>
        </is>
      </c>
      <c r="K392" s="45" t="inlineStr">
        <is>
          <t>CS - Sols sportifs engazonnés</t>
        </is>
      </c>
      <c r="L392" s="45" t="inlineStr">
        <is>
          <t>31/12/2030</t>
        </is>
      </c>
      <c r="M392" s="45" t="inlineStr"/>
      <c r="N392" s="50" t="inlineStr">
        <is>
          <t>NON</t>
        </is>
      </c>
      <c r="O392" s="45" t="inlineStr"/>
    </row>
    <row r="393" customFormat="1" s="3">
      <c r="A393" s="45" t="n"/>
      <c r="B393" s="46" t="inlineStr">
        <is>
          <t>21046</t>
        </is>
      </c>
      <c r="C393" s="46">
        <f>LEFT(Tableau1[[#This Row],[Formacode]],3)</f>
        <v/>
      </c>
      <c r="D393" s="47" t="n">
        <v>35399</v>
      </c>
      <c r="E393" s="48">
        <f>"RNCP"&amp;D393</f>
        <v/>
      </c>
      <c r="F393" s="48" t="inlineStr">
        <is>
          <t>CS - Constructions paysagères</t>
        </is>
      </c>
      <c r="G393" s="49">
        <f>E393&amp;" - "&amp;F393</f>
        <v/>
      </c>
      <c r="H393" s="36" t="inlineStr">
        <is>
          <t>RAS</t>
        </is>
      </c>
      <c r="I393" s="45" t="inlineStr"/>
      <c r="J393" s="45" t="inlineStr">
        <is>
          <t>RNCP35399</t>
        </is>
      </c>
      <c r="K393" s="45" t="inlineStr">
        <is>
          <t>CS - Constructions paysagères</t>
        </is>
      </c>
      <c r="L393" s="45" t="inlineStr">
        <is>
          <t>31/12/2030</t>
        </is>
      </c>
      <c r="M393" s="45" t="inlineStr"/>
      <c r="N393" s="50" t="inlineStr">
        <is>
          <t>NON</t>
        </is>
      </c>
      <c r="O393" s="45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BTSA - Métiers du végétal : alimentation, ornement et environnement</t>
        </is>
      </c>
      <c r="L394" s="45" t="inlineStr">
        <is>
          <t>31/12/2030</t>
        </is>
      </c>
      <c r="M394" s="45" t="inlineStr"/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31/12/2030</t>
        </is>
      </c>
      <c r="M395" s="45" t="inlineStr"/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TP - Ouvrier paysagiste</t>
        </is>
      </c>
      <c r="L396" s="45" t="inlineStr">
        <is>
          <t>31/12/2030</t>
        </is>
      </c>
      <c r="M396" s="45" t="inlineStr"/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BP - Aménagements paysagers</t>
        </is>
      </c>
      <c r="L397" s="45" t="inlineStr">
        <is>
          <t>31/12/2030</t>
        </is>
      </c>
      <c r="M397" s="45" t="inlineStr"/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BTSA - Aménagements paysagers</t>
        </is>
      </c>
      <c r="L398" s="45" t="inlineStr">
        <is>
          <t>31/12/2030</t>
        </is>
      </c>
      <c r="M398" s="45" t="inlineStr"/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CAPA - Jardinier-paysagiste</t>
        </is>
      </c>
      <c r="L399" s="45" t="inlineStr">
        <is>
          <t>31/12/2030</t>
        </is>
      </c>
      <c r="M399" s="45" t="inlineStr"/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BAC PRO - Aménagements paysagers</t>
        </is>
      </c>
      <c r="L400" s="45" t="inlineStr">
        <is>
          <t>31/12/2030</t>
        </is>
      </c>
      <c r="M400" s="45" t="inlineStr"/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BPA - Ouvrier spécialisé en paysage</t>
        </is>
      </c>
      <c r="L401" s="45" t="inlineStr">
        <is>
          <t>31/12/2030</t>
        </is>
      </c>
      <c r="M401" s="45" t="inlineStr"/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CS - Jardinier de golf et entretien des sols sportifs engazonnés</t>
        </is>
      </c>
      <c r="L402" s="45" t="inlineStr">
        <is>
          <t>31/12/2030</t>
        </is>
      </c>
      <c r="M402" s="45" t="inlineStr"/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31/12/2030</t>
        </is>
      </c>
      <c r="M403" s="45" t="inlineStr"/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BTSA - Métiers du végétal : alimentation, ornement et environnement</t>
        </is>
      </c>
      <c r="L404" s="45" t="inlineStr">
        <is>
          <t>31/12/2030</t>
        </is>
      </c>
      <c r="M404" s="45" t="inlineStr"/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BP - Conducteur de machines agricoles</t>
        </is>
      </c>
      <c r="L405" s="45" t="inlineStr">
        <is>
          <t>31/12/2030</t>
        </is>
      </c>
      <c r="M405" s="45" t="inlineStr"/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31/12/2030</t>
        </is>
      </c>
      <c r="M406" s="45" t="inlineStr"/>
      <c r="N406" s="50" t="inlineStr">
        <is>
          <t>NON</t>
        </is>
      </c>
      <c r="O406" s="45" t="inlineStr"/>
    </row>
    <row r="407" customFormat="1" s="3">
      <c r="A407" s="45" t="n"/>
      <c r="B407" s="46" t="inlineStr">
        <is>
          <t>21052</t>
        </is>
      </c>
      <c r="C407" s="46">
        <f>LEFT(Tableau1[[#This Row],[Formacode]],3)</f>
        <v/>
      </c>
      <c r="D407" s="47" t="n">
        <v>37824</v>
      </c>
      <c r="E407" s="48">
        <f>"RNCP"&amp;D407</f>
        <v/>
      </c>
      <c r="F407" s="48" t="inlineStr">
        <is>
          <t>Expert-conseil en stratégie des filières agricoles et agroalimentaires</t>
        </is>
      </c>
      <c r="G407" s="49">
        <f>E407&amp;" - "&amp;F407</f>
        <v/>
      </c>
      <c r="H407" s="36" t="inlineStr">
        <is>
          <t>RAS</t>
        </is>
      </c>
      <c r="I407" s="45" t="inlineStr"/>
      <c r="J407" s="45" t="inlineStr">
        <is>
          <t>RNCP37824</t>
        </is>
      </c>
      <c r="K407" s="45" t="inlineStr">
        <is>
          <t>Expert-conseil en stratégie des filières agricoles et agroalimentaires</t>
        </is>
      </c>
      <c r="L407" s="45" t="inlineStr">
        <is>
          <t>31/12/2030</t>
        </is>
      </c>
      <c r="M407" s="45" t="inlineStr"/>
      <c r="N407" s="50" t="inlineStr">
        <is>
          <t>NON</t>
        </is>
      </c>
      <c r="O407" s="45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CS - Pilotage de machines agricoles et travaux mécanisés à haute technicité</t>
        </is>
      </c>
      <c r="L408" s="45" t="inlineStr">
        <is>
          <t>31/12/2030</t>
        </is>
      </c>
      <c r="M408" s="45" t="inlineStr"/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BP - Responsable d'entreprise agricole</t>
        </is>
      </c>
      <c r="L409" s="45" t="inlineStr">
        <is>
          <t>31/12/2030</t>
        </is>
      </c>
      <c r="M409" s="45" t="inlineStr"/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BTS - Techniques et services en matériels agricoles</t>
        </is>
      </c>
      <c r="L410" s="45" t="inlineStr">
        <is>
          <t>31/12/2030</t>
        </is>
      </c>
      <c r="M410" s="45" t="inlineStr"/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BAC PRO - Conduite et gestion de l'entreprise agricole</t>
        </is>
      </c>
      <c r="L411" s="45" t="inlineStr">
        <is>
          <t>31/12/2030</t>
        </is>
      </c>
      <c r="M411" s="45" t="inlineStr"/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CS - Pilote de machines de bûcheronnage</t>
        </is>
      </c>
      <c r="L412" s="45" t="inlineStr">
        <is>
          <t>31/12/2030</t>
        </is>
      </c>
      <c r="M412" s="45" t="inlineStr"/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BAC PRO - Agroéquipement</t>
        </is>
      </c>
      <c r="L413" s="45" t="inlineStr">
        <is>
          <t>31/12/2030</t>
        </is>
      </c>
      <c r="M413" s="45" t="inlineStr"/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31/12/2030</t>
        </is>
      </c>
      <c r="M414" s="45" t="inlineStr"/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TP - Mécanicien réparateur des matériels agricoles</t>
        </is>
      </c>
      <c r="L415" s="45" t="inlineStr">
        <is>
          <t>31/12/2030</t>
        </is>
      </c>
      <c r="M415" s="45" t="inlineStr"/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TP - Mécanicien réparateur des matériels d'espaces verts</t>
        </is>
      </c>
      <c r="L416" s="45" t="inlineStr">
        <is>
          <t>31/12/2030</t>
        </is>
      </c>
      <c r="M416" s="45" t="inlineStr"/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BAC PRO - Maintenance des matériels</t>
        </is>
      </c>
      <c r="L417" s="45" t="inlineStr">
        <is>
          <t>31/12/2030</t>
        </is>
      </c>
      <c r="M417" s="45" t="inlineStr"/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CAP - Maintenance des matériels</t>
        </is>
      </c>
      <c r="L418" s="45" t="inlineStr">
        <is>
          <t>31/12/2030</t>
        </is>
      </c>
      <c r="M418" s="45" t="inlineStr"/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31/12/2030</t>
        </is>
      </c>
      <c r="M419" s="45" t="inlineStr"/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CS - Conduite de productions en agriculture biologique et commercialisation</t>
        </is>
      </c>
      <c r="L420" s="45" t="inlineStr">
        <is>
          <t>31/12/2030</t>
        </is>
      </c>
      <c r="M420" s="45" t="inlineStr"/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BTSA - Génie des équipements agricoles</t>
        </is>
      </c>
      <c r="L421" s="45" t="inlineStr">
        <is>
          <t>31/12/2030</t>
        </is>
      </c>
      <c r="M421" s="45" t="inlineStr"/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BTSA - ACS'AGRI : Analyse, Conduite et Stratégie de l'entreprise Agricole</t>
        </is>
      </c>
      <c r="L422" s="45" t="inlineStr">
        <is>
          <t>31/12/2030</t>
        </is>
      </c>
      <c r="M422" s="45" t="inlineStr"/>
      <c r="N422" s="50" t="inlineStr">
        <is>
          <t>NON</t>
        </is>
      </c>
      <c r="O422" s="45" t="inlineStr"/>
    </row>
    <row r="423" customFormat="1" s="3">
      <c r="A423" s="45" t="n"/>
      <c r="B423" s="46" t="inlineStr">
        <is>
          <t>21052</t>
        </is>
      </c>
      <c r="C423" s="46">
        <f>LEFT(Tableau1[[#This Row],[Formacode]],3)</f>
        <v/>
      </c>
      <c r="D423" s="47" t="n">
        <v>39892</v>
      </c>
      <c r="E423" s="48">
        <f>"RNCP"&amp;D423</f>
        <v/>
      </c>
      <c r="F423" s="48" t="inlineStr">
        <is>
          <t>TP - Technicien de maintenance d'engins et de matériels « machinisme agricole »</t>
        </is>
      </c>
      <c r="G423" s="49">
        <f>E423&amp;" - "&amp;F423</f>
        <v/>
      </c>
      <c r="H423" s="36" t="inlineStr">
        <is>
          <t>RAS</t>
        </is>
      </c>
      <c r="I423" s="45" t="inlineStr"/>
      <c r="J423" s="45" t="inlineStr">
        <is>
          <t>RNCP39892</t>
        </is>
      </c>
      <c r="K423" s="45" t="inlineStr">
        <is>
          <t>TP - Technicien de maintenance d'engins et de matériels « machinisme agricole »</t>
        </is>
      </c>
      <c r="L423" s="45" t="inlineStr">
        <is>
          <t>31/12/2030</t>
        </is>
      </c>
      <c r="M423" s="45" t="inlineStr"/>
      <c r="N423" s="50" t="inlineStr">
        <is>
          <t>NON</t>
        </is>
      </c>
      <c r="O423" s="45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BP - Responsable d'entreprise hippique</t>
        </is>
      </c>
      <c r="L424" s="45" t="inlineStr">
        <is>
          <t>31/12/2030</t>
        </is>
      </c>
      <c r="M424" s="45" t="inlineStr"/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31/12/2030</t>
        </is>
      </c>
      <c r="M425" s="45" t="inlineStr"/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31/12/2030</t>
        </is>
      </c>
      <c r="M426" s="45" t="inlineStr"/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BTSA - Viticulture-Œnologie</t>
        </is>
      </c>
      <c r="L427" s="45" t="inlineStr">
        <is>
          <t>31/12/2030</t>
        </is>
      </c>
      <c r="M427" s="45" t="inlineStr"/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BTSA - Métiers du végétal : alimentation, ornement et environnement</t>
        </is>
      </c>
      <c r="L428" s="45" t="inlineStr">
        <is>
          <t>31/12/2030</t>
        </is>
      </c>
      <c r="M428" s="45" t="inlineStr"/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31/12/2030</t>
        </is>
      </c>
      <c r="M429" s="45" t="inlineStr"/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CAP - Tonnelier</t>
        </is>
      </c>
      <c r="L430" s="45" t="inlineStr">
        <is>
          <t>31/12/2030</t>
        </is>
      </c>
      <c r="M430" s="45" t="inlineStr"/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BAC PRO - Conduite et gestion de l'entreprise vitivinicole</t>
        </is>
      </c>
      <c r="L431" s="45" t="inlineStr">
        <is>
          <t>31/12/2030</t>
        </is>
      </c>
      <c r="M431" s="45" t="inlineStr"/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BPA - Ouvrier viticole</t>
        </is>
      </c>
      <c r="L432" s="45" t="inlineStr">
        <is>
          <t>31/12/2030</t>
        </is>
      </c>
      <c r="M432" s="45" t="inlineStr"/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Certificat de spécialisation - Traction équine et conduite d'attelages</t>
        </is>
      </c>
      <c r="L433" s="45" t="inlineStr">
        <is>
          <t>31/12/2030</t>
        </is>
      </c>
      <c r="M433" s="45" t="inlineStr"/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31/12/2030</t>
        </is>
      </c>
      <c r="M434" s="45" t="inlineStr"/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31/12/2030</t>
        </is>
      </c>
      <c r="M435" s="45" t="inlineStr"/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BTSA - Métiers du végétal : alimentation, ornement et environnement</t>
        </is>
      </c>
      <c r="L436" s="45" t="inlineStr">
        <is>
          <t>31/12/2030</t>
        </is>
      </c>
      <c r="M436" s="45" t="inlineStr"/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31/12/2030</t>
        </is>
      </c>
      <c r="M437" s="45" t="inlineStr"/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31/12/2030</t>
        </is>
      </c>
      <c r="M438" s="45" t="inlineStr"/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31/12/2030</t>
        </is>
      </c>
      <c r="M439" s="45" t="inlineStr"/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BAC PRO - Conduite et gestion de l'entreprise hippique</t>
        </is>
      </c>
      <c r="L440" s="45" t="inlineStr">
        <is>
          <t>31/12/2030</t>
        </is>
      </c>
      <c r="M440" s="45" t="inlineStr"/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BAC PRO - Conduite et gestion de l'entreprise agricole</t>
        </is>
      </c>
      <c r="L441" s="45" t="inlineStr">
        <is>
          <t>31/12/2030</t>
        </is>
      </c>
      <c r="M441" s="45" t="inlineStr"/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CS - Apiculture</t>
        </is>
      </c>
      <c r="L442" s="45" t="inlineStr">
        <is>
          <t>31/12/2030</t>
        </is>
      </c>
      <c r="M442" s="45" t="inlineStr"/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CS - Conduite d'un élevage ovin viande</t>
        </is>
      </c>
      <c r="L443" s="45" t="inlineStr">
        <is>
          <t>31/12/2030</t>
        </is>
      </c>
      <c r="M443" s="45" t="inlineStr"/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CS - Conduite d'un élevage porcin</t>
        </is>
      </c>
      <c r="L444" s="45" t="inlineStr">
        <is>
          <t>31/12/2030</t>
        </is>
      </c>
      <c r="M444" s="45" t="inlineStr"/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CS - Conduite d’un élevage bovin lait</t>
        </is>
      </c>
      <c r="L445" s="45" t="inlineStr">
        <is>
          <t>31/12/2030</t>
        </is>
      </c>
      <c r="M445" s="45" t="inlineStr"/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CS - Conduite d’un élevage bovin viande</t>
        </is>
      </c>
      <c r="L446" s="45" t="inlineStr">
        <is>
          <t>31/12/2030</t>
        </is>
      </c>
      <c r="M446" s="45" t="inlineStr"/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CS - Conduite d’un élevage caprin</t>
        </is>
      </c>
      <c r="L447" s="45" t="inlineStr">
        <is>
          <t>31/12/2030</t>
        </is>
      </c>
      <c r="M447" s="45" t="inlineStr"/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CAPA - Lad-cavalier d'entraînement</t>
        </is>
      </c>
      <c r="L448" s="45" t="inlineStr">
        <is>
          <t>31/12/2030</t>
        </is>
      </c>
      <c r="M448" s="45" t="inlineStr"/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CAPA - Maréchal-ferrant</t>
        </is>
      </c>
      <c r="L449" s="45" t="inlineStr">
        <is>
          <t>31/12/2030</t>
        </is>
      </c>
      <c r="M449" s="45" t="inlineStr"/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CAPA - Palefrenier soigneur</t>
        </is>
      </c>
      <c r="L450" s="45" t="inlineStr">
        <is>
          <t>31/12/2030</t>
        </is>
      </c>
      <c r="M450" s="45" t="inlineStr"/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CAPA - Agricultures des régions chaudes</t>
        </is>
      </c>
      <c r="L451" s="45" t="inlineStr">
        <is>
          <t>31/12/2030</t>
        </is>
      </c>
      <c r="M451" s="45" t="inlineStr"/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BPA - ouvrier d'élevage de ruminants et de cultures fourragères</t>
        </is>
      </c>
      <c r="L452" s="45" t="inlineStr">
        <is>
          <t>31/12/2030</t>
        </is>
      </c>
      <c r="M452" s="45" t="inlineStr"/>
      <c r="N452" s="50" t="inlineStr">
        <is>
          <t>NON</t>
        </is>
      </c>
      <c r="O452" s="45" t="inlineStr"/>
    </row>
    <row r="453" customFormat="1" s="3">
      <c r="A453" s="45" t="n"/>
      <c r="B453" s="46" t="inlineStr">
        <is>
          <t>21056</t>
        </is>
      </c>
      <c r="C453" s="46">
        <f>LEFT(Tableau1[[#This Row],[Formacode]],3)</f>
        <v/>
      </c>
      <c r="D453" s="47" t="n">
        <v>39679</v>
      </c>
      <c r="E453" s="48">
        <f>"RNCP"&amp;D453</f>
        <v/>
      </c>
      <c r="F453" s="48" t="inlineStr">
        <is>
          <t>CS - Education et travail des jeunes équidés</t>
        </is>
      </c>
      <c r="G453" s="49">
        <f>E453&amp;" - "&amp;F453</f>
        <v/>
      </c>
      <c r="H453" s="36" t="inlineStr">
        <is>
          <t>RAS</t>
        </is>
      </c>
      <c r="I453" s="45" t="inlineStr"/>
      <c r="J453" s="45" t="inlineStr">
        <is>
          <t>RNCP39679</t>
        </is>
      </c>
      <c r="K453" s="45" t="inlineStr">
        <is>
          <t>CS - Education et travail des jeunes équidés</t>
        </is>
      </c>
      <c r="L453" s="45" t="inlineStr">
        <is>
          <t>31/12/2030</t>
        </is>
      </c>
      <c r="M453" s="45" t="inlineStr"/>
      <c r="N453" s="50" t="inlineStr">
        <is>
          <t>NON</t>
        </is>
      </c>
      <c r="O453" s="45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CS - Conduite d’un élevage de production avicole</t>
        </is>
      </c>
      <c r="L454" s="45" t="inlineStr">
        <is>
          <t>31/12/2030</t>
        </is>
      </c>
      <c r="M454" s="45" t="inlineStr"/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BTSA - Métiers de l'élevage : développement, production, conseil</t>
        </is>
      </c>
      <c r="L455" s="45" t="inlineStr">
        <is>
          <t>31/12/2030</t>
        </is>
      </c>
      <c r="M455" s="45" t="inlineStr"/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BTSA - ACS'AGRI : Analyse, Conduite et Stratégie de l'entreprise Agricole</t>
        </is>
      </c>
      <c r="L456" s="45" t="inlineStr">
        <is>
          <t>31/12/2030</t>
        </is>
      </c>
      <c r="M456" s="45" t="inlineStr"/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31/12/2030</t>
        </is>
      </c>
      <c r="M457" s="45" t="inlineStr"/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CAPA - Métiers de l'agriculture</t>
        </is>
      </c>
      <c r="L458" s="45" t="inlineStr">
        <is>
          <t>31/12/2030</t>
        </is>
      </c>
      <c r="M458" s="45" t="inlineStr"/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CS - Conduite d’un élevage ovin lait</t>
        </is>
      </c>
      <c r="L459" s="45" t="inlineStr">
        <is>
          <t>31/12/2030</t>
        </is>
      </c>
      <c r="M459" s="45" t="inlineStr"/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BP - Responsable d'entreprise hippique</t>
        </is>
      </c>
      <c r="L460" s="45" t="inlineStr">
        <is>
          <t>31/12/2030</t>
        </is>
      </c>
      <c r="M460" s="45" t="inlineStr"/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31/12/2030</t>
        </is>
      </c>
      <c r="M461" s="45" t="inlineStr"/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BTSA - Analyses biologiques, biotechnologiques, agricoles et environnementales (ANABIOTEC)</t>
        </is>
      </c>
      <c r="L462" s="45" t="inlineStr">
        <is>
          <t>31/12/2030</t>
        </is>
      </c>
      <c r="M462" s="45" t="inlineStr"/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BTSA - Métiers du végétal : alimentation, ornement et environnement</t>
        </is>
      </c>
      <c r="L463" s="45" t="inlineStr">
        <is>
          <t>31/12/2030</t>
        </is>
      </c>
      <c r="M463" s="45" t="inlineStr"/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BTSA - Agronomie et cultures durables</t>
        </is>
      </c>
      <c r="L464" s="45" t="inlineStr">
        <is>
          <t>31/12/2030</t>
        </is>
      </c>
      <c r="M464" s="45" t="inlineStr"/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31/12/2030</t>
        </is>
      </c>
      <c r="M465" s="45" t="inlineStr"/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CAPA - Agricultures des régions chaudes</t>
        </is>
      </c>
      <c r="L466" s="45" t="inlineStr">
        <is>
          <t>31/12/2030</t>
        </is>
      </c>
      <c r="M466" s="45" t="inlineStr"/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CS - Conduite de productions en agriculture biologique et commercialisation</t>
        </is>
      </c>
      <c r="L467" s="45" t="inlineStr">
        <is>
          <t>31/12/2030</t>
        </is>
      </c>
      <c r="M467" s="45" t="inlineStr"/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CS - Conduite de la production de plantes à parfum, aromatiques et médicinales</t>
        </is>
      </c>
      <c r="L468" s="45" t="inlineStr">
        <is>
          <t>31/12/2030</t>
        </is>
      </c>
      <c r="M468" s="45" t="inlineStr"/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CS - Conduite de productions maraîchères</t>
        </is>
      </c>
      <c r="L469" s="45" t="inlineStr">
        <is>
          <t>31/12/2030</t>
        </is>
      </c>
      <c r="M469" s="45" t="inlineStr"/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BTSA - Métiers du végétal : alimentation, ornement et environnement</t>
        </is>
      </c>
      <c r="L470" s="45" t="inlineStr">
        <is>
          <t>31/12/2030</t>
        </is>
      </c>
      <c r="M470" s="45" t="inlineStr"/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31/12/2030</t>
        </is>
      </c>
      <c r="M471" s="45" t="inlineStr"/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BTSA - Métiers du végétal : alimentation, ornement et environnement</t>
        </is>
      </c>
      <c r="L472" s="45" t="inlineStr">
        <is>
          <t>31/12/2030</t>
        </is>
      </c>
      <c r="M472" s="45" t="inlineStr"/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31/12/2030</t>
        </is>
      </c>
      <c r="M473" s="45" t="inlineStr"/>
      <c r="N473" s="50" t="inlineStr">
        <is>
          <t>NON</t>
        </is>
      </c>
      <c r="O473" s="45" t="inlineStr"/>
    </row>
    <row r="474" customFormat="1" s="3">
      <c r="A474" s="45" t="n"/>
      <c r="B474" s="46" t="inlineStr">
        <is>
          <t>21084</t>
        </is>
      </c>
      <c r="C474" s="46">
        <f>LEFT(Tableau1[[#This Row],[Formacode]],3)</f>
        <v/>
      </c>
      <c r="D474" s="47" t="n">
        <v>38842</v>
      </c>
      <c r="E474" s="48">
        <f>"RNCP"&amp;D474</f>
        <v/>
      </c>
      <c r="F474" s="48" t="inlineStr">
        <is>
          <t>CS - Commercialisation du bétail : acheteur-estimateur</t>
        </is>
      </c>
      <c r="G474" s="49">
        <f>E474&amp;" - "&amp;F474</f>
        <v/>
      </c>
      <c r="H474" s="36" t="inlineStr">
        <is>
          <t>RAS</t>
        </is>
      </c>
      <c r="I474" s="45" t="inlineStr"/>
      <c r="J474" s="45" t="inlineStr">
        <is>
          <t>RNCP38842</t>
        </is>
      </c>
      <c r="K474" s="45" t="inlineStr">
        <is>
          <t>CS - Commercialisation du bétail : acheteur-estimateur</t>
        </is>
      </c>
      <c r="L474" s="45" t="inlineStr">
        <is>
          <t>31/12/2030</t>
        </is>
      </c>
      <c r="M474" s="45" t="inlineStr"/>
      <c r="N474" s="50" t="inlineStr">
        <is>
          <t>NON</t>
        </is>
      </c>
      <c r="O474" s="45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CS - Production, transformation et commercialisation des produits fermiers</t>
        </is>
      </c>
      <c r="L475" s="45" t="inlineStr">
        <is>
          <t>31/12/2030</t>
        </is>
      </c>
      <c r="M475" s="45" t="inlineStr"/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CS - Commercialisation du bétail</t>
        </is>
      </c>
      <c r="L476" s="45" t="inlineStr">
        <is>
          <t>31/12/2030</t>
        </is>
      </c>
      <c r="M476" s="45" t="inlineStr"/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BTSA - Aquaculture</t>
        </is>
      </c>
      <c r="L477" s="45" t="inlineStr">
        <is>
          <t>31/12/2030</t>
        </is>
      </c>
      <c r="M477" s="45" t="inlineStr"/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BAC PRO - Conduite de productions aquacoles</t>
        </is>
      </c>
      <c r="L478" s="45" t="inlineStr">
        <is>
          <t>31/12/2030</t>
        </is>
      </c>
      <c r="M478" s="45" t="inlineStr"/>
      <c r="N478" s="50" t="inlineStr">
        <is>
          <t>NON</t>
        </is>
      </c>
      <c r="O478" s="45" t="inlineStr"/>
    </row>
    <row r="479" customFormat="1" s="3">
      <c r="A479" s="45" t="n"/>
      <c r="B479" s="46" t="inlineStr">
        <is>
          <t>21347</t>
        </is>
      </c>
      <c r="C479" s="46">
        <f>LEFT(Tableau1[[#This Row],[Formacode]],3)</f>
        <v/>
      </c>
      <c r="D479" s="47" t="n">
        <v>37536</v>
      </c>
      <c r="E479" s="48">
        <f>"RNCP"&amp;D479</f>
        <v/>
      </c>
      <c r="F479" s="48" t="inlineStr">
        <is>
          <t>Certificat d'aptitude professionnelle - Mareyage</t>
        </is>
      </c>
      <c r="G479" s="49">
        <f>E479&amp;" - "&amp;F479</f>
        <v/>
      </c>
      <c r="H479" s="36" t="inlineStr">
        <is>
          <t>RAS</t>
        </is>
      </c>
      <c r="I479" s="45" t="inlineStr"/>
      <c r="J479" s="45" t="inlineStr">
        <is>
          <t>RNCP37536</t>
        </is>
      </c>
      <c r="K479" s="45" t="inlineStr">
        <is>
          <t>Certificat d'aptitude professionnelle - Mareyage</t>
        </is>
      </c>
      <c r="L479" s="45" t="inlineStr">
        <is>
          <t>31/12/2030</t>
        </is>
      </c>
      <c r="M479" s="45" t="inlineStr"/>
      <c r="N479" s="50" t="inlineStr">
        <is>
          <t>NON</t>
        </is>
      </c>
      <c r="O479" s="45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BTSA - Aquaculture</t>
        </is>
      </c>
      <c r="L480" s="45" t="inlineStr">
        <is>
          <t>31/12/2030</t>
        </is>
      </c>
      <c r="M480" s="45" t="inlineStr"/>
      <c r="N480" s="50" t="inlineStr">
        <is>
          <t>NON</t>
        </is>
      </c>
      <c r="O480" s="45" t="inlineStr"/>
    </row>
    <row r="481" customFormat="1" s="3">
      <c r="A481" s="45" t="n"/>
      <c r="B481" s="46" t="inlineStr">
        <is>
          <t>21376</t>
        </is>
      </c>
      <c r="C481" s="46">
        <f>LEFT(Tableau1[[#This Row],[Formacode]],3)</f>
        <v/>
      </c>
      <c r="D481" s="47" t="n">
        <v>37536</v>
      </c>
      <c r="E481" s="48">
        <f>"RNCP"&amp;D481</f>
        <v/>
      </c>
      <c r="F481" s="48" t="inlineStr">
        <is>
          <t>Certificat d'aptitude professionnelle - Mareyage</t>
        </is>
      </c>
      <c r="G481" s="49">
        <f>E481&amp;" - "&amp;F481</f>
        <v/>
      </c>
      <c r="H481" s="36" t="inlineStr">
        <is>
          <t>RAS</t>
        </is>
      </c>
      <c r="I481" s="45" t="inlineStr"/>
      <c r="J481" s="45" t="inlineStr">
        <is>
          <t>RNCP37536</t>
        </is>
      </c>
      <c r="K481" s="45" t="inlineStr">
        <is>
          <t>Certificat d'aptitude professionnelle - Mareyage</t>
        </is>
      </c>
      <c r="L481" s="45" t="inlineStr">
        <is>
          <t>31/12/2030</t>
        </is>
      </c>
      <c r="M481" s="45" t="inlineStr"/>
      <c r="N481" s="50" t="inlineStr">
        <is>
          <t>NON</t>
        </is>
      </c>
      <c r="O481" s="45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BAC PRO - Production en industries pharmaceutiques, alimentaires et cosmétiques (PIPAC)</t>
        </is>
      </c>
      <c r="L482" s="45" t="inlineStr">
        <is>
          <t>31/12/2030</t>
        </is>
      </c>
      <c r="M482" s="45" t="inlineStr"/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BP - Conducteur de ligne de production alimentaire</t>
        </is>
      </c>
      <c r="L483" s="45" t="inlineStr">
        <is>
          <t>31/12/2030</t>
        </is>
      </c>
      <c r="M483" s="45" t="inlineStr"/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31/12/2030</t>
        </is>
      </c>
      <c r="M484" s="45" t="inlineStr"/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31/12/2030</t>
        </is>
      </c>
      <c r="M485" s="45" t="inlineStr"/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31/12/2030</t>
        </is>
      </c>
      <c r="M486" s="45" t="inlineStr"/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31/12/2030</t>
        </is>
      </c>
      <c r="M487" s="45" t="inlineStr"/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31/12/2030</t>
        </is>
      </c>
      <c r="M488" s="45" t="inlineStr"/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31/12/2030</t>
        </is>
      </c>
      <c r="M489" s="45" t="inlineStr"/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31/12/2030</t>
        </is>
      </c>
      <c r="M490" s="45" t="inlineStr"/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BAC PRO - Production en industries pharmaceutiques, alimentaires et cosmétiques (PIPAC)</t>
        </is>
      </c>
      <c r="L491" s="45" t="inlineStr">
        <is>
          <t>31/12/2030</t>
        </is>
      </c>
      <c r="M491" s="45" t="inlineStr"/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BP - Conducteur de ligne de production alimentaire</t>
        </is>
      </c>
      <c r="L492" s="45" t="inlineStr">
        <is>
          <t>31/12/2030</t>
        </is>
      </c>
      <c r="M492" s="45" t="inlineStr"/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31/12/2030</t>
        </is>
      </c>
      <c r="M493" s="45" t="inlineStr"/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31/12/2030</t>
        </is>
      </c>
      <c r="M494" s="45" t="inlineStr"/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31/12/2030</t>
        </is>
      </c>
      <c r="M495" s="45" t="inlineStr"/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31/12/2030</t>
        </is>
      </c>
      <c r="M496" s="45" t="inlineStr"/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31/12/2030</t>
        </is>
      </c>
      <c r="M497" s="45" t="inlineStr"/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31/12/2030</t>
        </is>
      </c>
      <c r="M498" s="45" t="inlineStr"/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31/12/2030</t>
        </is>
      </c>
      <c r="M499" s="45" t="inlineStr"/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BAC PRO - Production en industries pharmaceutiques, alimentaires et cosmétiques (PIPAC)</t>
        </is>
      </c>
      <c r="L500" s="45" t="inlineStr">
        <is>
          <t>31/12/2030</t>
        </is>
      </c>
      <c r="M500" s="45" t="inlineStr"/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BP - Conducteur de ligne de production alimentaire</t>
        </is>
      </c>
      <c r="L501" s="45" t="inlineStr">
        <is>
          <t>31/12/2030</t>
        </is>
      </c>
      <c r="M501" s="45" t="inlineStr"/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31/12/2030</t>
        </is>
      </c>
      <c r="M502" s="45" t="inlineStr"/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31/12/2030</t>
        </is>
      </c>
      <c r="M503" s="45" t="inlineStr"/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31/12/2030</t>
        </is>
      </c>
      <c r="M504" s="45" t="inlineStr"/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31/12/2030</t>
        </is>
      </c>
      <c r="M505" s="45" t="inlineStr"/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31/12/2030</t>
        </is>
      </c>
      <c r="M506" s="45" t="inlineStr"/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31/12/2030</t>
        </is>
      </c>
      <c r="M507" s="45" t="inlineStr"/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31/12/2030</t>
        </is>
      </c>
      <c r="M508" s="45" t="inlineStr"/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BAC PRO - Production en industries pharmaceutiques, alimentaires et cosmétiques (PIPAC)</t>
        </is>
      </c>
      <c r="L509" s="45" t="inlineStr">
        <is>
          <t>31/12/2030</t>
        </is>
      </c>
      <c r="M509" s="45" t="inlineStr"/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BP - Conducteur de ligne de production alimentaire</t>
        </is>
      </c>
      <c r="L510" s="45" t="inlineStr">
        <is>
          <t>31/12/2030</t>
        </is>
      </c>
      <c r="M510" s="45" t="inlineStr"/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31/12/2030</t>
        </is>
      </c>
      <c r="M511" s="45" t="inlineStr"/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31/12/2030</t>
        </is>
      </c>
      <c r="M512" s="45" t="inlineStr"/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31/12/2030</t>
        </is>
      </c>
      <c r="M513" s="45" t="inlineStr"/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31/12/2030</t>
        </is>
      </c>
      <c r="M514" s="45" t="inlineStr"/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31/12/2030</t>
        </is>
      </c>
      <c r="M515" s="45" t="inlineStr"/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31/12/2030</t>
        </is>
      </c>
      <c r="M516" s="45" t="inlineStr"/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31/12/2030</t>
        </is>
      </c>
      <c r="M517" s="45" t="inlineStr"/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BAC PRO - Production en industries pharmaceutiques, alimentaires et cosmétiques (PIPAC)</t>
        </is>
      </c>
      <c r="L518" s="45" t="inlineStr">
        <is>
          <t>31/12/2030</t>
        </is>
      </c>
      <c r="M518" s="45" t="inlineStr"/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BP - Conducteur de ligne de production alimentaire</t>
        </is>
      </c>
      <c r="L519" s="45" t="inlineStr">
        <is>
          <t>31/12/2030</t>
        </is>
      </c>
      <c r="M519" s="45" t="inlineStr"/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31/12/2030</t>
        </is>
      </c>
      <c r="M520" s="45" t="inlineStr"/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31/12/2030</t>
        </is>
      </c>
      <c r="M521" s="45" t="inlineStr"/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31/12/2030</t>
        </is>
      </c>
      <c r="M522" s="45" t="inlineStr"/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31/12/2030</t>
        </is>
      </c>
      <c r="M523" s="45" t="inlineStr"/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31/12/2030</t>
        </is>
      </c>
      <c r="M524" s="45" t="inlineStr"/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31/12/2030</t>
        </is>
      </c>
      <c r="M525" s="45" t="inlineStr"/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31/12/2030</t>
        </is>
      </c>
      <c r="M526" s="45" t="inlineStr"/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BAC PRO - Production en industries pharmaceutiques, alimentaires et cosmétiques (PIPAC)</t>
        </is>
      </c>
      <c r="L527" s="45" t="inlineStr">
        <is>
          <t>31/12/2030</t>
        </is>
      </c>
      <c r="M527" s="45" t="inlineStr"/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BP - Conducteur de ligne de production alimentaire</t>
        </is>
      </c>
      <c r="L528" s="45" t="inlineStr">
        <is>
          <t>31/12/2030</t>
        </is>
      </c>
      <c r="M528" s="45" t="inlineStr"/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31/12/2030</t>
        </is>
      </c>
      <c r="M529" s="45" t="inlineStr"/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31/12/2030</t>
        </is>
      </c>
      <c r="M530" s="45" t="inlineStr"/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31/12/2030</t>
        </is>
      </c>
      <c r="M531" s="45" t="inlineStr"/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31/12/2030</t>
        </is>
      </c>
      <c r="M532" s="45" t="inlineStr"/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31/12/2030</t>
        </is>
      </c>
      <c r="M533" s="45" t="inlineStr"/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31/12/2030</t>
        </is>
      </c>
      <c r="M534" s="45" t="inlineStr"/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31/12/2030</t>
        </is>
      </c>
      <c r="M535" s="45" t="inlineStr"/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CAP - Crémier fromager</t>
        </is>
      </c>
      <c r="L536" s="45" t="inlineStr">
        <is>
          <t>31/12/2030</t>
        </is>
      </c>
      <c r="M536" s="45" t="inlineStr"/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BAC PRO - Production en industries pharmaceutiques, alimentaires et cosmétiques (PIPAC)</t>
        </is>
      </c>
      <c r="L537" s="45" t="inlineStr">
        <is>
          <t>31/12/2030</t>
        </is>
      </c>
      <c r="M537" s="45" t="inlineStr"/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BP - Conducteur de ligne de production alimentaire</t>
        </is>
      </c>
      <c r="L538" s="45" t="inlineStr">
        <is>
          <t>31/12/2030</t>
        </is>
      </c>
      <c r="M538" s="45" t="inlineStr"/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31/12/2030</t>
        </is>
      </c>
      <c r="M539" s="45" t="inlineStr"/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31/12/2030</t>
        </is>
      </c>
      <c r="M540" s="45" t="inlineStr"/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31/12/2030</t>
        </is>
      </c>
      <c r="M541" s="45" t="inlineStr"/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31/12/2030</t>
        </is>
      </c>
      <c r="M542" s="45" t="inlineStr"/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31/12/2030</t>
        </is>
      </c>
      <c r="M543" s="45" t="inlineStr"/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31/12/2030</t>
        </is>
      </c>
      <c r="M544" s="45" t="inlineStr"/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31/12/2030</t>
        </is>
      </c>
      <c r="M545" s="45" t="inlineStr"/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BAC PRO - Production en industries pharmaceutiques, alimentaires et cosmétiques (PIPAC)</t>
        </is>
      </c>
      <c r="L546" s="45" t="inlineStr">
        <is>
          <t>31/12/2030</t>
        </is>
      </c>
      <c r="M546" s="45" t="inlineStr"/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BP - Conducteur de ligne de production alimentaire</t>
        </is>
      </c>
      <c r="L547" s="45" t="inlineStr">
        <is>
          <t>31/12/2030</t>
        </is>
      </c>
      <c r="M547" s="45" t="inlineStr"/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31/12/2030</t>
        </is>
      </c>
      <c r="M548" s="45" t="inlineStr"/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31/12/2030</t>
        </is>
      </c>
      <c r="M549" s="45" t="inlineStr"/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31/12/2030</t>
        </is>
      </c>
      <c r="M550" s="45" t="inlineStr"/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31/12/2030</t>
        </is>
      </c>
      <c r="M551" s="45" t="inlineStr"/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31/12/2030</t>
        </is>
      </c>
      <c r="M552" s="45" t="inlineStr"/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31/12/2030</t>
        </is>
      </c>
      <c r="M553" s="45" t="inlineStr"/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31/12/2030</t>
        </is>
      </c>
      <c r="M554" s="45" t="inlineStr"/>
      <c r="N554" s="50" t="inlineStr">
        <is>
          <t>NON</t>
        </is>
      </c>
      <c r="O554" s="45" t="inlineStr"/>
    </row>
    <row r="555" customFormat="1" s="3">
      <c r="A555" s="45" t="n"/>
      <c r="B555" s="46" t="inlineStr">
        <is>
          <t>21528</t>
        </is>
      </c>
      <c r="C555" s="46">
        <f>LEFT(Tableau1[[#This Row],[Formacode]],3)</f>
        <v/>
      </c>
      <c r="D555" s="47" t="n">
        <v>37534</v>
      </c>
      <c r="E555" s="48">
        <f>"RNCP"&amp;D555</f>
        <v/>
      </c>
      <c r="F555" s="48" t="inlineStr">
        <is>
          <t>Certificat d'aptitude professionnelle - Glacier fabricant</t>
        </is>
      </c>
      <c r="G555" s="49">
        <f>E555&amp;" - "&amp;F555</f>
        <v/>
      </c>
      <c r="H555" s="36" t="inlineStr">
        <is>
          <t>RAS</t>
        </is>
      </c>
      <c r="I555" s="45" t="inlineStr"/>
      <c r="J555" s="45" t="inlineStr">
        <is>
          <t>RNCP37534</t>
        </is>
      </c>
      <c r="K555" s="45" t="inlineStr">
        <is>
          <t>Certificat d'aptitude professionnelle - Glacier fabricant</t>
        </is>
      </c>
      <c r="L555" s="45" t="inlineStr">
        <is>
          <t>31/12/2030</t>
        </is>
      </c>
      <c r="M555" s="45" t="inlineStr"/>
      <c r="N555" s="50" t="inlineStr">
        <is>
          <t>NON</t>
        </is>
      </c>
      <c r="O555" s="45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BAC PRO - Production en industries pharmaceutiques, alimentaires et cosmétiques (PIPAC)</t>
        </is>
      </c>
      <c r="L556" s="45" t="inlineStr">
        <is>
          <t>31/12/2030</t>
        </is>
      </c>
      <c r="M556" s="45" t="inlineStr"/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BAC PRO - Boulanger-pâtissier</t>
        </is>
      </c>
      <c r="L557" s="45" t="inlineStr">
        <is>
          <t>31/12/2030</t>
        </is>
      </c>
      <c r="M557" s="45" t="inlineStr"/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Certificat d'aptitude professionnelle - Chocolaterie-confiserie</t>
        </is>
      </c>
      <c r="L558" s="45" t="inlineStr">
        <is>
          <t>31/12/2030</t>
        </is>
      </c>
      <c r="M558" s="45" t="inlineStr"/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Certificat de spécialisation - Pâtisserie de boutique</t>
        </is>
      </c>
      <c r="L559" s="45" t="inlineStr">
        <is>
          <t>31/12/2030</t>
        </is>
      </c>
      <c r="M559" s="45" t="inlineStr"/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Certificat de spécialisation - Techniques du tour en boulangerie et en pâtisserie</t>
        </is>
      </c>
      <c r="L560" s="45" t="inlineStr">
        <is>
          <t>31/12/2030</t>
        </is>
      </c>
      <c r="M560" s="45" t="inlineStr"/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CAP - Pâtissier</t>
        </is>
      </c>
      <c r="L561" s="45" t="inlineStr">
        <is>
          <t>31/12/2030</t>
        </is>
      </c>
      <c r="M561" s="45" t="inlineStr"/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BP - Conducteur de ligne de production alimentaire</t>
        </is>
      </c>
      <c r="L562" s="45" t="inlineStr">
        <is>
          <t>31/12/2030</t>
        </is>
      </c>
      <c r="M562" s="45" t="inlineStr"/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31/12/2030</t>
        </is>
      </c>
      <c r="M563" s="45" t="inlineStr"/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31/12/2030</t>
        </is>
      </c>
      <c r="M564" s="45" t="inlineStr"/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31/12/2030</t>
        </is>
      </c>
      <c r="M565" s="45" t="inlineStr"/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31/12/2030</t>
        </is>
      </c>
      <c r="M566" s="45" t="inlineStr"/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31/12/2030</t>
        </is>
      </c>
      <c r="M567" s="45" t="inlineStr"/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31/12/2030</t>
        </is>
      </c>
      <c r="M568" s="45" t="inlineStr"/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31/12/2030</t>
        </is>
      </c>
      <c r="M569" s="45" t="inlineStr"/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31/12/2030</t>
        </is>
      </c>
      <c r="M570" s="45" t="inlineStr"/>
      <c r="N570" s="50" t="inlineStr">
        <is>
          <t>NON</t>
        </is>
      </c>
      <c r="O570" s="45" t="inlineStr"/>
    </row>
    <row r="571" customFormat="1" s="3">
      <c r="A571" s="45" t="n"/>
      <c r="B571" s="46" t="inlineStr">
        <is>
          <t>21532</t>
        </is>
      </c>
      <c r="C571" s="46">
        <f>LEFT(Tableau1[[#This Row],[Formacode]],3)</f>
        <v/>
      </c>
      <c r="D571" s="47" t="n">
        <v>35863</v>
      </c>
      <c r="E571" s="48">
        <f>"RNCP"&amp;D571</f>
        <v/>
      </c>
      <c r="F571" s="48" t="inlineStr">
        <is>
          <t>Sommelier-conseil, caviste</t>
        </is>
      </c>
      <c r="G571" s="49">
        <f>E571&amp;" - "&amp;F571</f>
        <v/>
      </c>
      <c r="H571" s="36" t="inlineStr">
        <is>
          <t>RAS</t>
        </is>
      </c>
      <c r="I571" s="45" t="inlineStr"/>
      <c r="J571" s="45" t="inlineStr">
        <is>
          <t>RNCP35863</t>
        </is>
      </c>
      <c r="K571" s="45" t="inlineStr">
        <is>
          <t>Sommelier-conseil, caviste</t>
        </is>
      </c>
      <c r="L571" s="45" t="inlineStr">
        <is>
          <t>31/12/2030</t>
        </is>
      </c>
      <c r="M571" s="45" t="inlineStr"/>
      <c r="N571" s="50" t="inlineStr">
        <is>
          <t>NON</t>
        </is>
      </c>
      <c r="O571" s="45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BTSA - Viticulture-Œnologie</t>
        </is>
      </c>
      <c r="L572" s="45" t="inlineStr">
        <is>
          <t>31/12/2030</t>
        </is>
      </c>
      <c r="M572" s="45" t="inlineStr"/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BAC PRO - Production en industries pharmaceutiques, alimentaires et cosmétiques (PIPAC)</t>
        </is>
      </c>
      <c r="L573" s="45" t="inlineStr">
        <is>
          <t>31/12/2030</t>
        </is>
      </c>
      <c r="M573" s="45" t="inlineStr"/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CS - Commercialisation des vins</t>
        </is>
      </c>
      <c r="L574" s="45" t="inlineStr">
        <is>
          <t>31/12/2030</t>
        </is>
      </c>
      <c r="M574" s="45" t="inlineStr"/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BP - Conducteur de ligne de production alimentaire</t>
        </is>
      </c>
      <c r="L575" s="45" t="inlineStr">
        <is>
          <t>31/12/2030</t>
        </is>
      </c>
      <c r="M575" s="45" t="inlineStr"/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31/12/2030</t>
        </is>
      </c>
      <c r="M576" s="45" t="inlineStr"/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31/12/2030</t>
        </is>
      </c>
      <c r="M577" s="45" t="inlineStr"/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31/12/2030</t>
        </is>
      </c>
      <c r="M578" s="45" t="inlineStr"/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31/12/2030</t>
        </is>
      </c>
      <c r="M579" s="45" t="inlineStr"/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31/12/2030</t>
        </is>
      </c>
      <c r="M580" s="45" t="inlineStr"/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31/12/2030</t>
        </is>
      </c>
      <c r="M581" s="45" t="inlineStr"/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31/12/2030</t>
        </is>
      </c>
      <c r="M582" s="45" t="inlineStr"/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31/12/2030</t>
        </is>
      </c>
      <c r="M583" s="45" t="inlineStr"/>
      <c r="N583" s="50" t="inlineStr">
        <is>
          <t>NON</t>
        </is>
      </c>
      <c r="O583" s="45" t="inlineStr"/>
    </row>
    <row r="584" customFormat="1" s="3">
      <c r="A584" s="45" t="n"/>
      <c r="B584" s="46" t="inlineStr">
        <is>
          <t>21538</t>
        </is>
      </c>
      <c r="C584" s="46">
        <f>LEFT(Tableau1[[#This Row],[Formacode]],3)</f>
        <v/>
      </c>
      <c r="D584" s="47" t="n">
        <v>37313</v>
      </c>
      <c r="E584" s="48">
        <f>"RNCP"&amp;D584</f>
        <v/>
      </c>
      <c r="F584" s="48" t="inlineStr">
        <is>
          <t>CS - Boulangerie spécialisée</t>
        </is>
      </c>
      <c r="G584" s="49">
        <f>E584&amp;" - "&amp;F584</f>
        <v/>
      </c>
      <c r="H584" s="36" t="inlineStr">
        <is>
          <t>RAS</t>
        </is>
      </c>
      <c r="I584" s="45" t="inlineStr"/>
      <c r="J584" s="45" t="inlineStr">
        <is>
          <t>RNCP37313</t>
        </is>
      </c>
      <c r="K584" s="45" t="inlineStr">
        <is>
          <t>CS - Boulangerie spécialisée</t>
        </is>
      </c>
      <c r="L584" s="45" t="inlineStr">
        <is>
          <t>31/12/2030</t>
        </is>
      </c>
      <c r="M584" s="45" t="inlineStr"/>
      <c r="N584" s="50" t="inlineStr">
        <is>
          <t>NON</t>
        </is>
      </c>
      <c r="O584" s="45" t="inlineStr"/>
    </row>
    <row r="585" customFormat="1" s="3">
      <c r="A585" s="45" t="n"/>
      <c r="B585" s="46" t="inlineStr">
        <is>
          <t>21538</t>
        </is>
      </c>
      <c r="C585" s="46">
        <f>LEFT(Tableau1[[#This Row],[Formacode]],3)</f>
        <v/>
      </c>
      <c r="D585" s="47" t="n">
        <v>37439</v>
      </c>
      <c r="E585" s="48">
        <f>"RNCP"&amp;D585</f>
        <v/>
      </c>
      <c r="F585" s="48" t="inlineStr">
        <is>
          <t>Boulanger</t>
        </is>
      </c>
      <c r="G585" s="49">
        <f>E585&amp;" - "&amp;F585</f>
        <v/>
      </c>
      <c r="H585" s="36" t="inlineStr">
        <is>
          <t>RAS</t>
        </is>
      </c>
      <c r="I585" s="45" t="inlineStr"/>
      <c r="J585" s="45" t="inlineStr">
        <is>
          <t>RNCP37439</t>
        </is>
      </c>
      <c r="K585" s="45" t="inlineStr">
        <is>
          <t>Boulanger</t>
        </is>
      </c>
      <c r="L585" s="45" t="inlineStr">
        <is>
          <t>31/12/2030</t>
        </is>
      </c>
      <c r="M585" s="45" t="inlineStr"/>
      <c r="N585" s="50" t="inlineStr">
        <is>
          <t>NON</t>
        </is>
      </c>
      <c r="O585" s="45" t="inlineStr"/>
    </row>
    <row r="586" customFormat="1" s="3">
      <c r="A586" s="45" t="n"/>
      <c r="B586" s="46" t="inlineStr">
        <is>
          <t>21538</t>
        </is>
      </c>
      <c r="C586" s="46">
        <f>LEFT(Tableau1[[#This Row],[Formacode]],3)</f>
        <v/>
      </c>
      <c r="D586" s="47" t="n">
        <v>37491</v>
      </c>
      <c r="E586" s="48">
        <f>"RNCP"&amp;D586</f>
        <v/>
      </c>
      <c r="F586" s="48" t="inlineStr">
        <is>
          <t>BP - Boulanger</t>
        </is>
      </c>
      <c r="G586" s="49">
        <f>E586&amp;" - "&amp;F586</f>
        <v/>
      </c>
      <c r="H586" s="36" t="inlineStr">
        <is>
          <t>RAS</t>
        </is>
      </c>
      <c r="I586" s="45" t="inlineStr"/>
      <c r="J586" s="45" t="inlineStr">
        <is>
          <t>RNCP37491</t>
        </is>
      </c>
      <c r="K586" s="45" t="inlineStr">
        <is>
          <t>BP - Boulanger</t>
        </is>
      </c>
      <c r="L586" s="45" t="inlineStr">
        <is>
          <t>31/12/2030</t>
        </is>
      </c>
      <c r="M586" s="45" t="inlineStr"/>
      <c r="N586" s="50" t="inlineStr">
        <is>
          <t>NON</t>
        </is>
      </c>
      <c r="O586" s="45" t="inlineStr"/>
    </row>
    <row r="587" customFormat="1" s="3">
      <c r="A587" s="45" t="n"/>
      <c r="B587" s="46" t="inlineStr">
        <is>
          <t>21538</t>
        </is>
      </c>
      <c r="C587" s="46">
        <f>LEFT(Tableau1[[#This Row],[Formacode]],3)</f>
        <v/>
      </c>
      <c r="D587" s="47" t="n">
        <v>37537</v>
      </c>
      <c r="E587" s="48">
        <f>"RNCP"&amp;D587</f>
        <v/>
      </c>
      <c r="F587" s="48" t="inlineStr">
        <is>
          <t>CAP - Boulanger</t>
        </is>
      </c>
      <c r="G587" s="49">
        <f>E587&amp;" - "&amp;F587</f>
        <v/>
      </c>
      <c r="H587" s="36" t="inlineStr">
        <is>
          <t>RAS</t>
        </is>
      </c>
      <c r="I587" s="45" t="inlineStr"/>
      <c r="J587" s="45" t="inlineStr">
        <is>
          <t>RNCP37537</t>
        </is>
      </c>
      <c r="K587" s="45" t="inlineStr">
        <is>
          <t>CAP - Boulanger</t>
        </is>
      </c>
      <c r="L587" s="45" t="inlineStr">
        <is>
          <t>31/12/2030</t>
        </is>
      </c>
      <c r="M587" s="45" t="inlineStr"/>
      <c r="N587" s="50" t="inlineStr">
        <is>
          <t>NON</t>
        </is>
      </c>
      <c r="O587" s="45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BAC PRO - Production en industries pharmaceutiques, alimentaires et cosmétiques (PIPAC)</t>
        </is>
      </c>
      <c r="L588" s="45" t="inlineStr">
        <is>
          <t>31/12/2030</t>
        </is>
      </c>
      <c r="M588" s="45" t="inlineStr"/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BAC PRO - Boulanger-pâtissier</t>
        </is>
      </c>
      <c r="L589" s="45" t="inlineStr">
        <is>
          <t>31/12/2030</t>
        </is>
      </c>
      <c r="M589" s="45" t="inlineStr"/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Certificat de spécialisation - Techniques du tour en boulangerie et en pâtisserie</t>
        </is>
      </c>
      <c r="L590" s="45" t="inlineStr">
        <is>
          <t>31/12/2030</t>
        </is>
      </c>
      <c r="M590" s="45" t="inlineStr"/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BP - Conducteur de ligne de production alimentaire</t>
        </is>
      </c>
      <c r="L591" s="45" t="inlineStr">
        <is>
          <t>31/12/2030</t>
        </is>
      </c>
      <c r="M591" s="45" t="inlineStr"/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31/12/2030</t>
        </is>
      </c>
      <c r="M592" s="45" t="inlineStr"/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31/12/2030</t>
        </is>
      </c>
      <c r="M593" s="45" t="inlineStr"/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31/12/2030</t>
        </is>
      </c>
      <c r="M594" s="45" t="inlineStr"/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31/12/2030</t>
        </is>
      </c>
      <c r="M595" s="45" t="inlineStr"/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31/12/2030</t>
        </is>
      </c>
      <c r="M596" s="45" t="inlineStr"/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31/12/2030</t>
        </is>
      </c>
      <c r="M597" s="45" t="inlineStr"/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31/12/2030</t>
        </is>
      </c>
      <c r="M598" s="45" t="inlineStr"/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31/12/2030</t>
        </is>
      </c>
      <c r="M599" s="45" t="inlineStr"/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31/12/2030</t>
        </is>
      </c>
      <c r="M600" s="45" t="inlineStr"/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BAC PRO - Production en industries pharmaceutiques, alimentaires et cosmétiques (PIPAC)</t>
        </is>
      </c>
      <c r="L601" s="45" t="inlineStr">
        <is>
          <t>31/12/2030</t>
        </is>
      </c>
      <c r="M601" s="45" t="inlineStr"/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BP - Conducteur de ligne de production alimentaire</t>
        </is>
      </c>
      <c r="L602" s="45" t="inlineStr">
        <is>
          <t>31/12/2030</t>
        </is>
      </c>
      <c r="M602" s="45" t="inlineStr"/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31/12/2030</t>
        </is>
      </c>
      <c r="M603" s="45" t="inlineStr"/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31/12/2030</t>
        </is>
      </c>
      <c r="M604" s="45" t="inlineStr"/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31/12/2030</t>
        </is>
      </c>
      <c r="M605" s="45" t="inlineStr"/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31/12/2030</t>
        </is>
      </c>
      <c r="M606" s="45" t="inlineStr"/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31/12/2030</t>
        </is>
      </c>
      <c r="M607" s="45" t="inlineStr"/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31/12/2030</t>
        </is>
      </c>
      <c r="M608" s="45" t="inlineStr"/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31/12/2030</t>
        </is>
      </c>
      <c r="M609" s="45" t="inlineStr"/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BAC PRO - Production en industries pharmaceutiques, alimentaires et cosmétiques (PIPAC)</t>
        </is>
      </c>
      <c r="L610" s="45" t="inlineStr">
        <is>
          <t>31/12/2030</t>
        </is>
      </c>
      <c r="M610" s="45" t="inlineStr"/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BP - Conducteur de ligne de production alimentaire</t>
        </is>
      </c>
      <c r="L611" s="45" t="inlineStr">
        <is>
          <t>31/12/2030</t>
        </is>
      </c>
      <c r="M611" s="45" t="inlineStr"/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31/12/2030</t>
        </is>
      </c>
      <c r="M612" s="45" t="inlineStr"/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31/12/2030</t>
        </is>
      </c>
      <c r="M613" s="45" t="inlineStr"/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31/12/2030</t>
        </is>
      </c>
      <c r="M614" s="45" t="inlineStr"/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31/12/2030</t>
        </is>
      </c>
      <c r="M615" s="45" t="inlineStr"/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31/12/2030</t>
        </is>
      </c>
      <c r="M616" s="45" t="inlineStr"/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BTS - Bioqualité</t>
        </is>
      </c>
      <c r="L617" s="45" t="inlineStr">
        <is>
          <t>31/12/2030</t>
        </is>
      </c>
      <c r="M617" s="45" t="inlineStr"/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31/12/2030</t>
        </is>
      </c>
      <c r="M618" s="45" t="inlineStr"/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31/12/2030</t>
        </is>
      </c>
      <c r="M619" s="45" t="inlineStr"/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BAC PRO - Production en industries pharmaceutiques, alimentaires et cosmétiques (PIPAC)</t>
        </is>
      </c>
      <c r="L620" s="45" t="inlineStr">
        <is>
          <t>31/12/2030</t>
        </is>
      </c>
      <c r="M620" s="45" t="inlineStr"/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BP - Conducteur de ligne de production alimentaire</t>
        </is>
      </c>
      <c r="L621" s="45" t="inlineStr">
        <is>
          <t>31/12/2030</t>
        </is>
      </c>
      <c r="M621" s="45" t="inlineStr"/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31/12/2030</t>
        </is>
      </c>
      <c r="M622" s="45" t="inlineStr"/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31/12/2030</t>
        </is>
      </c>
      <c r="M623" s="45" t="inlineStr"/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31/12/2030</t>
        </is>
      </c>
      <c r="M624" s="45" t="inlineStr"/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31/12/2030</t>
        </is>
      </c>
      <c r="M625" s="45" t="inlineStr"/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31/12/2030</t>
        </is>
      </c>
      <c r="M626" s="45" t="inlineStr"/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31/12/2030</t>
        </is>
      </c>
      <c r="M627" s="45" t="inlineStr"/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31/12/2030</t>
        </is>
      </c>
      <c r="M628" s="45" t="inlineStr"/>
      <c r="N628" s="50" t="inlineStr">
        <is>
          <t>NON</t>
        </is>
      </c>
      <c r="O628" s="45" t="inlineStr"/>
    </row>
    <row r="629" customFormat="1" s="3">
      <c r="A629" s="45" t="n"/>
      <c r="B629" s="46" t="inlineStr">
        <is>
          <t>21551</t>
        </is>
      </c>
      <c r="C629" s="46">
        <f>LEFT(Tableau1[[#This Row],[Formacode]],3)</f>
        <v/>
      </c>
      <c r="D629" s="47" t="n">
        <v>35863</v>
      </c>
      <c r="E629" s="48">
        <f>"RNCP"&amp;D629</f>
        <v/>
      </c>
      <c r="F629" s="48" t="inlineStr">
        <is>
          <t>Sommelier-conseil, caviste</t>
        </is>
      </c>
      <c r="G629" s="49">
        <f>E629&amp;" - "&amp;F629</f>
        <v/>
      </c>
      <c r="H629" s="36" t="inlineStr">
        <is>
          <t>RAS</t>
        </is>
      </c>
      <c r="I629" s="45" t="inlineStr"/>
      <c r="J629" s="45" t="inlineStr">
        <is>
          <t>RNCP35863</t>
        </is>
      </c>
      <c r="K629" s="45" t="inlineStr">
        <is>
          <t>Sommelier-conseil, caviste</t>
        </is>
      </c>
      <c r="L629" s="45" t="inlineStr">
        <is>
          <t>31/12/2030</t>
        </is>
      </c>
      <c r="M629" s="45" t="inlineStr"/>
      <c r="N629" s="50" t="inlineStr">
        <is>
          <t>NON</t>
        </is>
      </c>
      <c r="O629" s="45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BAC PRO - Production en industries pharmaceutiques, alimentaires et cosmétiques (PIPAC)</t>
        </is>
      </c>
      <c r="L630" s="45" t="inlineStr">
        <is>
          <t>31/12/2030</t>
        </is>
      </c>
      <c r="M630" s="45" t="inlineStr"/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CS - Commercialisation des vins</t>
        </is>
      </c>
      <c r="L631" s="45" t="inlineStr">
        <is>
          <t>31/12/2030</t>
        </is>
      </c>
      <c r="M631" s="45" t="inlineStr"/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BP - Conducteur de ligne de production alimentaire</t>
        </is>
      </c>
      <c r="L632" s="45" t="inlineStr">
        <is>
          <t>31/12/2030</t>
        </is>
      </c>
      <c r="M632" s="45" t="inlineStr"/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CS - Conduite d’un élevage de production avicole</t>
        </is>
      </c>
      <c r="L633" s="45" t="inlineStr">
        <is>
          <t>31/12/2030</t>
        </is>
      </c>
      <c r="M633" s="45" t="inlineStr"/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31/12/2030</t>
        </is>
      </c>
      <c r="M634" s="45" t="inlineStr"/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31/12/2030</t>
        </is>
      </c>
      <c r="M635" s="45" t="inlineStr"/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31/12/2030</t>
        </is>
      </c>
      <c r="M636" s="45" t="inlineStr"/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31/12/2030</t>
        </is>
      </c>
      <c r="M637" s="45" t="inlineStr"/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31/12/2030</t>
        </is>
      </c>
      <c r="M638" s="45" t="inlineStr"/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31/12/2030</t>
        </is>
      </c>
      <c r="M639" s="45" t="inlineStr"/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31/12/2030</t>
        </is>
      </c>
      <c r="M640" s="45" t="inlineStr"/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31/12/2030</t>
        </is>
      </c>
      <c r="M641" s="45" t="inlineStr"/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BAC PRO - Production en industries pharmaceutiques, alimentaires et cosmétiques (PIPAC)</t>
        </is>
      </c>
      <c r="L642" s="45" t="inlineStr">
        <is>
          <t>31/12/2030</t>
        </is>
      </c>
      <c r="M642" s="45" t="inlineStr"/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BP - Conducteur de ligne de production alimentaire</t>
        </is>
      </c>
      <c r="L643" s="45" t="inlineStr">
        <is>
          <t>31/12/2030</t>
        </is>
      </c>
      <c r="M643" s="45" t="inlineStr"/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31/12/2030</t>
        </is>
      </c>
      <c r="M644" s="45" t="inlineStr"/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31/12/2030</t>
        </is>
      </c>
      <c r="M645" s="45" t="inlineStr"/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31/12/2030</t>
        </is>
      </c>
      <c r="M646" s="45" t="inlineStr"/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31/12/2030</t>
        </is>
      </c>
      <c r="M647" s="45" t="inlineStr"/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31/12/2030</t>
        </is>
      </c>
      <c r="M648" s="45" t="inlineStr"/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31/12/2030</t>
        </is>
      </c>
      <c r="M649" s="45" t="inlineStr"/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31/12/2030</t>
        </is>
      </c>
      <c r="M650" s="45" t="inlineStr"/>
      <c r="N650" s="50" t="inlineStr">
        <is>
          <t>NON</t>
        </is>
      </c>
      <c r="O650" s="45" t="inlineStr"/>
    </row>
    <row r="651" customFormat="1" s="3">
      <c r="A651" s="45" t="n"/>
      <c r="B651" s="46" t="inlineStr">
        <is>
          <t>21567</t>
        </is>
      </c>
      <c r="C651" s="46">
        <f>LEFT(Tableau1[[#This Row],[Formacode]],3)</f>
        <v/>
      </c>
      <c r="D651" s="47" t="n">
        <v>37383</v>
      </c>
      <c r="E651" s="48">
        <f>"RNCP"&amp;D651</f>
        <v/>
      </c>
      <c r="F651" s="48" t="inlineStr">
        <is>
          <t>CAP - Poissonnier- écailler</t>
        </is>
      </c>
      <c r="G651" s="49">
        <f>E651&amp;" - "&amp;F651</f>
        <v/>
      </c>
      <c r="H651" s="36" t="inlineStr">
        <is>
          <t>RAS</t>
        </is>
      </c>
      <c r="I651" s="45" t="inlineStr"/>
      <c r="J651" s="45" t="inlineStr">
        <is>
          <t>RNCP37383</t>
        </is>
      </c>
      <c r="K651" s="45" t="inlineStr">
        <is>
          <t>CAP - Poissonnier- écailler</t>
        </is>
      </c>
      <c r="L651" s="45" t="inlineStr">
        <is>
          <t>31/12/2030</t>
        </is>
      </c>
      <c r="M651" s="45" t="inlineStr"/>
      <c r="N651" s="50" t="inlineStr">
        <is>
          <t>NON</t>
        </is>
      </c>
      <c r="O651" s="45" t="inlineStr"/>
    </row>
    <row r="652" customFormat="1" s="3">
      <c r="A652" s="45" t="n"/>
      <c r="B652" s="46" t="inlineStr">
        <is>
          <t>21567</t>
        </is>
      </c>
      <c r="C652" s="46">
        <f>LEFT(Tableau1[[#This Row],[Formacode]],3)</f>
        <v/>
      </c>
      <c r="D652" s="47" t="n">
        <v>37536</v>
      </c>
      <c r="E652" s="48">
        <f>"RNCP"&amp;D652</f>
        <v/>
      </c>
      <c r="F652" s="48" t="inlineStr">
        <is>
          <t>Certificat d'aptitude professionnelle - Mareyage</t>
        </is>
      </c>
      <c r="G652" s="49">
        <f>E652&amp;" - "&amp;F652</f>
        <v/>
      </c>
      <c r="H652" s="36" t="inlineStr">
        <is>
          <t>RAS</t>
        </is>
      </c>
      <c r="I652" s="45" t="inlineStr"/>
      <c r="J652" s="45" t="inlineStr">
        <is>
          <t>RNCP37536</t>
        </is>
      </c>
      <c r="K652" s="45" t="inlineStr">
        <is>
          <t>Certificat d'aptitude professionnelle - Mareyage</t>
        </is>
      </c>
      <c r="L652" s="45" t="inlineStr">
        <is>
          <t>31/12/2030</t>
        </is>
      </c>
      <c r="M652" s="45" t="inlineStr"/>
      <c r="N652" s="50" t="inlineStr">
        <is>
          <t>NON</t>
        </is>
      </c>
      <c r="O652" s="45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BAC PRO - Production en industries pharmaceutiques, alimentaires et cosmétiques (PIPAC)</t>
        </is>
      </c>
      <c r="L653" s="45" t="inlineStr">
        <is>
          <t>31/12/2030</t>
        </is>
      </c>
      <c r="M653" s="45" t="inlineStr"/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BP - Conducteur de ligne de production alimentaire</t>
        </is>
      </c>
      <c r="L654" s="45" t="inlineStr">
        <is>
          <t>31/12/2030</t>
        </is>
      </c>
      <c r="M654" s="45" t="inlineStr"/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31/12/2030</t>
        </is>
      </c>
      <c r="M655" s="45" t="inlineStr"/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31/12/2030</t>
        </is>
      </c>
      <c r="M656" s="45" t="inlineStr"/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31/12/2030</t>
        </is>
      </c>
      <c r="M657" s="45" t="inlineStr"/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31/12/2030</t>
        </is>
      </c>
      <c r="M658" s="45" t="inlineStr"/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31/12/2030</t>
        </is>
      </c>
      <c r="M659" s="45" t="inlineStr"/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31/12/2030</t>
        </is>
      </c>
      <c r="M660" s="45" t="inlineStr"/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31/12/2030</t>
        </is>
      </c>
      <c r="M661" s="45" t="inlineStr"/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BTSA - Analyses biologiques, biotechnologiques, agricoles et environnementales (ANABIOTEC)</t>
        </is>
      </c>
      <c r="L662" s="45" t="inlineStr">
        <is>
          <t>31/12/2030</t>
        </is>
      </c>
      <c r="M662" s="45" t="inlineStr"/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BTSA - Qualité, alimentation, innovation et maîtrise sanitaire (BIOQUALIM)</t>
        </is>
      </c>
      <c r="L663" s="45" t="inlineStr">
        <is>
          <t>31/12/2030</t>
        </is>
      </c>
      <c r="M663" s="45" t="inlineStr"/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BAC PRO - Production en industries pharmaceutiques, alimentaires et cosmétiques (PIPAC)</t>
        </is>
      </c>
      <c r="L664" s="45" t="inlineStr">
        <is>
          <t>31/12/2030</t>
        </is>
      </c>
      <c r="M664" s="45" t="inlineStr"/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TP - Conducteur d'équipements agroalimentaires</t>
        </is>
      </c>
      <c r="L665" s="45" t="inlineStr">
        <is>
          <t>31/12/2030</t>
        </is>
      </c>
      <c r="M665" s="45" t="inlineStr"/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CAPA - Opérateur en industries agroalimentaires</t>
        </is>
      </c>
      <c r="L666" s="45" t="inlineStr">
        <is>
          <t>31/12/2030</t>
        </is>
      </c>
      <c r="M666" s="45" t="inlineStr"/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BP - Conducteur de ligne de production alimentaire</t>
        </is>
      </c>
      <c r="L667" s="45" t="inlineStr">
        <is>
          <t>31/12/2030</t>
        </is>
      </c>
      <c r="M667" s="45" t="inlineStr"/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31/12/2030</t>
        </is>
      </c>
      <c r="M668" s="45" t="inlineStr"/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31/12/2030</t>
        </is>
      </c>
      <c r="M669" s="45" t="inlineStr"/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31/12/2030</t>
        </is>
      </c>
      <c r="M670" s="45" t="inlineStr"/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31/12/2030</t>
        </is>
      </c>
      <c r="M671" s="45" t="inlineStr"/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31/12/2030</t>
        </is>
      </c>
      <c r="M672" s="45" t="inlineStr"/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BTS - Bioqualité</t>
        </is>
      </c>
      <c r="L673" s="45" t="inlineStr">
        <is>
          <t>31/12/2030</t>
        </is>
      </c>
      <c r="M673" s="45" t="inlineStr"/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31/12/2030</t>
        </is>
      </c>
      <c r="M674" s="45" t="inlineStr"/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31/12/2030</t>
        </is>
      </c>
      <c r="M675" s="45" t="inlineStr"/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BAC PRO - Production en industries pharmaceutiques, alimentaires et cosmétiques (PIPAC)</t>
        </is>
      </c>
      <c r="L676" s="45" t="inlineStr">
        <is>
          <t>31/12/2030</t>
        </is>
      </c>
      <c r="M676" s="45" t="inlineStr"/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CAPA - Opérateur en industries agroalimentaires</t>
        </is>
      </c>
      <c r="L677" s="45" t="inlineStr">
        <is>
          <t>31/12/2030</t>
        </is>
      </c>
      <c r="M677" s="45" t="inlineStr"/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BP - Conducteur de ligne de production alimentaire</t>
        </is>
      </c>
      <c r="L678" s="45" t="inlineStr">
        <is>
          <t>31/12/2030</t>
        </is>
      </c>
      <c r="M678" s="45" t="inlineStr"/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31/12/2030</t>
        </is>
      </c>
      <c r="M679" s="45" t="inlineStr"/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31/12/2030</t>
        </is>
      </c>
      <c r="M680" s="45" t="inlineStr"/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31/12/2030</t>
        </is>
      </c>
      <c r="M681" s="45" t="inlineStr"/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31/12/2030</t>
        </is>
      </c>
      <c r="M682" s="45" t="inlineStr"/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31/12/2030</t>
        </is>
      </c>
      <c r="M683" s="45" t="inlineStr"/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31/12/2030</t>
        </is>
      </c>
      <c r="M684" s="45" t="inlineStr"/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31/12/2030</t>
        </is>
      </c>
      <c r="M685" s="45" t="inlineStr"/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BAC PRO - Production en industries pharmaceutiques, alimentaires et cosmétiques (PIPAC)</t>
        </is>
      </c>
      <c r="L686" s="45" t="inlineStr">
        <is>
          <t>31/12/2030</t>
        </is>
      </c>
      <c r="M686" s="45" t="inlineStr"/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TP - Conducteur d'équipements agroalimentaires</t>
        </is>
      </c>
      <c r="L687" s="45" t="inlineStr">
        <is>
          <t>31/12/2030</t>
        </is>
      </c>
      <c r="M687" s="45" t="inlineStr"/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CAPA - Opérateur en industries agroalimentaires</t>
        </is>
      </c>
      <c r="L688" s="45" t="inlineStr">
        <is>
          <t>31/12/2030</t>
        </is>
      </c>
      <c r="M688" s="45" t="inlineStr"/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BP - Conducteur de ligne de production alimentaire</t>
        </is>
      </c>
      <c r="L689" s="45" t="inlineStr">
        <is>
          <t>31/12/2030</t>
        </is>
      </c>
      <c r="M689" s="45" t="inlineStr"/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31/12/2030</t>
        </is>
      </c>
      <c r="M690" s="45" t="inlineStr"/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31/12/2030</t>
        </is>
      </c>
      <c r="M691" s="45" t="inlineStr"/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31/12/2030</t>
        </is>
      </c>
      <c r="M692" s="45" t="inlineStr"/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31/12/2030</t>
        </is>
      </c>
      <c r="M693" s="45" t="inlineStr"/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31/12/2030</t>
        </is>
      </c>
      <c r="M694" s="45" t="inlineStr"/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31/12/2030</t>
        </is>
      </c>
      <c r="M695" s="45" t="inlineStr"/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31/12/2030</t>
        </is>
      </c>
      <c r="M696" s="45" t="inlineStr"/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Brevet professionnel - Charcutier - traiteur</t>
        </is>
      </c>
      <c r="L697" s="45" t="inlineStr">
        <is>
          <t>31/12/2030</t>
        </is>
      </c>
      <c r="M697" s="45" t="inlineStr"/>
      <c r="N697" s="50" t="inlineStr">
        <is>
          <t>NON</t>
        </is>
      </c>
      <c r="O697" s="45" t="inlineStr"/>
    </row>
    <row r="698" customFormat="1" s="3">
      <c r="A698" s="45" t="n"/>
      <c r="B698" s="46" t="inlineStr">
        <is>
          <t>21576</t>
        </is>
      </c>
      <c r="C698" s="46">
        <f>LEFT(Tableau1[[#This Row],[Formacode]],3)</f>
        <v/>
      </c>
      <c r="D698" s="47" t="n">
        <v>37566</v>
      </c>
      <c r="E698" s="48">
        <f>"RNCP"&amp;D698</f>
        <v/>
      </c>
      <c r="F698" s="48" t="inlineStr">
        <is>
          <t>CS - Employé traiteur</t>
        </is>
      </c>
      <c r="G698" s="49">
        <f>E698&amp;" - "&amp;F698</f>
        <v/>
      </c>
      <c r="H698" s="36" t="inlineStr">
        <is>
          <t>RAS</t>
        </is>
      </c>
      <c r="I698" s="45" t="inlineStr"/>
      <c r="J698" s="45" t="inlineStr">
        <is>
          <t>RNCP37566</t>
        </is>
      </c>
      <c r="K698" s="45" t="inlineStr">
        <is>
          <t>CS - Employé traiteur</t>
        </is>
      </c>
      <c r="L698" s="45" t="inlineStr">
        <is>
          <t>31/12/2030</t>
        </is>
      </c>
      <c r="M698" s="45" t="inlineStr"/>
      <c r="N698" s="50" t="inlineStr">
        <is>
          <t>NON</t>
        </is>
      </c>
      <c r="O698" s="45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BAC PRO - Boucher-charcutier-traiteur</t>
        </is>
      </c>
      <c r="L699" s="45" t="inlineStr">
        <is>
          <t>31/12/2030</t>
        </is>
      </c>
      <c r="M699" s="45" t="inlineStr"/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BAC PRO - Production en industries pharmaceutiques, alimentaires et cosmétiques (PIPAC)</t>
        </is>
      </c>
      <c r="L700" s="45" t="inlineStr">
        <is>
          <t>31/12/2030</t>
        </is>
      </c>
      <c r="M700" s="45" t="inlineStr"/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BAC PRO - Poissonnier - écailler - traiteur</t>
        </is>
      </c>
      <c r="L701" s="45" t="inlineStr">
        <is>
          <t>31/12/2030</t>
        </is>
      </c>
      <c r="M701" s="45" t="inlineStr"/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CAP - Charcuterie-traiteur</t>
        </is>
      </c>
      <c r="L702" s="45" t="inlineStr">
        <is>
          <t>31/12/2030</t>
        </is>
      </c>
      <c r="M702" s="45" t="inlineStr"/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BP - Conducteur de ligne de production alimentaire</t>
        </is>
      </c>
      <c r="L703" s="45" t="inlineStr">
        <is>
          <t>31/12/2030</t>
        </is>
      </c>
      <c r="M703" s="45" t="inlineStr"/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31/12/2030</t>
        </is>
      </c>
      <c r="M704" s="45" t="inlineStr"/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31/12/2030</t>
        </is>
      </c>
      <c r="M705" s="45" t="inlineStr"/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31/12/2030</t>
        </is>
      </c>
      <c r="M706" s="45" t="inlineStr"/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31/12/2030</t>
        </is>
      </c>
      <c r="M707" s="45" t="inlineStr"/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31/12/2030</t>
        </is>
      </c>
      <c r="M708" s="45" t="inlineStr"/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31/12/2030</t>
        </is>
      </c>
      <c r="M709" s="45" t="inlineStr"/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31/12/2030</t>
        </is>
      </c>
      <c r="M710" s="45" t="inlineStr"/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CAP - Boucher</t>
        </is>
      </c>
      <c r="L711" s="45" t="inlineStr">
        <is>
          <t>31/12/2030</t>
        </is>
      </c>
      <c r="M711" s="45" t="inlineStr"/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Brevet professionnel - Charcutier - traiteur</t>
        </is>
      </c>
      <c r="L712" s="45" t="inlineStr">
        <is>
          <t>31/12/2030</t>
        </is>
      </c>
      <c r="M712" s="45" t="inlineStr"/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BAC PRO - Boucher-charcutier-traiteur</t>
        </is>
      </c>
      <c r="L713" s="45" t="inlineStr">
        <is>
          <t>31/12/2030</t>
        </is>
      </c>
      <c r="M713" s="45" t="inlineStr"/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BAC PRO - Production en industries pharmaceutiques, alimentaires et cosmétiques (PIPAC)</t>
        </is>
      </c>
      <c r="L714" s="45" t="inlineStr">
        <is>
          <t>31/12/2030</t>
        </is>
      </c>
      <c r="M714" s="45" t="inlineStr"/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CAP - Charcuterie-traiteur</t>
        </is>
      </c>
      <c r="L715" s="45" t="inlineStr">
        <is>
          <t>31/12/2030</t>
        </is>
      </c>
      <c r="M715" s="45" t="inlineStr"/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Certificat de spécialisation - Vente-conseil en boucherie</t>
        </is>
      </c>
      <c r="L716" s="45" t="inlineStr">
        <is>
          <t>31/12/2030</t>
        </is>
      </c>
      <c r="M716" s="45" t="inlineStr"/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BP - Conducteur de ligne de production alimentaire</t>
        </is>
      </c>
      <c r="L717" s="45" t="inlineStr">
        <is>
          <t>31/12/2030</t>
        </is>
      </c>
      <c r="M717" s="45" t="inlineStr"/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31/12/2030</t>
        </is>
      </c>
      <c r="M718" s="45" t="inlineStr"/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31/12/2030</t>
        </is>
      </c>
      <c r="M719" s="45" t="inlineStr"/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31/12/2030</t>
        </is>
      </c>
      <c r="M720" s="45" t="inlineStr"/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31/12/2030</t>
        </is>
      </c>
      <c r="M721" s="45" t="inlineStr"/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31/12/2030</t>
        </is>
      </c>
      <c r="M722" s="45" t="inlineStr"/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31/12/2030</t>
        </is>
      </c>
      <c r="M723" s="45" t="inlineStr"/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31/12/2030</t>
        </is>
      </c>
      <c r="M724" s="45" t="inlineStr"/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BTS - Innovation textile (Option A : Structures ; Option B : Traitements)</t>
        </is>
      </c>
      <c r="L725" s="45" t="inlineStr">
        <is>
          <t>31/12/2030</t>
        </is>
      </c>
      <c r="M725" s="45" t="inlineStr"/>
      <c r="N725" s="50" t="inlineStr">
        <is>
          <t>NON</t>
        </is>
      </c>
      <c r="O725" s="45" t="inlineStr"/>
    </row>
    <row r="726" customFormat="1" s="3">
      <c r="A726" s="45" t="n"/>
      <c r="B726" s="46" t="inlineStr">
        <is>
          <t>21625</t>
        </is>
      </c>
      <c r="C726" s="46">
        <f>LEFT(Tableau1[[#This Row],[Formacode]],3)</f>
        <v/>
      </c>
      <c r="D726" s="47" t="n">
        <v>35640</v>
      </c>
      <c r="E726" s="48">
        <f>"RNCP"&amp;D726</f>
        <v/>
      </c>
      <c r="F726" s="48" t="inlineStr">
        <is>
          <t>CAP - Arts de la dentelle, options fuseaux et aiguille</t>
        </is>
      </c>
      <c r="G726" s="49">
        <f>E726&amp;" - "&amp;F726</f>
        <v/>
      </c>
      <c r="H726" s="36" t="inlineStr">
        <is>
          <t>RAS</t>
        </is>
      </c>
      <c r="I726" s="45" t="inlineStr"/>
      <c r="J726" s="45" t="inlineStr">
        <is>
          <t>RNCP35640</t>
        </is>
      </c>
      <c r="K726" s="45" t="inlineStr">
        <is>
          <t>CAP - Arts de la dentelle, options fuseaux et aiguille</t>
        </is>
      </c>
      <c r="L726" s="45" t="inlineStr">
        <is>
          <t>31/12/2030</t>
        </is>
      </c>
      <c r="M726" s="45" t="inlineStr"/>
      <c r="N726" s="50" t="inlineStr">
        <is>
          <t>NON</t>
        </is>
      </c>
      <c r="O726" s="45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BTS - Innovation textile (Option A : Structures ; Option B : Traitements)</t>
        </is>
      </c>
      <c r="L727" s="45" t="inlineStr">
        <is>
          <t>31/12/2030</t>
        </is>
      </c>
      <c r="M727" s="45" t="inlineStr"/>
      <c r="N727" s="50" t="inlineStr">
        <is>
          <t>NON</t>
        </is>
      </c>
      <c r="O727" s="45" t="inlineStr"/>
    </row>
    <row r="728" customFormat="1" s="3">
      <c r="A728" s="45" t="n"/>
      <c r="B728" s="46" t="inlineStr">
        <is>
          <t>21627</t>
        </is>
      </c>
      <c r="C728" s="46">
        <f>LEFT(Tableau1[[#This Row],[Formacode]],3)</f>
        <v/>
      </c>
      <c r="D728" s="47" t="n">
        <v>37828</v>
      </c>
      <c r="E728" s="48">
        <f>"RNCP"&amp;D728</f>
        <v/>
      </c>
      <c r="F728" s="48" t="inlineStr">
        <is>
          <t>Designer créateur de produit de mode et textile</t>
        </is>
      </c>
      <c r="G728" s="49">
        <f>E728&amp;" - "&amp;F728</f>
        <v/>
      </c>
      <c r="H728" s="36" t="inlineStr">
        <is>
          <t>RAS</t>
        </is>
      </c>
      <c r="I728" s="45" t="inlineStr"/>
      <c r="J728" s="45" t="inlineStr">
        <is>
          <t>RNCP37828</t>
        </is>
      </c>
      <c r="K728" s="45" t="inlineStr">
        <is>
          <t>Designer créateur de produit de mode et textile</t>
        </is>
      </c>
      <c r="L728" s="45" t="inlineStr">
        <is>
          <t>31/12/2030</t>
        </is>
      </c>
      <c r="M728" s="45" t="inlineStr"/>
      <c r="N728" s="50" t="inlineStr">
        <is>
          <t>NON</t>
        </is>
      </c>
      <c r="O728" s="45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BTS - Innovation textile (Option A : Structures ; Option B : Traitements)</t>
        </is>
      </c>
      <c r="L729" s="45" t="inlineStr">
        <is>
          <t>31/12/2030</t>
        </is>
      </c>
      <c r="M729" s="45" t="inlineStr"/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Grade_Master - Designer textile</t>
        </is>
      </c>
      <c r="L730" s="45" t="inlineStr">
        <is>
          <t>31/12/2030</t>
        </is>
      </c>
      <c r="M730" s="45" t="inlineStr"/>
      <c r="N730" s="50" t="inlineStr">
        <is>
          <t>NON</t>
        </is>
      </c>
      <c r="O730" s="45" t="inlineStr"/>
    </row>
    <row r="731" customFormat="1" s="3">
      <c r="A731" s="45" t="n"/>
      <c r="B731" s="46" t="inlineStr">
        <is>
          <t>21631</t>
        </is>
      </c>
      <c r="C731" s="46">
        <f>LEFT(Tableau1[[#This Row],[Formacode]],3)</f>
        <v/>
      </c>
      <c r="D731" s="47" t="n">
        <v>35640</v>
      </c>
      <c r="E731" s="48">
        <f>"RNCP"&amp;D731</f>
        <v/>
      </c>
      <c r="F731" s="48" t="inlineStr">
        <is>
          <t>CAP - Arts de la dentelle, options fuseaux et aiguille</t>
        </is>
      </c>
      <c r="G731" s="49">
        <f>E731&amp;" - "&amp;F731</f>
        <v/>
      </c>
      <c r="H731" s="36" t="inlineStr">
        <is>
          <t>RAS</t>
        </is>
      </c>
      <c r="I731" s="45" t="inlineStr"/>
      <c r="J731" s="45" t="inlineStr">
        <is>
          <t>RNCP35640</t>
        </is>
      </c>
      <c r="K731" s="45" t="inlineStr">
        <is>
          <t>CAP - Arts de la dentelle, options fuseaux et aiguille</t>
        </is>
      </c>
      <c r="L731" s="45" t="inlineStr">
        <is>
          <t>31/12/2030</t>
        </is>
      </c>
      <c r="M731" s="45" t="inlineStr"/>
      <c r="N731" s="50" t="inlineStr">
        <is>
          <t>NON</t>
        </is>
      </c>
      <c r="O731" s="45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BTS - Innovation textile (Option A : Structures ; Option B : Traitements)</t>
        </is>
      </c>
      <c r="L732" s="45" t="inlineStr">
        <is>
          <t>31/12/2030</t>
        </is>
      </c>
      <c r="M732" s="45" t="inlineStr"/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BTS - Innovation textile (Option A : Structures ; Option B : Traitements)</t>
        </is>
      </c>
      <c r="L733" s="45" t="inlineStr">
        <is>
          <t>31/12/2030</t>
        </is>
      </c>
      <c r="M733" s="45" t="inlineStr"/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BTS - Innovation textile (Option A : Structures ; Option B : Traitements)</t>
        </is>
      </c>
      <c r="L734" s="45" t="inlineStr">
        <is>
          <t>31/12/2030</t>
        </is>
      </c>
      <c r="M734" s="45" t="inlineStr"/>
      <c r="N734" s="50" t="inlineStr">
        <is>
          <t>NON</t>
        </is>
      </c>
      <c r="O734" s="45" t="inlineStr"/>
    </row>
    <row r="735" customFormat="1" s="3">
      <c r="A735" s="45" t="n"/>
      <c r="B735" s="46" t="inlineStr">
        <is>
          <t>21651</t>
        </is>
      </c>
      <c r="C735" s="46">
        <f>LEFT(Tableau1[[#This Row],[Formacode]],3)</f>
        <v/>
      </c>
      <c r="D735" s="47" t="n">
        <v>35640</v>
      </c>
      <c r="E735" s="48">
        <f>"RNCP"&amp;D735</f>
        <v/>
      </c>
      <c r="F735" s="48" t="inlineStr">
        <is>
          <t>CAP - Arts de la dentelle, options fuseaux et aiguille</t>
        </is>
      </c>
      <c r="G735" s="49">
        <f>E735&amp;" - "&amp;F735</f>
        <v/>
      </c>
      <c r="H735" s="36" t="inlineStr">
        <is>
          <t>RAS</t>
        </is>
      </c>
      <c r="I735" s="45" t="inlineStr"/>
      <c r="J735" s="45" t="inlineStr">
        <is>
          <t>RNCP35640</t>
        </is>
      </c>
      <c r="K735" s="45" t="inlineStr">
        <is>
          <t>CAP - Arts de la dentelle, options fuseaux et aiguille</t>
        </is>
      </c>
      <c r="L735" s="45" t="inlineStr">
        <is>
          <t>31/12/2030</t>
        </is>
      </c>
      <c r="M735" s="45" t="inlineStr"/>
      <c r="N735" s="50" t="inlineStr">
        <is>
          <t>NON</t>
        </is>
      </c>
      <c r="O735" s="45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BTS - Innovation textile (Option A : Structures ; Option B : Traitements)</t>
        </is>
      </c>
      <c r="L736" s="45" t="inlineStr">
        <is>
          <t>31/12/2030</t>
        </is>
      </c>
      <c r="M736" s="45" t="inlineStr"/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BTS - Innovation textile (Option A : Structures ; Option B : Traitements)</t>
        </is>
      </c>
      <c r="L737" s="45" t="inlineStr">
        <is>
          <t>31/12/2030</t>
        </is>
      </c>
      <c r="M737" s="45" t="inlineStr"/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BTS - Innovation textile (Option A : Structures ; Option B : Traitements)</t>
        </is>
      </c>
      <c r="L738" s="45" t="inlineStr">
        <is>
          <t>31/12/2030</t>
        </is>
      </c>
      <c r="M738" s="45" t="inlineStr"/>
      <c r="N738" s="50" t="inlineStr">
        <is>
          <t>NON</t>
        </is>
      </c>
      <c r="O738" s="45" t="inlineStr"/>
    </row>
    <row r="739" customFormat="1" s="3">
      <c r="A739" s="45" t="n"/>
      <c r="B739" s="46" t="inlineStr">
        <is>
          <t>21674</t>
        </is>
      </c>
      <c r="C739" s="46">
        <f>LEFT(Tableau1[[#This Row],[Formacode]],3)</f>
        <v/>
      </c>
      <c r="D739" s="47" t="n">
        <v>39706</v>
      </c>
      <c r="E739" s="48">
        <f>"RNCP"&amp;D739</f>
        <v/>
      </c>
      <c r="F739" s="48" t="inlineStr">
        <is>
          <t>CAP - Arts de la broderie</t>
        </is>
      </c>
      <c r="G739" s="49">
        <f>E739&amp;" - "&amp;F739</f>
        <v/>
      </c>
      <c r="H739" s="36" t="inlineStr">
        <is>
          <t>RAS</t>
        </is>
      </c>
      <c r="I739" s="45" t="inlineStr"/>
      <c r="J739" s="45" t="inlineStr">
        <is>
          <t>RNCP39706</t>
        </is>
      </c>
      <c r="K739" s="45" t="inlineStr">
        <is>
          <t>CAP - Arts de la broderie</t>
        </is>
      </c>
      <c r="L739" s="45" t="inlineStr">
        <is>
          <t>31/12/2030</t>
        </is>
      </c>
      <c r="M739" s="45" t="inlineStr"/>
      <c r="N739" s="50" t="inlineStr">
        <is>
          <t>NON</t>
        </is>
      </c>
      <c r="O739" s="45" t="inlineStr"/>
    </row>
    <row r="740" customFormat="1" s="3">
      <c r="A740" s="45" t="n"/>
      <c r="B740" s="46" t="inlineStr">
        <is>
          <t>21674</t>
        </is>
      </c>
      <c r="C740" s="46">
        <f>LEFT(Tableau1[[#This Row],[Formacode]],3)</f>
        <v/>
      </c>
      <c r="D740" s="47" t="n">
        <v>39714</v>
      </c>
      <c r="E740" s="48">
        <f>"RNCP"&amp;D740</f>
        <v/>
      </c>
      <c r="F740" s="48" t="inlineStr">
        <is>
          <t>CAP - Arts du tapis et de la  tapisserie de lisse</t>
        </is>
      </c>
      <c r="G740" s="49">
        <f>E740&amp;" - "&amp;F740</f>
        <v/>
      </c>
      <c r="H740" s="36" t="inlineStr">
        <is>
          <t>RAS</t>
        </is>
      </c>
      <c r="I740" s="45" t="inlineStr"/>
      <c r="J740" s="45" t="inlineStr">
        <is>
          <t>RNCP39714</t>
        </is>
      </c>
      <c r="K740" s="45" t="inlineStr">
        <is>
          <t>CAP - Arts du tapis et de la  tapisserie de lisse</t>
        </is>
      </c>
      <c r="L740" s="45" t="inlineStr">
        <is>
          <t>31/12/2030</t>
        </is>
      </c>
      <c r="M740" s="45" t="inlineStr"/>
      <c r="N740" s="50" t="inlineStr">
        <is>
          <t>NON</t>
        </is>
      </c>
      <c r="O740" s="45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Grade_Master - Designer textile</t>
        </is>
      </c>
      <c r="L741" s="45" t="inlineStr">
        <is>
          <t>31/12/2030</t>
        </is>
      </c>
      <c r="M741" s="45" t="inlineStr"/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BTS - Innovation textile (Option A : Structures ; Option B : Traitements)</t>
        </is>
      </c>
      <c r="L742" s="45" t="inlineStr">
        <is>
          <t>31/12/2030</t>
        </is>
      </c>
      <c r="M742" s="45" t="inlineStr"/>
      <c r="N742" s="50" t="inlineStr">
        <is>
          <t>NON</t>
        </is>
      </c>
      <c r="O742" s="45" t="inlineStr"/>
    </row>
    <row r="743" customFormat="1" s="3">
      <c r="A743" s="45" t="n"/>
      <c r="B743" s="46" t="inlineStr">
        <is>
          <t>21736</t>
        </is>
      </c>
      <c r="C743" s="46">
        <f>LEFT(Tableau1[[#This Row],[Formacode]],3)</f>
        <v/>
      </c>
      <c r="D743" s="47" t="n">
        <v>35228</v>
      </c>
      <c r="E743" s="48">
        <f>"RNCP"&amp;D743</f>
        <v/>
      </c>
      <c r="F743" s="48" t="inlineStr">
        <is>
          <t>TP - Couturier retoucheur</t>
        </is>
      </c>
      <c r="G743" s="49">
        <f>E743&amp;" - "&amp;F743</f>
        <v/>
      </c>
      <c r="H743" s="36" t="inlineStr">
        <is>
          <t>RAS</t>
        </is>
      </c>
      <c r="I743" s="45" t="inlineStr"/>
      <c r="J743" s="45" t="inlineStr">
        <is>
          <t>RNCP35228</t>
        </is>
      </c>
      <c r="K743" s="45" t="inlineStr">
        <is>
          <t>TP - Couturier retoucheur</t>
        </is>
      </c>
      <c r="L743" s="45" t="inlineStr">
        <is>
          <t>31/12/2030</t>
        </is>
      </c>
      <c r="M743" s="45" t="inlineStr"/>
      <c r="N743" s="50" t="inlineStr">
        <is>
          <t>NON</t>
        </is>
      </c>
      <c r="O743" s="45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TP - Couturier en atelier mode et luxe</t>
        </is>
      </c>
      <c r="L744" s="45" t="inlineStr">
        <is>
          <t>31/12/2030</t>
        </is>
      </c>
      <c r="M744" s="45" t="inlineStr"/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CAP - Fourrure</t>
        </is>
      </c>
      <c r="L745" s="45" t="inlineStr">
        <is>
          <t>31/12/2030</t>
        </is>
      </c>
      <c r="M745" s="45" t="inlineStr"/>
      <c r="N745" s="50" t="inlineStr">
        <is>
          <t>NON</t>
        </is>
      </c>
      <c r="O745" s="45" t="inlineStr"/>
    </row>
    <row r="746" customFormat="1" s="3">
      <c r="A746" s="45" t="n"/>
      <c r="B746" s="46" t="inlineStr">
        <is>
          <t>21742</t>
        </is>
      </c>
      <c r="C746" s="46">
        <f>LEFT(Tableau1[[#This Row],[Formacode]],3)</f>
        <v/>
      </c>
      <c r="D746" s="47" t="n">
        <v>37745</v>
      </c>
      <c r="E746" s="48">
        <f>"RNCP"&amp;D746</f>
        <v/>
      </c>
      <c r="F746" s="48" t="inlineStr">
        <is>
          <t>Modéliste international du vêtement</t>
        </is>
      </c>
      <c r="G746" s="49">
        <f>E746&amp;" - "&amp;F746</f>
        <v/>
      </c>
      <c r="H746" s="36" t="inlineStr">
        <is>
          <t>RAS</t>
        </is>
      </c>
      <c r="I746" s="45" t="inlineStr"/>
      <c r="J746" s="45" t="inlineStr">
        <is>
          <t>RNCP37745</t>
        </is>
      </c>
      <c r="K746" s="45" t="inlineStr">
        <is>
          <t>Modéliste international du vêtement</t>
        </is>
      </c>
      <c r="L746" s="45" t="inlineStr">
        <is>
          <t>31/12/2030</t>
        </is>
      </c>
      <c r="M746" s="45" t="inlineStr"/>
      <c r="N746" s="50" t="inlineStr">
        <is>
          <t>NON</t>
        </is>
      </c>
      <c r="O746" s="45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BAC PRO - Métiers de la couture et de la confection</t>
        </is>
      </c>
      <c r="L747" s="45" t="inlineStr">
        <is>
          <t>31/12/2030</t>
        </is>
      </c>
      <c r="M747" s="45" t="inlineStr"/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TP - Couturier en atelier mode et luxe</t>
        </is>
      </c>
      <c r="L748" s="45" t="inlineStr">
        <is>
          <t>31/12/2030</t>
        </is>
      </c>
      <c r="M748" s="45" t="inlineStr"/>
      <c r="N748" s="50" t="inlineStr">
        <is>
          <t>NON</t>
        </is>
      </c>
      <c r="O748" s="45" t="inlineStr"/>
    </row>
    <row r="749" customFormat="1" s="3">
      <c r="A749" s="45" t="n"/>
      <c r="B749" s="46" t="inlineStr">
        <is>
          <t>21752</t>
        </is>
      </c>
      <c r="C749" s="46">
        <f>LEFT(Tableau1[[#This Row],[Formacode]],3)</f>
        <v/>
      </c>
      <c r="D749" s="47" t="n">
        <v>37244</v>
      </c>
      <c r="E749" s="48">
        <f>"RNCP"&amp;D749</f>
        <v/>
      </c>
      <c r="F749" s="48" t="inlineStr">
        <is>
          <t>CAP - Métiers de la mode chapelier modiste</t>
        </is>
      </c>
      <c r="G749" s="49">
        <f>E749&amp;" - "&amp;F749</f>
        <v/>
      </c>
      <c r="H749" s="36" t="inlineStr">
        <is>
          <t>RAS</t>
        </is>
      </c>
      <c r="I749" s="45" t="inlineStr"/>
      <c r="J749" s="45" t="inlineStr">
        <is>
          <t>RNCP37244</t>
        </is>
      </c>
      <c r="K749" s="45" t="inlineStr">
        <is>
          <t>CAP - Métiers de la mode chapelier modiste</t>
        </is>
      </c>
      <c r="L749" s="45" t="inlineStr">
        <is>
          <t>31/12/2030</t>
        </is>
      </c>
      <c r="M749" s="45" t="inlineStr"/>
      <c r="N749" s="50" t="inlineStr">
        <is>
          <t>NON</t>
        </is>
      </c>
      <c r="O749" s="45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CS - Bijoux de mode</t>
        </is>
      </c>
      <c r="L750" s="45" t="inlineStr">
        <is>
          <t>31/12/2030</t>
        </is>
      </c>
      <c r="M750" s="45" t="inlineStr"/>
      <c r="N750" s="50" t="inlineStr">
        <is>
          <t>NON</t>
        </is>
      </c>
      <c r="O750" s="45" t="inlineStr"/>
    </row>
    <row r="751" customFormat="1" s="3">
      <c r="A751" s="45" t="n"/>
      <c r="B751" s="46" t="inlineStr">
        <is>
          <t>21752</t>
        </is>
      </c>
      <c r="C751" s="46">
        <f>LEFT(Tableau1[[#This Row],[Formacode]],3)</f>
        <v/>
      </c>
      <c r="D751" s="47" t="n">
        <v>37828</v>
      </c>
      <c r="E751" s="48">
        <f>"RNCP"&amp;D751</f>
        <v/>
      </c>
      <c r="F751" s="48" t="inlineStr">
        <is>
          <t>Designer créateur de produit de mode et textile</t>
        </is>
      </c>
      <c r="G751" s="49">
        <f>E751&amp;" - "&amp;F751</f>
        <v/>
      </c>
      <c r="H751" s="36" t="inlineStr">
        <is>
          <t>RAS</t>
        </is>
      </c>
      <c r="I751" s="45" t="inlineStr"/>
      <c r="J751" s="45" t="inlineStr">
        <is>
          <t>RNCP37828</t>
        </is>
      </c>
      <c r="K751" s="45" t="inlineStr">
        <is>
          <t>Designer créateur de produit de mode et textile</t>
        </is>
      </c>
      <c r="L751" s="45" t="inlineStr">
        <is>
          <t>31/12/2030</t>
        </is>
      </c>
      <c r="M751" s="45" t="inlineStr"/>
      <c r="N751" s="50" t="inlineStr">
        <is>
          <t>NON</t>
        </is>
      </c>
      <c r="O751" s="45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CAP - Maroquinerie</t>
        </is>
      </c>
      <c r="L752" s="45" t="inlineStr">
        <is>
          <t>31/12/2030</t>
        </is>
      </c>
      <c r="M752" s="45" t="inlineStr"/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CAP - Fleuriste de mode</t>
        </is>
      </c>
      <c r="L753" s="45" t="inlineStr">
        <is>
          <t>31/12/2030</t>
        </is>
      </c>
      <c r="M753" s="45" t="inlineStr"/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CAP - Plumasserie</t>
        </is>
      </c>
      <c r="L754" s="45" t="inlineStr">
        <is>
          <t>31/12/2030</t>
        </is>
      </c>
      <c r="M754" s="45" t="inlineStr"/>
      <c r="N754" s="50" t="inlineStr">
        <is>
          <t>NON</t>
        </is>
      </c>
      <c r="O754" s="45" t="inlineStr"/>
    </row>
    <row r="755" customFormat="1" s="3">
      <c r="A755" s="45" t="n"/>
      <c r="B755" s="46" t="inlineStr">
        <is>
          <t>21757</t>
        </is>
      </c>
      <c r="C755" s="46">
        <f>LEFT(Tableau1[[#This Row],[Formacode]],3)</f>
        <v/>
      </c>
      <c r="D755" s="47" t="n">
        <v>35228</v>
      </c>
      <c r="E755" s="48">
        <f>"RNCP"&amp;D755</f>
        <v/>
      </c>
      <c r="F755" s="48" t="inlineStr">
        <is>
          <t>TP - Couturier retoucheur</t>
        </is>
      </c>
      <c r="G755" s="49">
        <f>E755&amp;" - "&amp;F755</f>
        <v/>
      </c>
      <c r="H755" s="36" t="inlineStr">
        <is>
          <t>RAS</t>
        </is>
      </c>
      <c r="I755" s="45" t="inlineStr"/>
      <c r="J755" s="45" t="inlineStr">
        <is>
          <t>RNCP35228</t>
        </is>
      </c>
      <c r="K755" s="45" t="inlineStr">
        <is>
          <t>TP - Couturier retoucheur</t>
        </is>
      </c>
      <c r="L755" s="45" t="inlineStr">
        <is>
          <t>31/12/2030</t>
        </is>
      </c>
      <c r="M755" s="45" t="inlineStr"/>
      <c r="N755" s="50" t="inlineStr">
        <is>
          <t>NON</t>
        </is>
      </c>
      <c r="O755" s="45" t="inlineStr"/>
    </row>
    <row r="756" customFormat="1" s="3">
      <c r="A756" s="45" t="n"/>
      <c r="B756" s="46" t="inlineStr">
        <is>
          <t>21757</t>
        </is>
      </c>
      <c r="C756" s="46">
        <f>LEFT(Tableau1[[#This Row],[Formacode]],3)</f>
        <v/>
      </c>
      <c r="D756" s="47" t="n">
        <v>37245</v>
      </c>
      <c r="E756" s="48">
        <f>"RNCP"&amp;D756</f>
        <v/>
      </c>
      <c r="F756" s="48" t="inlineStr">
        <is>
          <t>CAP - Métiers de la mode vêtement flou</t>
        </is>
      </c>
      <c r="G756" s="49">
        <f>E756&amp;" - "&amp;F756</f>
        <v/>
      </c>
      <c r="H756" s="36" t="inlineStr">
        <is>
          <t>RAS</t>
        </is>
      </c>
      <c r="I756" s="45" t="inlineStr"/>
      <c r="J756" s="45" t="inlineStr">
        <is>
          <t>RNCP37245</t>
        </is>
      </c>
      <c r="K756" s="45" t="inlineStr">
        <is>
          <t>CAP - Métiers de la mode vêtement flou</t>
        </is>
      </c>
      <c r="L756" s="45" t="inlineStr">
        <is>
          <t>31/12/2030</t>
        </is>
      </c>
      <c r="M756" s="45" t="inlineStr"/>
      <c r="N756" s="50" t="inlineStr">
        <is>
          <t>NON</t>
        </is>
      </c>
      <c r="O756" s="45" t="inlineStr"/>
    </row>
    <row r="757" customFormat="1" s="3">
      <c r="A757" s="45" t="n"/>
      <c r="B757" s="46" t="inlineStr">
        <is>
          <t>21757</t>
        </is>
      </c>
      <c r="C757" s="46">
        <f>LEFT(Tableau1[[#This Row],[Formacode]],3)</f>
        <v/>
      </c>
      <c r="D757" s="47" t="n">
        <v>37246</v>
      </c>
      <c r="E757" s="48">
        <f>"RNCP"&amp;D757</f>
        <v/>
      </c>
      <c r="F757" s="48" t="inlineStr">
        <is>
          <t>CAP - Métiers de la mode vêtement tailleur</t>
        </is>
      </c>
      <c r="G757" s="49">
        <f>E757&amp;" - "&amp;F757</f>
        <v/>
      </c>
      <c r="H757" s="36" t="inlineStr">
        <is>
          <t>RAS</t>
        </is>
      </c>
      <c r="I757" s="45" t="inlineStr"/>
      <c r="J757" s="45" t="inlineStr">
        <is>
          <t>RNCP37246</t>
        </is>
      </c>
      <c r="K757" s="45" t="inlineStr">
        <is>
          <t>CAP - Métiers de la mode vêtement tailleur</t>
        </is>
      </c>
      <c r="L757" s="45" t="inlineStr">
        <is>
          <t>31/12/2030</t>
        </is>
      </c>
      <c r="M757" s="45" t="inlineStr"/>
      <c r="N757" s="50" t="inlineStr">
        <is>
          <t>NON</t>
        </is>
      </c>
      <c r="O757" s="45" t="inlineStr"/>
    </row>
    <row r="758" ht="28.8" customFormat="1" customHeight="1" s="3">
      <c r="A758" s="45" t="n"/>
      <c r="B758" s="46" t="inlineStr">
        <is>
          <t>21757</t>
        </is>
      </c>
      <c r="C758" s="46">
        <f>LEFT(Tableau1[[#This Row],[Formacode]],3)</f>
        <v/>
      </c>
      <c r="D758" s="47" t="n">
        <v>37937</v>
      </c>
      <c r="E758" s="48">
        <f>"RNCP"&amp;D758</f>
        <v/>
      </c>
      <c r="F758" s="48" t="inlineStr">
        <is>
          <t>BP - Vêtement sur mesure, option tailleur homme, option tailleur dame, option couture flou</t>
        </is>
      </c>
      <c r="G758" s="49">
        <f>E758&amp;" - "&amp;F758</f>
        <v/>
      </c>
      <c r="H758" s="36" t="inlineStr">
        <is>
          <t>RAS</t>
        </is>
      </c>
      <c r="I758" s="45" t="inlineStr"/>
      <c r="J758" s="45" t="inlineStr">
        <is>
          <t>RNCP37937</t>
        </is>
      </c>
      <c r="K758" s="45" t="inlineStr">
        <is>
          <t>BP - Vêtement sur mesure, option tailleur homme, option tailleur dame, option couture flou</t>
        </is>
      </c>
      <c r="L758" s="45" t="inlineStr">
        <is>
          <t>31/12/2030</t>
        </is>
      </c>
      <c r="M758" s="45" t="inlineStr"/>
      <c r="N758" s="50" t="inlineStr">
        <is>
          <t>NON</t>
        </is>
      </c>
      <c r="O758" s="45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BAC PRO - Métiers de la couture et de la confection</t>
        </is>
      </c>
      <c r="L759" s="45" t="inlineStr">
        <is>
          <t>31/12/2030</t>
        </is>
      </c>
      <c r="M759" s="45" t="inlineStr"/>
      <c r="N759" s="50" t="inlineStr">
        <is>
          <t>NON</t>
        </is>
      </c>
      <c r="O759" s="45" t="inlineStr"/>
    </row>
    <row r="760" customFormat="1" s="3">
      <c r="A760" s="45" t="n"/>
      <c r="B760" s="46" t="inlineStr">
        <is>
          <t>21766</t>
        </is>
      </c>
      <c r="C760" s="46">
        <f>LEFT(Tableau1[[#This Row],[Formacode]],3)</f>
        <v/>
      </c>
      <c r="D760" s="47" t="n">
        <v>35228</v>
      </c>
      <c r="E760" s="48">
        <f>"RNCP"&amp;D760</f>
        <v/>
      </c>
      <c r="F760" s="48" t="inlineStr">
        <is>
          <t>TP - Couturier retoucheur</t>
        </is>
      </c>
      <c r="G760" s="49">
        <f>E760&amp;" - "&amp;F760</f>
        <v/>
      </c>
      <c r="H760" s="36" t="inlineStr">
        <is>
          <t>RAS</t>
        </is>
      </c>
      <c r="I760" s="45" t="inlineStr"/>
      <c r="J760" s="45" t="inlineStr">
        <is>
          <t>RNCP35228</t>
        </is>
      </c>
      <c r="K760" s="45" t="inlineStr">
        <is>
          <t>TP - Couturier retoucheur</t>
        </is>
      </c>
      <c r="L760" s="45" t="inlineStr">
        <is>
          <t>31/12/2030</t>
        </is>
      </c>
      <c r="M760" s="45" t="inlineStr"/>
      <c r="N760" s="50" t="inlineStr">
        <is>
          <t>NON</t>
        </is>
      </c>
      <c r="O760" s="45" t="inlineStr"/>
    </row>
    <row r="761" customFormat="1" s="3">
      <c r="A761" s="45" t="n"/>
      <c r="B761" s="46" t="inlineStr">
        <is>
          <t>21766</t>
        </is>
      </c>
      <c r="C761" s="46">
        <f>LEFT(Tableau1[[#This Row],[Formacode]],3)</f>
        <v/>
      </c>
      <c r="D761" s="47" t="n">
        <v>37234</v>
      </c>
      <c r="E761" s="48">
        <f>"RNCP"&amp;D761</f>
        <v/>
      </c>
      <c r="F761" s="48" t="inlineStr">
        <is>
          <t>Certificat de spécialisation - Essayage retouche vente</t>
        </is>
      </c>
      <c r="G761" s="49">
        <f>E761&amp;" - "&amp;F761</f>
        <v/>
      </c>
      <c r="H761" s="36" t="inlineStr">
        <is>
          <t>RAS</t>
        </is>
      </c>
      <c r="I761" s="45" t="inlineStr"/>
      <c r="J761" s="45" t="inlineStr">
        <is>
          <t>RNCP37234</t>
        </is>
      </c>
      <c r="K761" s="45" t="inlineStr">
        <is>
          <t>Certificat de spécialisation - Essayage retouche vente</t>
        </is>
      </c>
      <c r="L761" s="45" t="inlineStr">
        <is>
          <t>31/12/2030</t>
        </is>
      </c>
      <c r="M761" s="45" t="inlineStr"/>
      <c r="N761" s="50" t="inlineStr">
        <is>
          <t>NON</t>
        </is>
      </c>
      <c r="O761" s="45" t="inlineStr"/>
    </row>
    <row r="762" customFormat="1" s="3">
      <c r="A762" s="45" t="n"/>
      <c r="B762" s="46" t="inlineStr">
        <is>
          <t>21775</t>
        </is>
      </c>
      <c r="C762" s="46">
        <f>LEFT(Tableau1[[#This Row],[Formacode]],3)</f>
        <v/>
      </c>
      <c r="D762" s="47" t="n">
        <v>36777</v>
      </c>
      <c r="E762" s="48">
        <f>"RNCP"&amp;D762</f>
        <v/>
      </c>
      <c r="F762" s="48" t="inlineStr">
        <is>
          <t>BTS - Métiers de la mode  – vêtements »</t>
        </is>
      </c>
      <c r="G762" s="49">
        <f>E762&amp;" - "&amp;F762</f>
        <v/>
      </c>
      <c r="H762" s="36" t="inlineStr">
        <is>
          <t>RAS</t>
        </is>
      </c>
      <c r="I762" s="45" t="inlineStr"/>
      <c r="J762" s="45" t="inlineStr">
        <is>
          <t>RNCP36777</t>
        </is>
      </c>
      <c r="K762" s="45" t="inlineStr">
        <is>
          <t>BTS - Métiers de la mode  – vêtements »</t>
        </is>
      </c>
      <c r="L762" s="45" t="inlineStr">
        <is>
          <t>31/12/2030</t>
        </is>
      </c>
      <c r="M762" s="45" t="inlineStr"/>
      <c r="N762" s="50" t="inlineStr">
        <is>
          <t>NON</t>
        </is>
      </c>
      <c r="O762" s="45" t="inlineStr"/>
    </row>
    <row r="763" customFormat="1" s="3">
      <c r="A763" s="45" t="n"/>
      <c r="B763" s="46" t="inlineStr">
        <is>
          <t>21775</t>
        </is>
      </c>
      <c r="C763" s="46">
        <f>LEFT(Tableau1[[#This Row],[Formacode]],3)</f>
        <v/>
      </c>
      <c r="D763" s="47" t="n">
        <v>37745</v>
      </c>
      <c r="E763" s="48">
        <f>"RNCP"&amp;D763</f>
        <v/>
      </c>
      <c r="F763" s="48" t="inlineStr">
        <is>
          <t>Modéliste international du vêtement</t>
        </is>
      </c>
      <c r="G763" s="49">
        <f>E763&amp;" - "&amp;F763</f>
        <v/>
      </c>
      <c r="H763" s="36" t="inlineStr">
        <is>
          <t>RAS</t>
        </is>
      </c>
      <c r="I763" s="45" t="inlineStr"/>
      <c r="J763" s="45" t="inlineStr">
        <is>
          <t>RNCP37745</t>
        </is>
      </c>
      <c r="K763" s="45" t="inlineStr">
        <is>
          <t>Modéliste international du vêtement</t>
        </is>
      </c>
      <c r="L763" s="45" t="inlineStr">
        <is>
          <t>31/12/2030</t>
        </is>
      </c>
      <c r="M763" s="45" t="inlineStr"/>
      <c r="N763" s="50" t="inlineStr">
        <is>
          <t>NON</t>
        </is>
      </c>
      <c r="O763" s="45" t="inlineStr"/>
    </row>
    <row r="764" customFormat="1" s="3">
      <c r="A764" s="45" t="n"/>
      <c r="B764" s="46" t="inlineStr">
        <is>
          <t>21775</t>
        </is>
      </c>
      <c r="C764" s="46">
        <f>LEFT(Tableau1[[#This Row],[Formacode]],3)</f>
        <v/>
      </c>
      <c r="D764" s="47" t="n">
        <v>37828</v>
      </c>
      <c r="E764" s="48">
        <f>"RNCP"&amp;D764</f>
        <v/>
      </c>
      <c r="F764" s="48" t="inlineStr">
        <is>
          <t>Designer créateur de produit de mode et textile</t>
        </is>
      </c>
      <c r="G764" s="49">
        <f>E764&amp;" - "&amp;F764</f>
        <v/>
      </c>
      <c r="H764" s="36" t="inlineStr">
        <is>
          <t>RAS</t>
        </is>
      </c>
      <c r="I764" s="45" t="inlineStr"/>
      <c r="J764" s="45" t="inlineStr">
        <is>
          <t>RNCP37828</t>
        </is>
      </c>
      <c r="K764" s="45" t="inlineStr">
        <is>
          <t>Designer créateur de produit de mode et textile</t>
        </is>
      </c>
      <c r="L764" s="45" t="inlineStr">
        <is>
          <t>31/12/2030</t>
        </is>
      </c>
      <c r="M764" s="45" t="inlineStr"/>
      <c r="N764" s="50" t="inlineStr">
        <is>
          <t>NON</t>
        </is>
      </c>
      <c r="O764" s="45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BAC PRO - Métiers de la couture et de la confection</t>
        </is>
      </c>
      <c r="L765" s="45" t="inlineStr">
        <is>
          <t>31/12/2030</t>
        </is>
      </c>
      <c r="M765" s="45" t="inlineStr"/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CAP - Fleuriste de mode</t>
        </is>
      </c>
      <c r="L766" s="45" t="inlineStr">
        <is>
          <t>31/12/2030</t>
        </is>
      </c>
      <c r="M766" s="45" t="inlineStr"/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31/12/2030</t>
        </is>
      </c>
      <c r="M767" s="45" t="inlineStr"/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31/12/2030</t>
        </is>
      </c>
      <c r="M768" s="45" t="inlineStr"/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31/12/2030</t>
        </is>
      </c>
      <c r="M769" s="45" t="inlineStr"/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CAP - Fourrure</t>
        </is>
      </c>
      <c r="L770" s="45" t="inlineStr">
        <is>
          <t>31/12/2030</t>
        </is>
      </c>
      <c r="M770" s="45" t="inlineStr"/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BTS - Métiers de la mode  – chaussure et maroquinerie »</t>
        </is>
      </c>
      <c r="L771" s="45" t="inlineStr">
        <is>
          <t>31/12/2030</t>
        </is>
      </c>
      <c r="M771" s="45" t="inlineStr"/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CAP - Chaussure</t>
        </is>
      </c>
      <c r="L772" s="45" t="inlineStr">
        <is>
          <t>31/12/2030</t>
        </is>
      </c>
      <c r="M772" s="45" t="inlineStr"/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TP - Piqueur préparateur en maroquinerie</t>
        </is>
      </c>
      <c r="L773" s="45" t="inlineStr">
        <is>
          <t>31/12/2030</t>
        </is>
      </c>
      <c r="M773" s="45" t="inlineStr"/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BTS - Métiers de la mode  – chaussure et maroquinerie »</t>
        </is>
      </c>
      <c r="L774" s="45" t="inlineStr">
        <is>
          <t>31/12/2030</t>
        </is>
      </c>
      <c r="M774" s="45" t="inlineStr"/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CAP - Fourrure</t>
        </is>
      </c>
      <c r="L775" s="45" t="inlineStr">
        <is>
          <t>31/12/2030</t>
        </is>
      </c>
      <c r="M775" s="45" t="inlineStr"/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BTS - Métiers de la mode  – chaussure et maroquinerie »</t>
        </is>
      </c>
      <c r="L776" s="45" t="inlineStr">
        <is>
          <t>31/12/2030</t>
        </is>
      </c>
      <c r="M776" s="45" t="inlineStr"/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BAC PRO - Métiers du cuir option chaussures, option maroquinerie, option sellerie garnissage</t>
        </is>
      </c>
      <c r="L777" s="45" t="inlineStr">
        <is>
          <t>31/12/2030</t>
        </is>
      </c>
      <c r="M777" s="45" t="inlineStr"/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CAP - Chaussure</t>
        </is>
      </c>
      <c r="L778" s="45" t="inlineStr">
        <is>
          <t>31/12/2030</t>
        </is>
      </c>
      <c r="M778" s="45" t="inlineStr"/>
      <c r="N778" s="50" t="inlineStr">
        <is>
          <t>NON</t>
        </is>
      </c>
      <c r="O778" s="45" t="inlineStr"/>
    </row>
    <row r="779" customFormat="1" s="3">
      <c r="A779" s="45" t="n"/>
      <c r="B779" s="46" t="inlineStr">
        <is>
          <t>21867</t>
        </is>
      </c>
      <c r="C779" s="46">
        <f>LEFT(Tableau1[[#This Row],[Formacode]],3)</f>
        <v/>
      </c>
      <c r="D779" s="47" t="n">
        <v>37251</v>
      </c>
      <c r="E779" s="48">
        <f>"RNCP"&amp;D779</f>
        <v/>
      </c>
      <c r="F779" s="48" t="inlineStr">
        <is>
          <t>Certificat d'aptitude professionnelle - Cordonnerie multiservice</t>
        </is>
      </c>
      <c r="G779" s="49">
        <f>E779&amp;" - "&amp;F779</f>
        <v/>
      </c>
      <c r="H779" s="36" t="inlineStr">
        <is>
          <t>RAS</t>
        </is>
      </c>
      <c r="I779" s="45" t="inlineStr"/>
      <c r="J779" s="45" t="inlineStr">
        <is>
          <t>RNCP37251</t>
        </is>
      </c>
      <c r="K779" s="45" t="inlineStr">
        <is>
          <t>Certificat d'aptitude professionnelle - Cordonnerie multiservice</t>
        </is>
      </c>
      <c r="L779" s="45" t="inlineStr">
        <is>
          <t>31/12/2030</t>
        </is>
      </c>
      <c r="M779" s="45" t="inlineStr"/>
      <c r="N779" s="50" t="inlineStr">
        <is>
          <t>NON</t>
        </is>
      </c>
      <c r="O779" s="45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CAP - Cordonnier bottier</t>
        </is>
      </c>
      <c r="L780" s="45" t="inlineStr">
        <is>
          <t>31/12/2030</t>
        </is>
      </c>
      <c r="M780" s="45" t="inlineStr"/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Certificat d'aptitude professionnelle - Opérateur en appareillage orthopédique - Spécialité orthoprothèse</t>
        </is>
      </c>
      <c r="L781" s="45" t="inlineStr">
        <is>
          <t>31/12/2030</t>
        </is>
      </c>
      <c r="M781" s="45" t="inlineStr"/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Certificat d'aptitude professionnelle - Opérateur en appareillage orthopédique Spécialité podo-orthèse</t>
        </is>
      </c>
      <c r="L782" s="45" t="inlineStr">
        <is>
          <t>31/12/2030</t>
        </is>
      </c>
      <c r="M782" s="45" t="inlineStr"/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TP - Cordonnier multiservices</t>
        </is>
      </c>
      <c r="L783" s="45" t="inlineStr">
        <is>
          <t>31/12/2030</t>
        </is>
      </c>
      <c r="M783" s="45" t="inlineStr"/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Brevet de technicien supérieur - Podo-orthésiste</t>
        </is>
      </c>
      <c r="L784" s="45" t="inlineStr">
        <is>
          <t>31/12/2030</t>
        </is>
      </c>
      <c r="M784" s="45" t="inlineStr"/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CAP - Sellerie générale</t>
        </is>
      </c>
      <c r="L785" s="45" t="inlineStr">
        <is>
          <t>31/12/2030</t>
        </is>
      </c>
      <c r="M785" s="45" t="inlineStr"/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BTS - Métiers de la mode  – chaussure et maroquinerie »</t>
        </is>
      </c>
      <c r="L786" s="45" t="inlineStr">
        <is>
          <t>31/12/2030</t>
        </is>
      </c>
      <c r="M786" s="45" t="inlineStr"/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BAC PRO - Métiers du cuir option chaussures, option maroquinerie, option sellerie garnissage</t>
        </is>
      </c>
      <c r="L787" s="45" t="inlineStr">
        <is>
          <t>31/12/2030</t>
        </is>
      </c>
      <c r="M787" s="45" t="inlineStr"/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CAP - Maroquinerie</t>
        </is>
      </c>
      <c r="L788" s="45" t="inlineStr">
        <is>
          <t>31/12/2030</t>
        </is>
      </c>
      <c r="M788" s="45" t="inlineStr"/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BAC PRO - Métiers du cuir option chaussures, option maroquinerie, option sellerie garnissage</t>
        </is>
      </c>
      <c r="L789" s="45" t="inlineStr">
        <is>
          <t>31/12/2030</t>
        </is>
      </c>
      <c r="M789" s="45" t="inlineStr"/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CAP - Sellier harnacheur</t>
        </is>
      </c>
      <c r="L790" s="45" t="inlineStr">
        <is>
          <t>31/12/2030</t>
        </is>
      </c>
      <c r="M790" s="45" t="inlineStr"/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CAP - Sellerie générale</t>
        </is>
      </c>
      <c r="L791" s="45" t="inlineStr">
        <is>
          <t>31/12/2030</t>
        </is>
      </c>
      <c r="M791" s="45" t="inlineStr"/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TP - Sellier garnisseur véhicule de prestige et de collection</t>
        </is>
      </c>
      <c r="L792" s="45" t="inlineStr">
        <is>
          <t>31/12/2030</t>
        </is>
      </c>
      <c r="M792" s="45" t="inlineStr"/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TP - Sellier garnisseur</t>
        </is>
      </c>
      <c r="L793" s="45" t="inlineStr">
        <is>
          <t>31/12/2030</t>
        </is>
      </c>
      <c r="M793" s="45" t="inlineStr"/>
      <c r="N793" s="50" t="inlineStr">
        <is>
          <t>NON</t>
        </is>
      </c>
      <c r="O793" s="45" t="inlineStr"/>
    </row>
    <row r="794" customFormat="1" s="3">
      <c r="A794" s="45" t="n"/>
      <c r="B794" s="46" t="inlineStr">
        <is>
          <t>21886</t>
        </is>
      </c>
      <c r="C794" s="46">
        <f>LEFT(Tableau1[[#This Row],[Formacode]],3)</f>
        <v/>
      </c>
      <c r="D794" s="47" t="n">
        <v>37250</v>
      </c>
      <c r="E794" s="48">
        <f>"RNCP"&amp;D794</f>
        <v/>
      </c>
      <c r="F794" s="48" t="inlineStr">
        <is>
          <t>CAP - Vêtement de peau</t>
        </is>
      </c>
      <c r="G794" s="49">
        <f>E794&amp;" - "&amp;F794</f>
        <v/>
      </c>
      <c r="H794" s="36" t="inlineStr">
        <is>
          <t>RAS</t>
        </is>
      </c>
      <c r="I794" s="45" t="inlineStr"/>
      <c r="J794" s="45" t="inlineStr">
        <is>
          <t>RNCP37250</t>
        </is>
      </c>
      <c r="K794" s="45" t="inlineStr">
        <is>
          <t>CAP - Vêtement de peau</t>
        </is>
      </c>
      <c r="L794" s="45" t="inlineStr">
        <is>
          <t>31/12/2030</t>
        </is>
      </c>
      <c r="M794" s="45" t="inlineStr"/>
      <c r="N794" s="50" t="inlineStr">
        <is>
          <t>NON</t>
        </is>
      </c>
      <c r="O794" s="45" t="inlineStr"/>
    </row>
    <row r="795" customFormat="1" s="3">
      <c r="A795" s="45" t="n"/>
      <c r="B795" s="46" t="inlineStr">
        <is>
          <t>22002</t>
        </is>
      </c>
      <c r="C795" s="46">
        <f>LEFT(Tableau1[[#This Row],[Formacode]],3)</f>
        <v/>
      </c>
      <c r="D795" s="47" t="n">
        <v>35827</v>
      </c>
      <c r="E795" s="48">
        <f>"RNCP"&amp;D795</f>
        <v/>
      </c>
      <c r="F795" s="48" t="inlineStr">
        <is>
          <t>TP - Conducteur d'engins de grands terrassements</t>
        </is>
      </c>
      <c r="G795" s="49">
        <f>E795&amp;" - "&amp;F795</f>
        <v/>
      </c>
      <c r="H795" s="36" t="inlineStr">
        <is>
          <t>RAS</t>
        </is>
      </c>
      <c r="I795" s="45" t="inlineStr"/>
      <c r="J795" s="45" t="inlineStr">
        <is>
          <t>RNCP35827</t>
        </is>
      </c>
      <c r="K795" s="45" t="inlineStr">
        <is>
          <t>TP - Conducteur d'engins de grands terrassements</t>
        </is>
      </c>
      <c r="L795" s="45" t="inlineStr">
        <is>
          <t>31/12/2030</t>
        </is>
      </c>
      <c r="M795" s="45" t="inlineStr"/>
      <c r="N795" s="50" t="inlineStr">
        <is>
          <t>NON</t>
        </is>
      </c>
      <c r="O795" s="45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BTS - Travaux publics</t>
        </is>
      </c>
      <c r="L796" s="45" t="inlineStr">
        <is>
          <t>31/12/2030</t>
        </is>
      </c>
      <c r="M796" s="45" t="inlineStr"/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BAC PRO - Travaux publics</t>
        </is>
      </c>
      <c r="L797" s="45" t="inlineStr">
        <is>
          <t>31/12/2030</t>
        </is>
      </c>
      <c r="M797" s="45" t="inlineStr"/>
      <c r="N797" s="50" t="inlineStr">
        <is>
          <t>NON</t>
        </is>
      </c>
      <c r="O797" s="45" t="inlineStr"/>
    </row>
    <row r="798" customFormat="1" s="3">
      <c r="A798" s="45" t="n"/>
      <c r="B798" s="46" t="inlineStr">
        <is>
          <t>22002</t>
        </is>
      </c>
      <c r="C798" s="46">
        <f>LEFT(Tableau1[[#This Row],[Formacode]],3)</f>
        <v/>
      </c>
      <c r="D798" s="47" t="n">
        <v>38715</v>
      </c>
      <c r="E798" s="48">
        <f>"RNCP"&amp;D798</f>
        <v/>
      </c>
      <c r="F798" s="48" t="inlineStr">
        <is>
          <t>BP - Conducteur d'engins : travaux publics et carrières</t>
        </is>
      </c>
      <c r="G798" s="49">
        <f>E798&amp;" - "&amp;F798</f>
        <v/>
      </c>
      <c r="H798" s="36" t="inlineStr">
        <is>
          <t>RAS</t>
        </is>
      </c>
      <c r="I798" s="45" t="inlineStr"/>
      <c r="J798" s="45" t="inlineStr">
        <is>
          <t>RNCP38715</t>
        </is>
      </c>
      <c r="K798" s="45" t="inlineStr">
        <is>
          <t>BP - Conducteur d'engins : travaux publics et carrières</t>
        </is>
      </c>
      <c r="L798" s="45" t="inlineStr">
        <is>
          <t>31/12/2030</t>
        </is>
      </c>
      <c r="M798" s="45" t="inlineStr"/>
      <c r="N798" s="50" t="inlineStr">
        <is>
          <t>NON</t>
        </is>
      </c>
      <c r="O798" s="45" t="inlineStr"/>
    </row>
    <row r="799" customFormat="1" s="3">
      <c r="A799" s="45" t="n"/>
      <c r="B799" s="46" t="inlineStr">
        <is>
          <t>22002</t>
        </is>
      </c>
      <c r="C799" s="46">
        <f>LEFT(Tableau1[[#This Row],[Formacode]],3)</f>
        <v/>
      </c>
      <c r="D799" s="47" t="n">
        <v>40217</v>
      </c>
      <c r="E799" s="48">
        <f>"RNCP"&amp;D799</f>
        <v/>
      </c>
      <c r="F799" s="48" t="inlineStr">
        <is>
          <t>TP - Conducteur de travaux du bâtiment et du génie civil</t>
        </is>
      </c>
      <c r="G799" s="49">
        <f>E799&amp;" - "&amp;F799</f>
        <v/>
      </c>
      <c r="H799" s="36" t="inlineStr">
        <is>
          <t>RAS</t>
        </is>
      </c>
      <c r="I799" s="45" t="inlineStr"/>
      <c r="J799" s="45" t="inlineStr">
        <is>
          <t>RNCP40217</t>
        </is>
      </c>
      <c r="K799" s="45" t="inlineStr">
        <is>
          <t>TP - Conducteur de travaux du bâtiment et du génie civil</t>
        </is>
      </c>
      <c r="L799" s="45" t="inlineStr">
        <is>
          <t>31/12/2030</t>
        </is>
      </c>
      <c r="M799" s="45" t="inlineStr"/>
      <c r="N799" s="50" t="inlineStr">
        <is>
          <t>NON</t>
        </is>
      </c>
      <c r="O799" s="45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31/12/2030</t>
        </is>
      </c>
      <c r="M800" s="45" t="inlineStr"/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BTS - Travaux publics</t>
        </is>
      </c>
      <c r="L801" s="45" t="inlineStr">
        <is>
          <t>31/12/2030</t>
        </is>
      </c>
      <c r="M801" s="45" t="inlineStr"/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BAC PRO - Travaux publics</t>
        </is>
      </c>
      <c r="L802" s="45" t="inlineStr">
        <is>
          <t>31/12/2030</t>
        </is>
      </c>
      <c r="M802" s="45" t="inlineStr"/>
      <c r="N802" s="50" t="inlineStr">
        <is>
          <t>NON</t>
        </is>
      </c>
      <c r="O802" s="45" t="inlineStr"/>
    </row>
    <row r="803" customFormat="1" s="3">
      <c r="A803" s="45" t="n"/>
      <c r="B803" s="46" t="inlineStr">
        <is>
          <t>22013</t>
        </is>
      </c>
      <c r="C803" s="46">
        <f>LEFT(Tableau1[[#This Row],[Formacode]],3)</f>
        <v/>
      </c>
      <c r="D803" s="47" t="n">
        <v>38715</v>
      </c>
      <c r="E803" s="48">
        <f>"RNCP"&amp;D803</f>
        <v/>
      </c>
      <c r="F803" s="48" t="inlineStr">
        <is>
          <t>BP - Conducteur d'engins : travaux publics et carrières</t>
        </is>
      </c>
      <c r="G803" s="49">
        <f>E803&amp;" - "&amp;F803</f>
        <v/>
      </c>
      <c r="H803" s="36" t="inlineStr">
        <is>
          <t>RAS</t>
        </is>
      </c>
      <c r="I803" s="45" t="inlineStr"/>
      <c r="J803" s="45" t="inlineStr">
        <is>
          <t>RNCP38715</t>
        </is>
      </c>
      <c r="K803" s="45" t="inlineStr">
        <is>
          <t>BP - Conducteur d'engins : travaux publics et carrières</t>
        </is>
      </c>
      <c r="L803" s="45" t="inlineStr">
        <is>
          <t>31/12/2030</t>
        </is>
      </c>
      <c r="M803" s="45" t="inlineStr"/>
      <c r="N803" s="50" t="inlineStr">
        <is>
          <t>NON</t>
        </is>
      </c>
      <c r="O803" s="45" t="inlineStr"/>
    </row>
    <row r="804" customFormat="1" s="3">
      <c r="A804" s="45" t="n"/>
      <c r="B804" s="46" t="inlineStr">
        <is>
          <t>22013</t>
        </is>
      </c>
      <c r="C804" s="46">
        <f>LEFT(Tableau1[[#This Row],[Formacode]],3)</f>
        <v/>
      </c>
      <c r="D804" s="47" t="n">
        <v>40217</v>
      </c>
      <c r="E804" s="48">
        <f>"RNCP"&amp;D804</f>
        <v/>
      </c>
      <c r="F804" s="48" t="inlineStr">
        <is>
          <t>TP - Conducteur de travaux du bâtiment et du génie civil</t>
        </is>
      </c>
      <c r="G804" s="49">
        <f>E804&amp;" - "&amp;F804</f>
        <v/>
      </c>
      <c r="H804" s="36" t="inlineStr">
        <is>
          <t>RAS</t>
        </is>
      </c>
      <c r="I804" s="45" t="inlineStr"/>
      <c r="J804" s="45" t="inlineStr">
        <is>
          <t>RNCP40217</t>
        </is>
      </c>
      <c r="K804" s="45" t="inlineStr">
        <is>
          <t>TP - Conducteur de travaux du bâtiment et du génie civil</t>
        </is>
      </c>
      <c r="L804" s="45" t="inlineStr">
        <is>
          <t>31/12/2030</t>
        </is>
      </c>
      <c r="M804" s="45" t="inlineStr"/>
      <c r="N804" s="50" t="inlineStr">
        <is>
          <t>NON</t>
        </is>
      </c>
      <c r="O804" s="45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31/12/2030</t>
        </is>
      </c>
      <c r="M805" s="45" t="inlineStr"/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BTS - Travaux publics</t>
        </is>
      </c>
      <c r="L806" s="45" t="inlineStr">
        <is>
          <t>31/12/2030</t>
        </is>
      </c>
      <c r="M806" s="45" t="inlineStr"/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BAC PRO - Travaux publics</t>
        </is>
      </c>
      <c r="L807" s="45" t="inlineStr">
        <is>
          <t>31/12/2030</t>
        </is>
      </c>
      <c r="M807" s="45" t="inlineStr"/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TP - Maçon en voirie et réseaux divers</t>
        </is>
      </c>
      <c r="L808" s="45" t="inlineStr">
        <is>
          <t>31/12/2030</t>
        </is>
      </c>
      <c r="M808" s="45" t="inlineStr"/>
      <c r="N808" s="50" t="inlineStr">
        <is>
          <t>NON</t>
        </is>
      </c>
      <c r="O808" s="45" t="inlineStr"/>
    </row>
    <row r="809" customFormat="1" s="3">
      <c r="A809" s="45" t="n"/>
      <c r="B809" s="46" t="inlineStr">
        <is>
          <t>22022</t>
        </is>
      </c>
      <c r="C809" s="46">
        <f>LEFT(Tableau1[[#This Row],[Formacode]],3)</f>
        <v/>
      </c>
      <c r="D809" s="47" t="n">
        <v>38715</v>
      </c>
      <c r="E809" s="48">
        <f>"RNCP"&amp;D809</f>
        <v/>
      </c>
      <c r="F809" s="48" t="inlineStr">
        <is>
          <t>BP - Conducteur d'engins : travaux publics et carrières</t>
        </is>
      </c>
      <c r="G809" s="49">
        <f>E809&amp;" - "&amp;F809</f>
        <v/>
      </c>
      <c r="H809" s="36" t="inlineStr">
        <is>
          <t>RAS</t>
        </is>
      </c>
      <c r="I809" s="45" t="inlineStr"/>
      <c r="J809" s="45" t="inlineStr">
        <is>
          <t>RNCP38715</t>
        </is>
      </c>
      <c r="K809" s="45" t="inlineStr">
        <is>
          <t>BP - Conducteur d'engins : travaux publics et carrières</t>
        </is>
      </c>
      <c r="L809" s="45" t="inlineStr">
        <is>
          <t>31/12/2030</t>
        </is>
      </c>
      <c r="M809" s="45" t="inlineStr"/>
      <c r="N809" s="50" t="inlineStr">
        <is>
          <t>NON</t>
        </is>
      </c>
      <c r="O809" s="45" t="inlineStr"/>
    </row>
    <row r="810" customFormat="1" s="3">
      <c r="A810" s="45" t="n"/>
      <c r="B810" s="46" t="inlineStr">
        <is>
          <t>22022</t>
        </is>
      </c>
      <c r="C810" s="46">
        <f>LEFT(Tableau1[[#This Row],[Formacode]],3)</f>
        <v/>
      </c>
      <c r="D810" s="47" t="n">
        <v>40217</v>
      </c>
      <c r="E810" s="48">
        <f>"RNCP"&amp;D810</f>
        <v/>
      </c>
      <c r="F810" s="48" t="inlineStr">
        <is>
          <t>TP - Conducteur de travaux du bâtiment et du génie civil</t>
        </is>
      </c>
      <c r="G810" s="49">
        <f>E810&amp;" - "&amp;F810</f>
        <v/>
      </c>
      <c r="H810" s="36" t="inlineStr">
        <is>
          <t>RAS</t>
        </is>
      </c>
      <c r="I810" s="45" t="inlineStr"/>
      <c r="J810" s="45" t="inlineStr">
        <is>
          <t>RNCP40217</t>
        </is>
      </c>
      <c r="K810" s="45" t="inlineStr">
        <is>
          <t>TP - Conducteur de travaux du bâtiment et du génie civil</t>
        </is>
      </c>
      <c r="L810" s="45" t="inlineStr">
        <is>
          <t>31/12/2030</t>
        </is>
      </c>
      <c r="M810" s="45" t="inlineStr"/>
      <c r="N810" s="50" t="inlineStr">
        <is>
          <t>NON</t>
        </is>
      </c>
      <c r="O810" s="45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CAP - Constructeur de routes et d'aménagements urbains</t>
        </is>
      </c>
      <c r="L811" s="45" t="inlineStr">
        <is>
          <t>31/12/2030</t>
        </is>
      </c>
      <c r="M811" s="45" t="inlineStr"/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TP - Chef de chantier en voirie et réseaux divers</t>
        </is>
      </c>
      <c r="L812" s="45" t="inlineStr">
        <is>
          <t>31/12/2030</t>
        </is>
      </c>
      <c r="M812" s="45" t="inlineStr"/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BTS - Travaux publics</t>
        </is>
      </c>
      <c r="L813" s="45" t="inlineStr">
        <is>
          <t>31/12/2030</t>
        </is>
      </c>
      <c r="M813" s="45" t="inlineStr"/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BAC PRO - Travaux publics</t>
        </is>
      </c>
      <c r="L814" s="45" t="inlineStr">
        <is>
          <t>31/12/2030</t>
        </is>
      </c>
      <c r="M814" s="45" t="inlineStr"/>
      <c r="N814" s="50" t="inlineStr">
        <is>
          <t>NON</t>
        </is>
      </c>
      <c r="O814" s="45" t="inlineStr"/>
    </row>
    <row r="815" customFormat="1" s="3">
      <c r="A815" s="45" t="n"/>
      <c r="B815" s="46" t="inlineStr">
        <is>
          <t>22024</t>
        </is>
      </c>
      <c r="C815" s="46">
        <f>LEFT(Tableau1[[#This Row],[Formacode]],3)</f>
        <v/>
      </c>
      <c r="D815" s="47" t="n">
        <v>38715</v>
      </c>
      <c r="E815" s="48">
        <f>"RNCP"&amp;D815</f>
        <v/>
      </c>
      <c r="F815" s="48" t="inlineStr">
        <is>
          <t>BP - Conducteur d'engins : travaux publics et carrières</t>
        </is>
      </c>
      <c r="G815" s="49">
        <f>E815&amp;" - "&amp;F815</f>
        <v/>
      </c>
      <c r="H815" s="36" t="inlineStr">
        <is>
          <t>RAS</t>
        </is>
      </c>
      <c r="I815" s="45" t="inlineStr"/>
      <c r="J815" s="45" t="inlineStr">
        <is>
          <t>RNCP38715</t>
        </is>
      </c>
      <c r="K815" s="45" t="inlineStr">
        <is>
          <t>BP - Conducteur d'engins : travaux publics et carrières</t>
        </is>
      </c>
      <c r="L815" s="45" t="inlineStr">
        <is>
          <t>31/12/2030</t>
        </is>
      </c>
      <c r="M815" s="45" t="inlineStr"/>
      <c r="N815" s="50" t="inlineStr">
        <is>
          <t>NON</t>
        </is>
      </c>
      <c r="O815" s="45" t="inlineStr"/>
    </row>
    <row r="816" customFormat="1" s="3">
      <c r="A816" s="45" t="n"/>
      <c r="B816" s="46" t="inlineStr">
        <is>
          <t>22024</t>
        </is>
      </c>
      <c r="C816" s="46">
        <f>LEFT(Tableau1[[#This Row],[Formacode]],3)</f>
        <v/>
      </c>
      <c r="D816" s="47" t="n">
        <v>40217</v>
      </c>
      <c r="E816" s="48">
        <f>"RNCP"&amp;D816</f>
        <v/>
      </c>
      <c r="F816" s="48" t="inlineStr">
        <is>
          <t>TP - Conducteur de travaux du bâtiment et du génie civil</t>
        </is>
      </c>
      <c r="G816" s="49">
        <f>E816&amp;" - "&amp;F816</f>
        <v/>
      </c>
      <c r="H816" s="36" t="inlineStr">
        <is>
          <t>RAS</t>
        </is>
      </c>
      <c r="I816" s="45" t="inlineStr"/>
      <c r="J816" s="45" t="inlineStr">
        <is>
          <t>RNCP40217</t>
        </is>
      </c>
      <c r="K816" s="45" t="inlineStr">
        <is>
          <t>TP - Conducteur de travaux du bâtiment et du génie civil</t>
        </is>
      </c>
      <c r="L816" s="45" t="inlineStr">
        <is>
          <t>31/12/2030</t>
        </is>
      </c>
      <c r="M816" s="45" t="inlineStr"/>
      <c r="N816" s="50" t="inlineStr">
        <is>
          <t>NON</t>
        </is>
      </c>
      <c r="O816" s="45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31/12/2030</t>
        </is>
      </c>
      <c r="M817" s="45" t="inlineStr"/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BTS - Travaux publics</t>
        </is>
      </c>
      <c r="L818" s="45" t="inlineStr">
        <is>
          <t>31/12/2030</t>
        </is>
      </c>
      <c r="M818" s="45" t="inlineStr"/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BAC PRO - Travaux publics</t>
        </is>
      </c>
      <c r="L819" s="45" t="inlineStr">
        <is>
          <t>31/12/2030</t>
        </is>
      </c>
      <c r="M819" s="45" t="inlineStr"/>
      <c r="N819" s="50" t="inlineStr">
        <is>
          <t>NON</t>
        </is>
      </c>
      <c r="O819" s="45" t="inlineStr"/>
    </row>
    <row r="820" customFormat="1" s="3">
      <c r="A820" s="45" t="n"/>
      <c r="B820" s="46" t="inlineStr">
        <is>
          <t>22028</t>
        </is>
      </c>
      <c r="C820" s="46">
        <f>LEFT(Tableau1[[#This Row],[Formacode]],3)</f>
        <v/>
      </c>
      <c r="D820" s="47" t="n">
        <v>38715</v>
      </c>
      <c r="E820" s="48">
        <f>"RNCP"&amp;D820</f>
        <v/>
      </c>
      <c r="F820" s="48" t="inlineStr">
        <is>
          <t>BP - Conducteur d'engins : travaux publics et carrières</t>
        </is>
      </c>
      <c r="G820" s="49">
        <f>E820&amp;" - "&amp;F820</f>
        <v/>
      </c>
      <c r="H820" s="36" t="inlineStr">
        <is>
          <t>RAS</t>
        </is>
      </c>
      <c r="I820" s="45" t="inlineStr"/>
      <c r="J820" s="45" t="inlineStr">
        <is>
          <t>RNCP38715</t>
        </is>
      </c>
      <c r="K820" s="45" t="inlineStr">
        <is>
          <t>BP - Conducteur d'engins : travaux publics et carrières</t>
        </is>
      </c>
      <c r="L820" s="45" t="inlineStr">
        <is>
          <t>31/12/2030</t>
        </is>
      </c>
      <c r="M820" s="45" t="inlineStr"/>
      <c r="N820" s="50" t="inlineStr">
        <is>
          <t>NON</t>
        </is>
      </c>
      <c r="O820" s="45" t="inlineStr"/>
    </row>
    <row r="821" customFormat="1" s="3">
      <c r="A821" s="45" t="n"/>
      <c r="B821" s="46" t="inlineStr">
        <is>
          <t>22028</t>
        </is>
      </c>
      <c r="C821" s="46">
        <f>LEFT(Tableau1[[#This Row],[Formacode]],3)</f>
        <v/>
      </c>
      <c r="D821" s="47" t="n">
        <v>40217</v>
      </c>
      <c r="E821" s="48">
        <f>"RNCP"&amp;D821</f>
        <v/>
      </c>
      <c r="F821" s="48" t="inlineStr">
        <is>
          <t>TP - Conducteur de travaux du bâtiment et du génie civil</t>
        </is>
      </c>
      <c r="G821" s="49">
        <f>E821&amp;" - "&amp;F821</f>
        <v/>
      </c>
      <c r="H821" s="36" t="inlineStr">
        <is>
          <t>RAS</t>
        </is>
      </c>
      <c r="I821" s="45" t="inlineStr"/>
      <c r="J821" s="45" t="inlineStr">
        <is>
          <t>RNCP40217</t>
        </is>
      </c>
      <c r="K821" s="45" t="inlineStr">
        <is>
          <t>TP - Conducteur de travaux du bâtiment et du génie civil</t>
        </is>
      </c>
      <c r="L821" s="45" t="inlineStr">
        <is>
          <t>31/12/2030</t>
        </is>
      </c>
      <c r="M821" s="45" t="inlineStr"/>
      <c r="N821" s="50" t="inlineStr">
        <is>
          <t>NON</t>
        </is>
      </c>
      <c r="O821" s="45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31/12/2030</t>
        </is>
      </c>
      <c r="M822" s="45" t="inlineStr"/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BTS - Travaux publics</t>
        </is>
      </c>
      <c r="L823" s="45" t="inlineStr">
        <is>
          <t>31/12/2030</t>
        </is>
      </c>
      <c r="M823" s="45" t="inlineStr"/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BAC PRO - Travaux publics</t>
        </is>
      </c>
      <c r="L824" s="45" t="inlineStr">
        <is>
          <t>31/12/2030</t>
        </is>
      </c>
      <c r="M824" s="45" t="inlineStr"/>
      <c r="N824" s="50" t="inlineStr">
        <is>
          <t>NON</t>
        </is>
      </c>
      <c r="O824" s="45" t="inlineStr"/>
    </row>
    <row r="825" customFormat="1" s="3">
      <c r="A825" s="45" t="n"/>
      <c r="B825" s="46" t="inlineStr">
        <is>
          <t>22050</t>
        </is>
      </c>
      <c r="C825" s="46">
        <f>LEFT(Tableau1[[#This Row],[Formacode]],3)</f>
        <v/>
      </c>
      <c r="D825" s="47" t="n">
        <v>38715</v>
      </c>
      <c r="E825" s="48">
        <f>"RNCP"&amp;D825</f>
        <v/>
      </c>
      <c r="F825" s="48" t="inlineStr">
        <is>
          <t>BP - Conducteur d'engins : travaux publics et carrières</t>
        </is>
      </c>
      <c r="G825" s="49">
        <f>E825&amp;" - "&amp;F825</f>
        <v/>
      </c>
      <c r="H825" s="36" t="inlineStr">
        <is>
          <t>RAS</t>
        </is>
      </c>
      <c r="I825" s="45" t="inlineStr"/>
      <c r="J825" s="45" t="inlineStr">
        <is>
          <t>RNCP38715</t>
        </is>
      </c>
      <c r="K825" s="45" t="inlineStr">
        <is>
          <t>BP - Conducteur d'engins : travaux publics et carrières</t>
        </is>
      </c>
      <c r="L825" s="45" t="inlineStr">
        <is>
          <t>31/12/2030</t>
        </is>
      </c>
      <c r="M825" s="45" t="inlineStr"/>
      <c r="N825" s="50" t="inlineStr">
        <is>
          <t>NON</t>
        </is>
      </c>
      <c r="O825" s="45" t="inlineStr"/>
    </row>
    <row r="826" customFormat="1" s="3">
      <c r="A826" s="45" t="n"/>
      <c r="B826" s="46" t="inlineStr">
        <is>
          <t>22050</t>
        </is>
      </c>
      <c r="C826" s="46">
        <f>LEFT(Tableau1[[#This Row],[Formacode]],3)</f>
        <v/>
      </c>
      <c r="D826" s="47" t="n">
        <v>40217</v>
      </c>
      <c r="E826" s="48">
        <f>"RNCP"&amp;D826</f>
        <v/>
      </c>
      <c r="F826" s="48" t="inlineStr">
        <is>
          <t>TP - Conducteur de travaux du bâtiment et du génie civil</t>
        </is>
      </c>
      <c r="G826" s="49">
        <f>E826&amp;" - "&amp;F826</f>
        <v/>
      </c>
      <c r="H826" s="36" t="inlineStr">
        <is>
          <t>RAS</t>
        </is>
      </c>
      <c r="I826" s="45" t="inlineStr"/>
      <c r="J826" s="45" t="inlineStr">
        <is>
          <t>RNCP40217</t>
        </is>
      </c>
      <c r="K826" s="45" t="inlineStr">
        <is>
          <t>TP - Conducteur de travaux du bâtiment et du génie civil</t>
        </is>
      </c>
      <c r="L826" s="45" t="inlineStr">
        <is>
          <t>31/12/2030</t>
        </is>
      </c>
      <c r="M826" s="45" t="inlineStr"/>
      <c r="N826" s="50" t="inlineStr">
        <is>
          <t>NON</t>
        </is>
      </c>
      <c r="O826" s="45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BTS - Travaux publics</t>
        </is>
      </c>
      <c r="L827" s="45" t="inlineStr">
        <is>
          <t>31/12/2030</t>
        </is>
      </c>
      <c r="M827" s="45" t="inlineStr"/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BAC PRO - Travaux publics</t>
        </is>
      </c>
      <c r="L828" s="45" t="inlineStr">
        <is>
          <t>31/12/2030</t>
        </is>
      </c>
      <c r="M828" s="45" t="inlineStr"/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TP - Canalisateur</t>
        </is>
      </c>
      <c r="L829" s="45" t="inlineStr">
        <is>
          <t>31/12/2030</t>
        </is>
      </c>
      <c r="M829" s="45" t="inlineStr"/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TP - Maçon en voirie et réseaux divers</t>
        </is>
      </c>
      <c r="L830" s="45" t="inlineStr">
        <is>
          <t>31/12/2030</t>
        </is>
      </c>
      <c r="M830" s="45" t="inlineStr"/>
      <c r="N830" s="50" t="inlineStr">
        <is>
          <t>NON</t>
        </is>
      </c>
      <c r="O830" s="45" t="inlineStr"/>
    </row>
    <row r="831" customFormat="1" s="3">
      <c r="A831" s="45" t="n"/>
      <c r="B831" s="46" t="inlineStr">
        <is>
          <t>22062</t>
        </is>
      </c>
      <c r="C831" s="46">
        <f>LEFT(Tableau1[[#This Row],[Formacode]],3)</f>
        <v/>
      </c>
      <c r="D831" s="47" t="n">
        <v>38715</v>
      </c>
      <c r="E831" s="48">
        <f>"RNCP"&amp;D831</f>
        <v/>
      </c>
      <c r="F831" s="48" t="inlineStr">
        <is>
          <t>BP - Conducteur d'engins : travaux publics et carrières</t>
        </is>
      </c>
      <c r="G831" s="49">
        <f>E831&amp;" - "&amp;F831</f>
        <v/>
      </c>
      <c r="H831" s="36" t="inlineStr">
        <is>
          <t>RAS</t>
        </is>
      </c>
      <c r="I831" s="45" t="inlineStr"/>
      <c r="J831" s="45" t="inlineStr">
        <is>
          <t>RNCP38715</t>
        </is>
      </c>
      <c r="K831" s="45" t="inlineStr">
        <is>
          <t>BP - Conducteur d'engins : travaux publics et carrières</t>
        </is>
      </c>
      <c r="L831" s="45" t="inlineStr">
        <is>
          <t>31/12/2030</t>
        </is>
      </c>
      <c r="M831" s="45" t="inlineStr"/>
      <c r="N831" s="50" t="inlineStr">
        <is>
          <t>NON</t>
        </is>
      </c>
      <c r="O831" s="45" t="inlineStr"/>
    </row>
    <row r="832" customFormat="1" s="3">
      <c r="A832" s="45" t="n"/>
      <c r="B832" s="46" t="inlineStr">
        <is>
          <t>22062</t>
        </is>
      </c>
      <c r="C832" s="46">
        <f>LEFT(Tableau1[[#This Row],[Formacode]],3)</f>
        <v/>
      </c>
      <c r="D832" s="47" t="n">
        <v>40217</v>
      </c>
      <c r="E832" s="48">
        <f>"RNCP"&amp;D832</f>
        <v/>
      </c>
      <c r="F832" s="48" t="inlineStr">
        <is>
          <t>TP - Conducteur de travaux du bâtiment et du génie civil</t>
        </is>
      </c>
      <c r="G832" s="49">
        <f>E832&amp;" - "&amp;F832</f>
        <v/>
      </c>
      <c r="H832" s="36" t="inlineStr">
        <is>
          <t>RAS</t>
        </is>
      </c>
      <c r="I832" s="45" t="inlineStr"/>
      <c r="J832" s="45" t="inlineStr">
        <is>
          <t>RNCP40217</t>
        </is>
      </c>
      <c r="K832" s="45" t="inlineStr">
        <is>
          <t>TP - Conducteur de travaux du bâtiment et du génie civil</t>
        </is>
      </c>
      <c r="L832" s="45" t="inlineStr">
        <is>
          <t>31/12/2030</t>
        </is>
      </c>
      <c r="M832" s="45" t="inlineStr"/>
      <c r="N832" s="50" t="inlineStr">
        <is>
          <t>NON</t>
        </is>
      </c>
      <c r="O832" s="45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31/12/2030</t>
        </is>
      </c>
      <c r="M833" s="45" t="inlineStr"/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CAP - Constructeur de réseaux de canalisations de travaux publics</t>
        </is>
      </c>
      <c r="L834" s="45" t="inlineStr">
        <is>
          <t>31/12/2030</t>
        </is>
      </c>
      <c r="M834" s="45" t="inlineStr"/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TP - Chef de chantier en voirie et réseaux divers</t>
        </is>
      </c>
      <c r="L835" s="45" t="inlineStr">
        <is>
          <t>31/12/2030</t>
        </is>
      </c>
      <c r="M835" s="45" t="inlineStr"/>
      <c r="N835" s="50" t="inlineStr">
        <is>
          <t>NON</t>
        </is>
      </c>
      <c r="O835" s="45" t="inlineStr"/>
    </row>
    <row r="836" customFormat="1" s="3">
      <c r="A836" s="45" t="n"/>
      <c r="B836" s="46" t="inlineStr">
        <is>
          <t>22067</t>
        </is>
      </c>
      <c r="C836" s="46">
        <f>LEFT(Tableau1[[#This Row],[Formacode]],3)</f>
        <v/>
      </c>
      <c r="D836" s="47" t="n">
        <v>35232</v>
      </c>
      <c r="E836" s="48">
        <f>"RNCP"&amp;D836</f>
        <v/>
      </c>
      <c r="F836" s="48" t="inlineStr">
        <is>
          <t>TP - Scaphandrier travaux publics</t>
        </is>
      </c>
      <c r="G836" s="49">
        <f>E836&amp;" - "&amp;F836</f>
        <v/>
      </c>
      <c r="H836" s="36" t="inlineStr">
        <is>
          <t>RAS</t>
        </is>
      </c>
      <c r="I836" s="45" t="inlineStr"/>
      <c r="J836" s="45" t="inlineStr">
        <is>
          <t>RNCP35232</t>
        </is>
      </c>
      <c r="K836" s="45" t="inlineStr">
        <is>
          <t>TP - Scaphandrier travaux publics</t>
        </is>
      </c>
      <c r="L836" s="45" t="inlineStr">
        <is>
          <t>31/12/2030</t>
        </is>
      </c>
      <c r="M836" s="45" t="inlineStr"/>
      <c r="N836" s="50" t="inlineStr">
        <is>
          <t>NON</t>
        </is>
      </c>
      <c r="O836" s="45" t="inlineStr"/>
    </row>
    <row r="837" customFormat="1" s="3">
      <c r="A837" s="45" t="n"/>
      <c r="B837" s="46" t="inlineStr">
        <is>
          <t>22067</t>
        </is>
      </c>
      <c r="C837" s="46">
        <f>LEFT(Tableau1[[#This Row],[Formacode]],3)</f>
        <v/>
      </c>
      <c r="D837" s="47" t="n">
        <v>36816</v>
      </c>
      <c r="E837" s="48">
        <f>"RNCP"&amp;D837</f>
        <v/>
      </c>
      <c r="F837" s="48" t="inlineStr">
        <is>
          <t>CS - Opérateur polyvalent en interventions subaquatiques</t>
        </is>
      </c>
      <c r="G837" s="49">
        <f>E837&amp;" - "&amp;F837</f>
        <v/>
      </c>
      <c r="H837" s="36" t="inlineStr">
        <is>
          <t>RAS</t>
        </is>
      </c>
      <c r="I837" s="45" t="inlineStr"/>
      <c r="J837" s="45" t="inlineStr">
        <is>
          <t>RNCP36816</t>
        </is>
      </c>
      <c r="K837" s="45" t="inlineStr">
        <is>
          <t>CS - Opérateur polyvalent en interventions subaquatiques</t>
        </is>
      </c>
      <c r="L837" s="45" t="inlineStr">
        <is>
          <t>31/12/2030</t>
        </is>
      </c>
      <c r="M837" s="45" t="inlineStr"/>
      <c r="N837" s="50" t="inlineStr">
        <is>
          <t>NON</t>
        </is>
      </c>
      <c r="O837" s="45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BTS - Travaux publics</t>
        </is>
      </c>
      <c r="L838" s="45" t="inlineStr">
        <is>
          <t>31/12/2030</t>
        </is>
      </c>
      <c r="M838" s="45" t="inlineStr"/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BAC PRO - Travaux publics</t>
        </is>
      </c>
      <c r="L839" s="45" t="inlineStr">
        <is>
          <t>31/12/2030</t>
        </is>
      </c>
      <c r="M839" s="45" t="inlineStr"/>
      <c r="N839" s="50" t="inlineStr">
        <is>
          <t>NON</t>
        </is>
      </c>
      <c r="O839" s="45" t="inlineStr"/>
    </row>
    <row r="840" customFormat="1" s="3">
      <c r="A840" s="45" t="n"/>
      <c r="B840" s="46" t="inlineStr">
        <is>
          <t>22067</t>
        </is>
      </c>
      <c r="C840" s="46">
        <f>LEFT(Tableau1[[#This Row],[Formacode]],3)</f>
        <v/>
      </c>
      <c r="D840" s="47" t="n">
        <v>38715</v>
      </c>
      <c r="E840" s="48">
        <f>"RNCP"&amp;D840</f>
        <v/>
      </c>
      <c r="F840" s="48" t="inlineStr">
        <is>
          <t>BP - Conducteur d'engins : travaux publics et carrières</t>
        </is>
      </c>
      <c r="G840" s="49">
        <f>E840&amp;" - "&amp;F840</f>
        <v/>
      </c>
      <c r="H840" s="36" t="inlineStr">
        <is>
          <t>RAS</t>
        </is>
      </c>
      <c r="I840" s="45" t="inlineStr"/>
      <c r="J840" s="45" t="inlineStr">
        <is>
          <t>RNCP38715</t>
        </is>
      </c>
      <c r="K840" s="45" t="inlineStr">
        <is>
          <t>BP - Conducteur d'engins : travaux publics et carrières</t>
        </is>
      </c>
      <c r="L840" s="45" t="inlineStr">
        <is>
          <t>31/12/2030</t>
        </is>
      </c>
      <c r="M840" s="45" t="inlineStr"/>
      <c r="N840" s="50" t="inlineStr">
        <is>
          <t>NON</t>
        </is>
      </c>
      <c r="O840" s="45" t="inlineStr"/>
    </row>
    <row r="841" customFormat="1" s="3">
      <c r="A841" s="45" t="n"/>
      <c r="B841" s="46" t="inlineStr">
        <is>
          <t>22067</t>
        </is>
      </c>
      <c r="C841" s="46">
        <f>LEFT(Tableau1[[#This Row],[Formacode]],3)</f>
        <v/>
      </c>
      <c r="D841" s="47" t="n">
        <v>40217</v>
      </c>
      <c r="E841" s="48">
        <f>"RNCP"&amp;D841</f>
        <v/>
      </c>
      <c r="F841" s="48" t="inlineStr">
        <is>
          <t>TP - Conducteur de travaux du bâtiment et du génie civil</t>
        </is>
      </c>
      <c r="G841" s="49">
        <f>E841&amp;" - "&amp;F841</f>
        <v/>
      </c>
      <c r="H841" s="36" t="inlineStr">
        <is>
          <t>RAS</t>
        </is>
      </c>
      <c r="I841" s="45" t="inlineStr"/>
      <c r="J841" s="45" t="inlineStr">
        <is>
          <t>RNCP40217</t>
        </is>
      </c>
      <c r="K841" s="45" t="inlineStr">
        <is>
          <t>TP - Conducteur de travaux du bâtiment et du génie civil</t>
        </is>
      </c>
      <c r="L841" s="45" t="inlineStr">
        <is>
          <t>31/12/2030</t>
        </is>
      </c>
      <c r="M841" s="45" t="inlineStr"/>
      <c r="N841" s="50" t="inlineStr">
        <is>
          <t>NON</t>
        </is>
      </c>
      <c r="O841" s="45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BTS - Travaux publics</t>
        </is>
      </c>
      <c r="L842" s="45" t="inlineStr">
        <is>
          <t>31/12/2030</t>
        </is>
      </c>
      <c r="M842" s="45" t="inlineStr"/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BAC PRO - Travaux publics</t>
        </is>
      </c>
      <c r="L843" s="45" t="inlineStr">
        <is>
          <t>31/12/2030</t>
        </is>
      </c>
      <c r="M843" s="45" t="inlineStr"/>
      <c r="N843" s="50" t="inlineStr">
        <is>
          <t>NON</t>
        </is>
      </c>
      <c r="O843" s="45" t="inlineStr"/>
    </row>
    <row r="844" customFormat="1" s="3">
      <c r="A844" s="45" t="n"/>
      <c r="B844" s="46" t="inlineStr">
        <is>
          <t>22076</t>
        </is>
      </c>
      <c r="C844" s="46">
        <f>LEFT(Tableau1[[#This Row],[Formacode]],3)</f>
        <v/>
      </c>
      <c r="D844" s="47" t="n">
        <v>38715</v>
      </c>
      <c r="E844" s="48">
        <f>"RNCP"&amp;D844</f>
        <v/>
      </c>
      <c r="F844" s="48" t="inlineStr">
        <is>
          <t>BP - Conducteur d'engins : travaux publics et carrières</t>
        </is>
      </c>
      <c r="G844" s="49">
        <f>E844&amp;" - "&amp;F844</f>
        <v/>
      </c>
      <c r="H844" s="36" t="inlineStr">
        <is>
          <t>RAS</t>
        </is>
      </c>
      <c r="I844" s="45" t="inlineStr"/>
      <c r="J844" s="45" t="inlineStr">
        <is>
          <t>RNCP38715</t>
        </is>
      </c>
      <c r="K844" s="45" t="inlineStr">
        <is>
          <t>BP - Conducteur d'engins : travaux publics et carrières</t>
        </is>
      </c>
      <c r="L844" s="45" t="inlineStr">
        <is>
          <t>31/12/2030</t>
        </is>
      </c>
      <c r="M844" s="45" t="inlineStr"/>
      <c r="N844" s="50" t="inlineStr">
        <is>
          <t>NON</t>
        </is>
      </c>
      <c r="O844" s="45" t="inlineStr"/>
    </row>
    <row r="845" customFormat="1" s="3">
      <c r="A845" s="45" t="n"/>
      <c r="B845" s="46" t="inlineStr">
        <is>
          <t>22076</t>
        </is>
      </c>
      <c r="C845" s="46">
        <f>LEFT(Tableau1[[#This Row],[Formacode]],3)</f>
        <v/>
      </c>
      <c r="D845" s="47" t="n">
        <v>40217</v>
      </c>
      <c r="E845" s="48">
        <f>"RNCP"&amp;D845</f>
        <v/>
      </c>
      <c r="F845" s="48" t="inlineStr">
        <is>
          <t>TP - Conducteur de travaux du bâtiment et du génie civil</t>
        </is>
      </c>
      <c r="G845" s="49">
        <f>E845&amp;" - "&amp;F845</f>
        <v/>
      </c>
      <c r="H845" s="36" t="inlineStr">
        <is>
          <t>RAS</t>
        </is>
      </c>
      <c r="I845" s="45" t="inlineStr"/>
      <c r="J845" s="45" t="inlineStr">
        <is>
          <t>RNCP40217</t>
        </is>
      </c>
      <c r="K845" s="45" t="inlineStr">
        <is>
          <t>TP - Conducteur de travaux du bâtiment et du génie civil</t>
        </is>
      </c>
      <c r="L845" s="45" t="inlineStr">
        <is>
          <t>31/12/2030</t>
        </is>
      </c>
      <c r="M845" s="45" t="inlineStr"/>
      <c r="N845" s="50" t="inlineStr">
        <is>
          <t>NON</t>
        </is>
      </c>
      <c r="O845" s="45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BTS - Travaux publics</t>
        </is>
      </c>
      <c r="L846" s="45" t="inlineStr">
        <is>
          <t>31/12/2030</t>
        </is>
      </c>
      <c r="M846" s="45" t="inlineStr"/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BAC PRO - Travaux publics</t>
        </is>
      </c>
      <c r="L847" s="45" t="inlineStr">
        <is>
          <t>31/12/2030</t>
        </is>
      </c>
      <c r="M847" s="45" t="inlineStr"/>
      <c r="N847" s="50" t="inlineStr">
        <is>
          <t>NON</t>
        </is>
      </c>
      <c r="O847" s="45" t="inlineStr"/>
    </row>
    <row r="848" customFormat="1" s="3">
      <c r="A848" s="45" t="n"/>
      <c r="B848" s="46" t="inlineStr">
        <is>
          <t>22095</t>
        </is>
      </c>
      <c r="C848" s="46">
        <f>LEFT(Tableau1[[#This Row],[Formacode]],3)</f>
        <v/>
      </c>
      <c r="D848" s="47" t="n">
        <v>38715</v>
      </c>
      <c r="E848" s="48">
        <f>"RNCP"&amp;D848</f>
        <v/>
      </c>
      <c r="F848" s="48" t="inlineStr">
        <is>
          <t>BP - Conducteur d'engins : travaux publics et carrières</t>
        </is>
      </c>
      <c r="G848" s="49">
        <f>E848&amp;" - "&amp;F848</f>
        <v/>
      </c>
      <c r="H848" s="36" t="inlineStr">
        <is>
          <t>RAS</t>
        </is>
      </c>
      <c r="I848" s="45" t="inlineStr"/>
      <c r="J848" s="45" t="inlineStr">
        <is>
          <t>RNCP38715</t>
        </is>
      </c>
      <c r="K848" s="45" t="inlineStr">
        <is>
          <t>BP - Conducteur d'engins : travaux publics et carrières</t>
        </is>
      </c>
      <c r="L848" s="45" t="inlineStr">
        <is>
          <t>31/12/2030</t>
        </is>
      </c>
      <c r="M848" s="45" t="inlineStr"/>
      <c r="N848" s="50" t="inlineStr">
        <is>
          <t>NON</t>
        </is>
      </c>
      <c r="O848" s="45" t="inlineStr"/>
    </row>
    <row r="849" customFormat="1" s="3">
      <c r="A849" s="45" t="n"/>
      <c r="B849" s="46" t="inlineStr">
        <is>
          <t>22095</t>
        </is>
      </c>
      <c r="C849" s="46">
        <f>LEFT(Tableau1[[#This Row],[Formacode]],3)</f>
        <v/>
      </c>
      <c r="D849" s="47" t="n">
        <v>40217</v>
      </c>
      <c r="E849" s="48">
        <f>"RNCP"&amp;D849</f>
        <v/>
      </c>
      <c r="F849" s="48" t="inlineStr">
        <is>
          <t>TP - Conducteur de travaux du bâtiment et du génie civil</t>
        </is>
      </c>
      <c r="G849" s="49">
        <f>E849&amp;" - "&amp;F849</f>
        <v/>
      </c>
      <c r="H849" s="36" t="inlineStr">
        <is>
          <t>RAS</t>
        </is>
      </c>
      <c r="I849" s="45" t="inlineStr"/>
      <c r="J849" s="45" t="inlineStr">
        <is>
          <t>RNCP40217</t>
        </is>
      </c>
      <c r="K849" s="45" t="inlineStr">
        <is>
          <t>TP - Conducteur de travaux du bâtiment et du génie civil</t>
        </is>
      </c>
      <c r="L849" s="45" t="inlineStr">
        <is>
          <t>31/12/2030</t>
        </is>
      </c>
      <c r="M849" s="45" t="inlineStr"/>
      <c r="N849" s="50" t="inlineStr">
        <is>
          <t>NON</t>
        </is>
      </c>
      <c r="O849" s="45" t="inlineStr"/>
    </row>
    <row r="850" customFormat="1" s="3">
      <c r="A850" s="45" t="n"/>
      <c r="B850" s="46" t="inlineStr">
        <is>
          <t>22097</t>
        </is>
      </c>
      <c r="C850" s="46">
        <f>LEFT(Tableau1[[#This Row],[Formacode]],3)</f>
        <v/>
      </c>
      <c r="D850" s="47" t="n">
        <v>35297</v>
      </c>
      <c r="E850" s="48">
        <f>"RNCP"&amp;D850</f>
        <v/>
      </c>
      <c r="F850" s="48" t="inlineStr">
        <is>
          <t>TP - Opérateur en dépollution pyrotechnique</t>
        </is>
      </c>
      <c r="G850" s="49">
        <f>E850&amp;" - "&amp;F850</f>
        <v/>
      </c>
      <c r="H850" s="36" t="inlineStr">
        <is>
          <t>RAS</t>
        </is>
      </c>
      <c r="I850" s="45" t="inlineStr"/>
      <c r="J850" s="45" t="inlineStr">
        <is>
          <t>RNCP35297</t>
        </is>
      </c>
      <c r="K850" s="45" t="inlineStr">
        <is>
          <t>TP - Opérateur en dépollution pyrotechnique</t>
        </is>
      </c>
      <c r="L850" s="45" t="inlineStr">
        <is>
          <t>31/12/2030</t>
        </is>
      </c>
      <c r="M850" s="45" t="inlineStr"/>
      <c r="N850" s="50" t="inlineStr">
        <is>
          <t>NON</t>
        </is>
      </c>
      <c r="O850" s="45" t="inlineStr"/>
    </row>
    <row r="851" customFormat="1" s="3">
      <c r="A851" s="45" t="n"/>
      <c r="B851" s="46" t="inlineStr">
        <is>
          <t>22097</t>
        </is>
      </c>
      <c r="C851" s="46">
        <f>LEFT(Tableau1[[#This Row],[Formacode]],3)</f>
        <v/>
      </c>
      <c r="D851" s="47" t="n">
        <v>35298</v>
      </c>
      <c r="E851" s="48">
        <f>"RNCP"&amp;D851</f>
        <v/>
      </c>
      <c r="F851" s="48" t="inlineStr">
        <is>
          <t>TP - Responsable de chantier de dépollution pyrotechnique</t>
        </is>
      </c>
      <c r="G851" s="49">
        <f>E851&amp;" - "&amp;F851</f>
        <v/>
      </c>
      <c r="H851" s="36" t="inlineStr">
        <is>
          <t>RAS</t>
        </is>
      </c>
      <c r="I851" s="45" t="inlineStr"/>
      <c r="J851" s="45" t="inlineStr">
        <is>
          <t>RNCP35298</t>
        </is>
      </c>
      <c r="K851" s="45" t="inlineStr">
        <is>
          <t>TP - Responsable de chantier de dépollution pyrotechnique</t>
        </is>
      </c>
      <c r="L851" s="45" t="inlineStr">
        <is>
          <t>31/12/2030</t>
        </is>
      </c>
      <c r="M851" s="45" t="inlineStr"/>
      <c r="N851" s="50" t="inlineStr">
        <is>
          <t>NON</t>
        </is>
      </c>
      <c r="O851" s="45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BTS - Travaux publics</t>
        </is>
      </c>
      <c r="L852" s="45" t="inlineStr">
        <is>
          <t>31/12/2030</t>
        </is>
      </c>
      <c r="M852" s="45" t="inlineStr"/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BAC PRO - Travaux publics</t>
        </is>
      </c>
      <c r="L853" s="45" t="inlineStr">
        <is>
          <t>31/12/2030</t>
        </is>
      </c>
      <c r="M853" s="45" t="inlineStr"/>
      <c r="N853" s="50" t="inlineStr">
        <is>
          <t>NON</t>
        </is>
      </c>
      <c r="O853" s="45" t="inlineStr"/>
    </row>
    <row r="854" customFormat="1" s="3">
      <c r="A854" s="45" t="n"/>
      <c r="B854" s="46" t="inlineStr">
        <is>
          <t>22097</t>
        </is>
      </c>
      <c r="C854" s="46">
        <f>LEFT(Tableau1[[#This Row],[Formacode]],3)</f>
        <v/>
      </c>
      <c r="D854" s="47" t="n">
        <v>38715</v>
      </c>
      <c r="E854" s="48">
        <f>"RNCP"&amp;D854</f>
        <v/>
      </c>
      <c r="F854" s="48" t="inlineStr">
        <is>
          <t>BP - Conducteur d'engins : travaux publics et carrières</t>
        </is>
      </c>
      <c r="G854" s="49">
        <f>E854&amp;" - "&amp;F854</f>
        <v/>
      </c>
      <c r="H854" s="36" t="inlineStr">
        <is>
          <t>RAS</t>
        </is>
      </c>
      <c r="I854" s="45" t="inlineStr"/>
      <c r="J854" s="45" t="inlineStr">
        <is>
          <t>RNCP38715</t>
        </is>
      </c>
      <c r="K854" s="45" t="inlineStr">
        <is>
          <t>BP - Conducteur d'engins : travaux publics et carrières</t>
        </is>
      </c>
      <c r="L854" s="45" t="inlineStr">
        <is>
          <t>31/12/2030</t>
        </is>
      </c>
      <c r="M854" s="45" t="inlineStr"/>
      <c r="N854" s="50" t="inlineStr">
        <is>
          <t>NON</t>
        </is>
      </c>
      <c r="O854" s="45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31/12/2030</t>
        </is>
      </c>
      <c r="M855" s="45" t="inlineStr"/>
      <c r="N855" s="50" t="inlineStr">
        <is>
          <t>NON</t>
        </is>
      </c>
      <c r="O855" s="45" t="inlineStr"/>
    </row>
    <row r="856" customFormat="1" s="3">
      <c r="A856" s="45" t="n"/>
      <c r="B856" s="46" t="inlineStr">
        <is>
          <t>22097</t>
        </is>
      </c>
      <c r="C856" s="46">
        <f>LEFT(Tableau1[[#This Row],[Formacode]],3)</f>
        <v/>
      </c>
      <c r="D856" s="47" t="n">
        <v>40217</v>
      </c>
      <c r="E856" s="48">
        <f>"RNCP"&amp;D856</f>
        <v/>
      </c>
      <c r="F856" s="48" t="inlineStr">
        <is>
          <t>TP - Conducteur de travaux du bâtiment et du génie civil</t>
        </is>
      </c>
      <c r="G856" s="49">
        <f>E856&amp;" - "&amp;F856</f>
        <v/>
      </c>
      <c r="H856" s="36" t="inlineStr">
        <is>
          <t>RAS</t>
        </is>
      </c>
      <c r="I856" s="45" t="inlineStr"/>
      <c r="J856" s="45" t="inlineStr">
        <is>
          <t>RNCP40217</t>
        </is>
      </c>
      <c r="K856" s="45" t="inlineStr">
        <is>
          <t>TP - Conducteur de travaux du bâtiment et du génie civil</t>
        </is>
      </c>
      <c r="L856" s="45" t="inlineStr">
        <is>
          <t>31/12/2030</t>
        </is>
      </c>
      <c r="M856" s="45" t="inlineStr"/>
      <c r="N856" s="50" t="inlineStr">
        <is>
          <t>NON</t>
        </is>
      </c>
      <c r="O856" s="45" t="inlineStr"/>
    </row>
    <row r="857" customFormat="1" s="3">
      <c r="A857" s="45" t="n"/>
      <c r="B857" s="46" t="inlineStr">
        <is>
          <t>22214</t>
        </is>
      </c>
      <c r="C857" s="46">
        <f>LEFT(Tableau1[[#This Row],[Formacode]],3)</f>
        <v/>
      </c>
      <c r="D857" s="47" t="n">
        <v>35503</v>
      </c>
      <c r="E857" s="48">
        <f>"RNCP"&amp;D857</f>
        <v/>
      </c>
      <c r="F857" s="48" t="inlineStr">
        <is>
          <t>TP - Chargé d'affaires du bâtiment</t>
        </is>
      </c>
      <c r="G857" s="49">
        <f>E857&amp;" - "&amp;F857</f>
        <v/>
      </c>
      <c r="H857" s="36" t="inlineStr">
        <is>
          <t>RAS</t>
        </is>
      </c>
      <c r="I857" s="45" t="inlineStr"/>
      <c r="J857" s="45" t="inlineStr">
        <is>
          <t>RNCP35503</t>
        </is>
      </c>
      <c r="K857" s="45" t="inlineStr">
        <is>
          <t>TP - Chargé d'affaires du bâtiment</t>
        </is>
      </c>
      <c r="L857" s="45" t="inlineStr">
        <is>
          <t>31/12/2030</t>
        </is>
      </c>
      <c r="M857" s="45" t="inlineStr"/>
      <c r="N857" s="50" t="inlineStr">
        <is>
          <t>NON</t>
        </is>
      </c>
      <c r="O857" s="45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TP - Technicien d'intervention de réseaux de télécommunications en fibre optique</t>
        </is>
      </c>
      <c r="L858" s="45" t="inlineStr">
        <is>
          <t>31/12/2030</t>
        </is>
      </c>
      <c r="M858" s="45" t="inlineStr"/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BP - Métiers de la pierre</t>
        </is>
      </c>
      <c r="L859" s="45" t="inlineStr">
        <is>
          <t>31/12/2030</t>
        </is>
      </c>
      <c r="M859" s="45" t="inlineStr"/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BTS - Géologie appliquée</t>
        </is>
      </c>
      <c r="L860" s="45" t="inlineStr">
        <is>
          <t>31/12/2030</t>
        </is>
      </c>
      <c r="M860" s="45" t="inlineStr"/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BAC PRO - Ouvrages du bâtiment : métallerie</t>
        </is>
      </c>
      <c r="L861" s="45" t="inlineStr">
        <is>
          <t>31/12/2030</t>
        </is>
      </c>
      <c r="M861" s="45" t="inlineStr"/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31/12/2030</t>
        </is>
      </c>
      <c r="M862" s="45" t="inlineStr"/>
      <c r="N862" s="50" t="inlineStr">
        <is>
          <t>NON</t>
        </is>
      </c>
      <c r="O862" s="45" t="inlineStr"/>
    </row>
    <row r="863" customFormat="1" s="3">
      <c r="A863" s="45" t="n"/>
      <c r="B863" s="46" t="inlineStr">
        <is>
          <t>22217</t>
        </is>
      </c>
      <c r="C863" s="46">
        <f>LEFT(Tableau1[[#This Row],[Formacode]],3)</f>
        <v/>
      </c>
      <c r="D863" s="47" t="n">
        <v>35503</v>
      </c>
      <c r="E863" s="48">
        <f>"RNCP"&amp;D863</f>
        <v/>
      </c>
      <c r="F863" s="48" t="inlineStr">
        <is>
          <t>TP - Chargé d'affaires du bâtiment</t>
        </is>
      </c>
      <c r="G863" s="49">
        <f>E863&amp;" - "&amp;F863</f>
        <v/>
      </c>
      <c r="H863" s="36" t="inlineStr">
        <is>
          <t>RAS</t>
        </is>
      </c>
      <c r="I863" s="45" t="inlineStr"/>
      <c r="J863" s="45" t="inlineStr">
        <is>
          <t>RNCP35503</t>
        </is>
      </c>
      <c r="K863" s="45" t="inlineStr">
        <is>
          <t>TP - Chargé d'affaires du bâtiment</t>
        </is>
      </c>
      <c r="L863" s="45" t="inlineStr">
        <is>
          <t>31/12/2030</t>
        </is>
      </c>
      <c r="M863" s="45" t="inlineStr"/>
      <c r="N863" s="50" t="inlineStr">
        <is>
          <t>NON</t>
        </is>
      </c>
      <c r="O863" s="45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TP - Technicien d'intervention de réseaux de télécommunications en fibre optique</t>
        </is>
      </c>
      <c r="L864" s="45" t="inlineStr">
        <is>
          <t>31/12/2030</t>
        </is>
      </c>
      <c r="M864" s="45" t="inlineStr"/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BP - Métiers de la pierre</t>
        </is>
      </c>
      <c r="L865" s="45" t="inlineStr">
        <is>
          <t>31/12/2030</t>
        </is>
      </c>
      <c r="M865" s="45" t="inlineStr"/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BTS - Géologie appliquée</t>
        </is>
      </c>
      <c r="L866" s="45" t="inlineStr">
        <is>
          <t>31/12/2030</t>
        </is>
      </c>
      <c r="M866" s="45" t="inlineStr"/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BAC PRO - Ouvrages du bâtiment : métallerie</t>
        </is>
      </c>
      <c r="L867" s="45" t="inlineStr">
        <is>
          <t>31/12/2030</t>
        </is>
      </c>
      <c r="M867" s="45" t="inlineStr"/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31/12/2030</t>
        </is>
      </c>
      <c r="M868" s="45" t="inlineStr"/>
      <c r="N868" s="50" t="inlineStr">
        <is>
          <t>NON</t>
        </is>
      </c>
      <c r="O868" s="45" t="inlineStr"/>
    </row>
    <row r="869" customFormat="1" s="3">
      <c r="A869" s="45" t="n"/>
      <c r="B869" s="46" t="inlineStr">
        <is>
          <t>22223</t>
        </is>
      </c>
      <c r="C869" s="46">
        <f>LEFT(Tableau1[[#This Row],[Formacode]],3)</f>
        <v/>
      </c>
      <c r="D869" s="47" t="n">
        <v>35503</v>
      </c>
      <c r="E869" s="48">
        <f>"RNCP"&amp;D869</f>
        <v/>
      </c>
      <c r="F869" s="48" t="inlineStr">
        <is>
          <t>TP - Chargé d'affaires du bâtiment</t>
        </is>
      </c>
      <c r="G869" s="49">
        <f>E869&amp;" - "&amp;F869</f>
        <v/>
      </c>
      <c r="H869" s="36" t="inlineStr">
        <is>
          <t>RAS</t>
        </is>
      </c>
      <c r="I869" s="45" t="inlineStr"/>
      <c r="J869" s="45" t="inlineStr">
        <is>
          <t>RNCP35503</t>
        </is>
      </c>
      <c r="K869" s="45" t="inlineStr">
        <is>
          <t>TP - Chargé d'affaires du bâtiment</t>
        </is>
      </c>
      <c r="L869" s="45" t="inlineStr">
        <is>
          <t>31/12/2030</t>
        </is>
      </c>
      <c r="M869" s="45" t="inlineStr"/>
      <c r="N869" s="50" t="inlineStr">
        <is>
          <t>NON</t>
        </is>
      </c>
      <c r="O869" s="45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TP - Technicien d'intervention de réseaux de télécommunications en fibre optique</t>
        </is>
      </c>
      <c r="L870" s="45" t="inlineStr">
        <is>
          <t>31/12/2030</t>
        </is>
      </c>
      <c r="M870" s="45" t="inlineStr"/>
      <c r="N870" s="50" t="inlineStr">
        <is>
          <t>NON</t>
        </is>
      </c>
      <c r="O870" s="45" t="inlineStr"/>
    </row>
    <row r="871" customFormat="1" s="3">
      <c r="A871" s="45" t="n"/>
      <c r="B871" s="46" t="inlineStr">
        <is>
          <t>22223</t>
        </is>
      </c>
      <c r="C871" s="46">
        <f>LEFT(Tableau1[[#This Row],[Formacode]],3)</f>
        <v/>
      </c>
      <c r="D871" s="47" t="n">
        <v>38022</v>
      </c>
      <c r="E871" s="48">
        <f>"RNCP"&amp;D871</f>
        <v/>
      </c>
      <c r="F871" s="48" t="inlineStr">
        <is>
          <t>Designer en architecture d'intérieur</t>
        </is>
      </c>
      <c r="G871" s="49">
        <f>E871&amp;" - "&amp;F871</f>
        <v/>
      </c>
      <c r="H871" s="36" t="inlineStr">
        <is>
          <t>RAS</t>
        </is>
      </c>
      <c r="I871" s="45" t="inlineStr"/>
      <c r="J871" s="45" t="inlineStr">
        <is>
          <t>RNCP38022</t>
        </is>
      </c>
      <c r="K871" s="45" t="inlineStr">
        <is>
          <t>Designer en architecture d'intérieur</t>
        </is>
      </c>
      <c r="L871" s="45" t="inlineStr">
        <is>
          <t>31/12/2030</t>
        </is>
      </c>
      <c r="M871" s="45" t="inlineStr"/>
      <c r="N871" s="50" t="inlineStr">
        <is>
          <t>NON</t>
        </is>
      </c>
      <c r="O871" s="45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BP - Métiers de la pierre</t>
        </is>
      </c>
      <c r="L872" s="45" t="inlineStr">
        <is>
          <t>31/12/2030</t>
        </is>
      </c>
      <c r="M872" s="45" t="inlineStr"/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BTS - Géologie appliquée</t>
        </is>
      </c>
      <c r="L873" s="45" t="inlineStr">
        <is>
          <t>31/12/2030</t>
        </is>
      </c>
      <c r="M873" s="45" t="inlineStr"/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BAC PRO - Ouvrages du bâtiment : métallerie</t>
        </is>
      </c>
      <c r="L874" s="45" t="inlineStr">
        <is>
          <t>31/12/2030</t>
        </is>
      </c>
      <c r="M874" s="45" t="inlineStr"/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31/12/2030</t>
        </is>
      </c>
      <c r="M875" s="45" t="inlineStr"/>
      <c r="N875" s="50" t="inlineStr">
        <is>
          <t>NON</t>
        </is>
      </c>
      <c r="O875" s="45" t="inlineStr"/>
    </row>
    <row r="876" customFormat="1" s="3">
      <c r="A876" s="45" t="n"/>
      <c r="B876" s="46" t="inlineStr">
        <is>
          <t>22225</t>
        </is>
      </c>
      <c r="C876" s="46">
        <f>LEFT(Tableau1[[#This Row],[Formacode]],3)</f>
        <v/>
      </c>
      <c r="D876" s="47" t="n">
        <v>35503</v>
      </c>
      <c r="E876" s="48">
        <f>"RNCP"&amp;D876</f>
        <v/>
      </c>
      <c r="F876" s="48" t="inlineStr">
        <is>
          <t>TP - Chargé d'affaires du bâtiment</t>
        </is>
      </c>
      <c r="G876" s="49">
        <f>E876&amp;" - "&amp;F876</f>
        <v/>
      </c>
      <c r="H876" s="36" t="inlineStr">
        <is>
          <t>RAS</t>
        </is>
      </c>
      <c r="I876" s="45" t="inlineStr"/>
      <c r="J876" s="45" t="inlineStr">
        <is>
          <t>RNCP35503</t>
        </is>
      </c>
      <c r="K876" s="45" t="inlineStr">
        <is>
          <t>TP - Chargé d'affaires du bâtiment</t>
        </is>
      </c>
      <c r="L876" s="45" t="inlineStr">
        <is>
          <t>31/12/2030</t>
        </is>
      </c>
      <c r="M876" s="45" t="inlineStr"/>
      <c r="N876" s="50" t="inlineStr">
        <is>
          <t>NON</t>
        </is>
      </c>
      <c r="O876" s="45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TP - Technicien d'intervention de réseaux de télécommunications en fibre optique</t>
        </is>
      </c>
      <c r="L877" s="45" t="inlineStr">
        <is>
          <t>31/12/2030</t>
        </is>
      </c>
      <c r="M877" s="45" t="inlineStr"/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BP - Métiers de la pierre</t>
        </is>
      </c>
      <c r="L878" s="45" t="inlineStr">
        <is>
          <t>31/12/2030</t>
        </is>
      </c>
      <c r="M878" s="45" t="inlineStr"/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BTS - Géologie appliquée</t>
        </is>
      </c>
      <c r="L879" s="45" t="inlineStr">
        <is>
          <t>31/12/2030</t>
        </is>
      </c>
      <c r="M879" s="45" t="inlineStr"/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BAC PRO - Ouvrages du bâtiment : métallerie</t>
        </is>
      </c>
      <c r="L880" s="45" t="inlineStr">
        <is>
          <t>31/12/2030</t>
        </is>
      </c>
      <c r="M880" s="45" t="inlineStr"/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31/12/2030</t>
        </is>
      </c>
      <c r="M881" s="45" t="inlineStr"/>
      <c r="N881" s="50" t="inlineStr">
        <is>
          <t>NON</t>
        </is>
      </c>
      <c r="O881" s="45" t="inlineStr"/>
    </row>
    <row r="882" customFormat="1" s="3">
      <c r="A882" s="45" t="n"/>
      <c r="B882" s="46" t="inlineStr">
        <is>
          <t>22232</t>
        </is>
      </c>
      <c r="C882" s="46">
        <f>LEFT(Tableau1[[#This Row],[Formacode]],3)</f>
        <v/>
      </c>
      <c r="D882" s="47" t="n">
        <v>35503</v>
      </c>
      <c r="E882" s="48">
        <f>"RNCP"&amp;D882</f>
        <v/>
      </c>
      <c r="F882" s="48" t="inlineStr">
        <is>
          <t>TP - Chargé d'affaires du bâtiment</t>
        </is>
      </c>
      <c r="G882" s="49">
        <f>E882&amp;" - "&amp;F882</f>
        <v/>
      </c>
      <c r="H882" s="36" t="inlineStr">
        <is>
          <t>RAS</t>
        </is>
      </c>
      <c r="I882" s="45" t="inlineStr"/>
      <c r="J882" s="45" t="inlineStr">
        <is>
          <t>RNCP35503</t>
        </is>
      </c>
      <c r="K882" s="45" t="inlineStr">
        <is>
          <t>TP - Chargé d'affaires du bâtiment</t>
        </is>
      </c>
      <c r="L882" s="45" t="inlineStr">
        <is>
          <t>31/12/2030</t>
        </is>
      </c>
      <c r="M882" s="45" t="inlineStr"/>
      <c r="N882" s="50" t="inlineStr">
        <is>
          <t>NON</t>
        </is>
      </c>
      <c r="O882" s="45" t="inlineStr"/>
    </row>
    <row r="883" customFormat="1" s="3">
      <c r="A883" s="45" t="n"/>
      <c r="B883" s="46" t="inlineStr">
        <is>
          <t>22232</t>
        </is>
      </c>
      <c r="C883" s="46">
        <f>LEFT(Tableau1[[#This Row],[Formacode]],3)</f>
        <v/>
      </c>
      <c r="D883" s="47" t="n">
        <v>35802</v>
      </c>
      <c r="E883" s="48">
        <f>"RNCP"&amp;D883</f>
        <v/>
      </c>
      <c r="F883" s="48" t="inlineStr">
        <is>
          <t>BTS - Management économique de la construction</t>
        </is>
      </c>
      <c r="G883" s="49">
        <f>E883&amp;" - "&amp;F883</f>
        <v/>
      </c>
      <c r="H883" s="36" t="inlineStr">
        <is>
          <t>RAS</t>
        </is>
      </c>
      <c r="I883" s="45" t="inlineStr"/>
      <c r="J883" s="45" t="inlineStr">
        <is>
          <t>RNCP35802</t>
        </is>
      </c>
      <c r="K883" s="45" t="inlineStr">
        <is>
          <t>BTS - Management économique de la construction</t>
        </is>
      </c>
      <c r="L883" s="45" t="inlineStr">
        <is>
          <t>31/12/2030</t>
        </is>
      </c>
      <c r="M883" s="45" t="inlineStr"/>
      <c r="N883" s="50" t="inlineStr">
        <is>
          <t>NON</t>
        </is>
      </c>
      <c r="O883" s="45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TP - Technicien d'études en agencement intérieur</t>
        </is>
      </c>
      <c r="L884" s="45" t="inlineStr">
        <is>
          <t>31/12/2030</t>
        </is>
      </c>
      <c r="M884" s="45" t="inlineStr"/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TP - Dessinateur projeteur d'ouvrages de métallerie</t>
        </is>
      </c>
      <c r="L885" s="45" t="inlineStr">
        <is>
          <t>31/12/2030</t>
        </is>
      </c>
      <c r="M885" s="45" t="inlineStr"/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TP - Technicien d'intervention de réseaux de télécommunications en fibre optique</t>
        </is>
      </c>
      <c r="L886" s="45" t="inlineStr">
        <is>
          <t>31/12/2030</t>
        </is>
      </c>
      <c r="M886" s="45" t="inlineStr"/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TP - Chargé d'études thermiques, énergétiques et environnementales du bâtiment</t>
        </is>
      </c>
      <c r="L887" s="45" t="inlineStr">
        <is>
          <t>31/12/2030</t>
        </is>
      </c>
      <c r="M887" s="45" t="inlineStr"/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BP - Métiers de la pierre</t>
        </is>
      </c>
      <c r="L888" s="45" t="inlineStr">
        <is>
          <t>31/12/2030</t>
        </is>
      </c>
      <c r="M888" s="45" t="inlineStr"/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BAC PRO - Technicien d'études du bâtiment</t>
        </is>
      </c>
      <c r="L889" s="45" t="inlineStr">
        <is>
          <t>31/12/2030</t>
        </is>
      </c>
      <c r="M889" s="45" t="inlineStr"/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BTS - Géologie appliquée</t>
        </is>
      </c>
      <c r="L890" s="45" t="inlineStr">
        <is>
          <t>31/12/2030</t>
        </is>
      </c>
      <c r="M890" s="45" t="inlineStr"/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TP - Chargé d'accompagnement à la rénovation énergétique du bâtiment</t>
        </is>
      </c>
      <c r="L891" s="45" t="inlineStr">
        <is>
          <t>31/12/2030</t>
        </is>
      </c>
      <c r="M891" s="45" t="inlineStr"/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BAC PRO - Ouvrages du bâtiment : métallerie</t>
        </is>
      </c>
      <c r="L892" s="45" t="inlineStr">
        <is>
          <t>31/12/2030</t>
        </is>
      </c>
      <c r="M892" s="45" t="inlineStr"/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TP - Technicien supérieur du bâtiment, option étude de prix</t>
        </is>
      </c>
      <c r="L893" s="45" t="inlineStr">
        <is>
          <t>31/12/2030</t>
        </is>
      </c>
      <c r="M893" s="45" t="inlineStr"/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TP - Technicien supérieur du bâtiment, option économie de la construction</t>
        </is>
      </c>
      <c r="L894" s="45" t="inlineStr">
        <is>
          <t>31/12/2030</t>
        </is>
      </c>
      <c r="M894" s="45" t="inlineStr"/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TP - Métreur assistant du bâtiment</t>
        </is>
      </c>
      <c r="L895" s="45" t="inlineStr">
        <is>
          <t>31/12/2030</t>
        </is>
      </c>
      <c r="M895" s="45" t="inlineStr"/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TP - Technicien métreur du bâtiment</t>
        </is>
      </c>
      <c r="L896" s="45" t="inlineStr">
        <is>
          <t>31/12/2030</t>
        </is>
      </c>
      <c r="M896" s="45" t="inlineStr"/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31/12/2030</t>
        </is>
      </c>
      <c r="M897" s="45" t="inlineStr"/>
      <c r="N897" s="50" t="inlineStr">
        <is>
          <t>NON</t>
        </is>
      </c>
      <c r="O897" s="45" t="inlineStr"/>
    </row>
    <row r="898" customFormat="1" s="3">
      <c r="A898" s="45" t="n"/>
      <c r="B898" s="46" t="inlineStr">
        <is>
          <t>22237</t>
        </is>
      </c>
      <c r="C898" s="46">
        <f>LEFT(Tableau1[[#This Row],[Formacode]],3)</f>
        <v/>
      </c>
      <c r="D898" s="47" t="n">
        <v>35503</v>
      </c>
      <c r="E898" s="48">
        <f>"RNCP"&amp;D898</f>
        <v/>
      </c>
      <c r="F898" s="48" t="inlineStr">
        <is>
          <t>TP - Chargé d'affaires du bâtiment</t>
        </is>
      </c>
      <c r="G898" s="49">
        <f>E898&amp;" - "&amp;F898</f>
        <v/>
      </c>
      <c r="H898" s="36" t="inlineStr">
        <is>
          <t>RAS</t>
        </is>
      </c>
      <c r="I898" s="45" t="inlineStr"/>
      <c r="J898" s="45" t="inlineStr">
        <is>
          <t>RNCP35503</t>
        </is>
      </c>
      <c r="K898" s="45" t="inlineStr">
        <is>
          <t>TP - Chargé d'affaires du bâtiment</t>
        </is>
      </c>
      <c r="L898" s="45" t="inlineStr">
        <is>
          <t>31/12/2030</t>
        </is>
      </c>
      <c r="M898" s="45" t="inlineStr"/>
      <c r="N898" s="50" t="inlineStr">
        <is>
          <t>NON</t>
        </is>
      </c>
      <c r="O898" s="45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TP - Technicien d'intervention de réseaux de télécommunications en fibre optique</t>
        </is>
      </c>
      <c r="L899" s="45" t="inlineStr">
        <is>
          <t>31/12/2030</t>
        </is>
      </c>
      <c r="M899" s="45" t="inlineStr"/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BP - Métiers de la pierre</t>
        </is>
      </c>
      <c r="L900" s="45" t="inlineStr">
        <is>
          <t>31/12/2030</t>
        </is>
      </c>
      <c r="M900" s="45" t="inlineStr"/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BTS - Géologie appliquée</t>
        </is>
      </c>
      <c r="L901" s="45" t="inlineStr">
        <is>
          <t>31/12/2030</t>
        </is>
      </c>
      <c r="M901" s="45" t="inlineStr"/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BAC PRO - Ouvrages du bâtiment : métallerie</t>
        </is>
      </c>
      <c r="L902" s="45" t="inlineStr">
        <is>
          <t>31/12/2030</t>
        </is>
      </c>
      <c r="M902" s="45" t="inlineStr"/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31/12/2030</t>
        </is>
      </c>
      <c r="M903" s="45" t="inlineStr"/>
      <c r="N903" s="50" t="inlineStr">
        <is>
          <t>NON</t>
        </is>
      </c>
      <c r="O903" s="45" t="inlineStr"/>
    </row>
    <row r="904" customFormat="1" s="3">
      <c r="A904" s="45" t="n"/>
      <c r="B904" s="46" t="inlineStr">
        <is>
          <t>22241</t>
        </is>
      </c>
      <c r="C904" s="46">
        <f>LEFT(Tableau1[[#This Row],[Formacode]],3)</f>
        <v/>
      </c>
      <c r="D904" s="47" t="n">
        <v>35503</v>
      </c>
      <c r="E904" s="48">
        <f>"RNCP"&amp;D904</f>
        <v/>
      </c>
      <c r="F904" s="48" t="inlineStr">
        <is>
          <t>TP - Chargé d'affaires du bâtiment</t>
        </is>
      </c>
      <c r="G904" s="49">
        <f>E904&amp;" - "&amp;F904</f>
        <v/>
      </c>
      <c r="H904" s="36" t="inlineStr">
        <is>
          <t>RAS</t>
        </is>
      </c>
      <c r="I904" s="45" t="inlineStr"/>
      <c r="J904" s="45" t="inlineStr">
        <is>
          <t>RNCP35503</t>
        </is>
      </c>
      <c r="K904" s="45" t="inlineStr">
        <is>
          <t>TP - Chargé d'affaires du bâtiment</t>
        </is>
      </c>
      <c r="L904" s="45" t="inlineStr">
        <is>
          <t>31/12/2030</t>
        </is>
      </c>
      <c r="M904" s="45" t="inlineStr"/>
      <c r="N904" s="50" t="inlineStr">
        <is>
          <t>NON</t>
        </is>
      </c>
      <c r="O904" s="45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TP - Technicien d'intervention de réseaux de télécommunications en fibre optique</t>
        </is>
      </c>
      <c r="L905" s="45" t="inlineStr">
        <is>
          <t>31/12/2030</t>
        </is>
      </c>
      <c r="M905" s="45" t="inlineStr"/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BP - Métiers de la pierre</t>
        </is>
      </c>
      <c r="L906" s="45" t="inlineStr">
        <is>
          <t>31/12/2030</t>
        </is>
      </c>
      <c r="M906" s="45" t="inlineStr"/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BTS - Géologie appliquée</t>
        </is>
      </c>
      <c r="L907" s="45" t="inlineStr">
        <is>
          <t>31/12/2030</t>
        </is>
      </c>
      <c r="M907" s="45" t="inlineStr"/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BAC PRO - Ouvrages du bâtiment : métallerie</t>
        </is>
      </c>
      <c r="L908" s="45" t="inlineStr">
        <is>
          <t>31/12/2030</t>
        </is>
      </c>
      <c r="M908" s="45" t="inlineStr"/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31/12/2030</t>
        </is>
      </c>
      <c r="M909" s="45" t="inlineStr"/>
      <c r="N909" s="50" t="inlineStr">
        <is>
          <t>NON</t>
        </is>
      </c>
      <c r="O909" s="45" t="inlineStr"/>
    </row>
    <row r="910" customFormat="1" s="3">
      <c r="A910" s="45" t="n"/>
      <c r="B910" s="46" t="inlineStr">
        <is>
          <t>22248</t>
        </is>
      </c>
      <c r="C910" s="46">
        <f>LEFT(Tableau1[[#This Row],[Formacode]],3)</f>
        <v/>
      </c>
      <c r="D910" s="47" t="n">
        <v>35503</v>
      </c>
      <c r="E910" s="48">
        <f>"RNCP"&amp;D910</f>
        <v/>
      </c>
      <c r="F910" s="48" t="inlineStr">
        <is>
          <t>TP - Chargé d'affaires du bâtiment</t>
        </is>
      </c>
      <c r="G910" s="49">
        <f>E910&amp;" - "&amp;F910</f>
        <v/>
      </c>
      <c r="H910" s="36" t="inlineStr">
        <is>
          <t>RAS</t>
        </is>
      </c>
      <c r="I910" s="45" t="inlineStr"/>
      <c r="J910" s="45" t="inlineStr">
        <is>
          <t>RNCP35503</t>
        </is>
      </c>
      <c r="K910" s="45" t="inlineStr">
        <is>
          <t>TP - Chargé d'affaires du bâtiment</t>
        </is>
      </c>
      <c r="L910" s="45" t="inlineStr">
        <is>
          <t>31/12/2030</t>
        </is>
      </c>
      <c r="M910" s="45" t="inlineStr"/>
      <c r="N910" s="50" t="inlineStr">
        <is>
          <t>NON</t>
        </is>
      </c>
      <c r="O910" s="45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TP - Technicien d'intervention de réseaux de télécommunications en fibre optique</t>
        </is>
      </c>
      <c r="L911" s="45" t="inlineStr">
        <is>
          <t>31/12/2030</t>
        </is>
      </c>
      <c r="M911" s="45" t="inlineStr"/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BP - Métiers de la pierre</t>
        </is>
      </c>
      <c r="L912" s="45" t="inlineStr">
        <is>
          <t>31/12/2030</t>
        </is>
      </c>
      <c r="M912" s="45" t="inlineStr"/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BTS - Géologie appliquée</t>
        </is>
      </c>
      <c r="L913" s="45" t="inlineStr">
        <is>
          <t>31/12/2030</t>
        </is>
      </c>
      <c r="M913" s="45" t="inlineStr"/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BAC PRO - Ouvrages du bâtiment : métallerie</t>
        </is>
      </c>
      <c r="L914" s="45" t="inlineStr">
        <is>
          <t>31/12/2030</t>
        </is>
      </c>
      <c r="M914" s="45" t="inlineStr"/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31/12/2030</t>
        </is>
      </c>
      <c r="M915" s="45" t="inlineStr"/>
      <c r="N915" s="50" t="inlineStr">
        <is>
          <t>NON</t>
        </is>
      </c>
      <c r="O915" s="45" t="inlineStr"/>
    </row>
    <row r="916" customFormat="1" s="3">
      <c r="A916" s="45" t="n"/>
      <c r="B916" s="46" t="inlineStr">
        <is>
          <t>22250</t>
        </is>
      </c>
      <c r="C916" s="46">
        <f>LEFT(Tableau1[[#This Row],[Formacode]],3)</f>
        <v/>
      </c>
      <c r="D916" s="47" t="n">
        <v>35503</v>
      </c>
      <c r="E916" s="48">
        <f>"RNCP"&amp;D916</f>
        <v/>
      </c>
      <c r="F916" s="48" t="inlineStr">
        <is>
          <t>TP - Chargé d'affaires du bâtiment</t>
        </is>
      </c>
      <c r="G916" s="49">
        <f>E916&amp;" - "&amp;F916</f>
        <v/>
      </c>
      <c r="H916" s="36" t="inlineStr">
        <is>
          <t>RAS</t>
        </is>
      </c>
      <c r="I916" s="45" t="inlineStr"/>
      <c r="J916" s="45" t="inlineStr">
        <is>
          <t>RNCP35503</t>
        </is>
      </c>
      <c r="K916" s="45" t="inlineStr">
        <is>
          <t>TP - Chargé d'affaires du bâtiment</t>
        </is>
      </c>
      <c r="L916" s="45" t="inlineStr">
        <is>
          <t>31/12/2030</t>
        </is>
      </c>
      <c r="M916" s="45" t="inlineStr"/>
      <c r="N916" s="50" t="inlineStr">
        <is>
          <t>NON</t>
        </is>
      </c>
      <c r="O916" s="45" t="inlineStr"/>
    </row>
    <row r="917" customFormat="1" s="3">
      <c r="A917" s="45" t="n"/>
      <c r="B917" s="46" t="inlineStr">
        <is>
          <t>22250</t>
        </is>
      </c>
      <c r="C917" s="46">
        <f>LEFT(Tableau1[[#This Row],[Formacode]],3)</f>
        <v/>
      </c>
      <c r="D917" s="47" t="n">
        <v>35590</v>
      </c>
      <c r="E917" s="48">
        <f>"RNCP"&amp;D917</f>
        <v/>
      </c>
      <c r="F917" s="48" t="inlineStr">
        <is>
          <t>Manager de l'habitat social et durable</t>
        </is>
      </c>
      <c r="G917" s="49">
        <f>E917&amp;" - "&amp;F917</f>
        <v/>
      </c>
      <c r="H917" s="36" t="inlineStr">
        <is>
          <t>RAS</t>
        </is>
      </c>
      <c r="I917" s="45" t="inlineStr"/>
      <c r="J917" s="45" t="inlineStr">
        <is>
          <t>RNCP35590</t>
        </is>
      </c>
      <c r="K917" s="45" t="inlineStr">
        <is>
          <t>Manager de l'habitat social et durable</t>
        </is>
      </c>
      <c r="L917" s="45" t="inlineStr">
        <is>
          <t>31/12/2030</t>
        </is>
      </c>
      <c r="M917" s="45" t="inlineStr"/>
      <c r="N917" s="50" t="inlineStr">
        <is>
          <t>NON</t>
        </is>
      </c>
      <c r="O917" s="45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TP - Electricien d'équipement du bâtiment</t>
        </is>
      </c>
      <c r="L918" s="45" t="inlineStr">
        <is>
          <t>31/12/2030</t>
        </is>
      </c>
      <c r="M918" s="45" t="inlineStr"/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TP - Technicien d'intervention de réseaux de télécommunications en fibre optique</t>
        </is>
      </c>
      <c r="L919" s="45" t="inlineStr">
        <is>
          <t>31/12/2030</t>
        </is>
      </c>
      <c r="M919" s="45" t="inlineStr"/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TP - Technicien d'équipement et d'exploitation en électricité</t>
        </is>
      </c>
      <c r="L920" s="45" t="inlineStr">
        <is>
          <t>31/12/2030</t>
        </is>
      </c>
      <c r="M920" s="45" t="inlineStr"/>
      <c r="N920" s="50" t="inlineStr">
        <is>
          <t>NON</t>
        </is>
      </c>
      <c r="O920" s="45" t="inlineStr"/>
    </row>
    <row r="921" customFormat="1" s="3">
      <c r="A921" s="45" t="n"/>
      <c r="B921" s="46" t="inlineStr">
        <is>
          <t>22250</t>
        </is>
      </c>
      <c r="C921" s="46">
        <f>LEFT(Tableau1[[#This Row],[Formacode]],3)</f>
        <v/>
      </c>
      <c r="D921" s="47" t="n">
        <v>37986</v>
      </c>
      <c r="E921" s="48">
        <f>"RNCP"&amp;D921</f>
        <v/>
      </c>
      <c r="F921" s="48" t="inlineStr">
        <is>
          <t>Expert de la transition énergétique</t>
        </is>
      </c>
      <c r="G921" s="49">
        <f>E921&amp;" - "&amp;F921</f>
        <v/>
      </c>
      <c r="H921" s="36" t="inlineStr">
        <is>
          <t>RAS</t>
        </is>
      </c>
      <c r="I921" s="45" t="inlineStr"/>
      <c r="J921" s="45" t="inlineStr">
        <is>
          <t>RNCP37986</t>
        </is>
      </c>
      <c r="K921" s="45" t="inlineStr">
        <is>
          <t>Expert de la transition énergétique</t>
        </is>
      </c>
      <c r="L921" s="45" t="inlineStr">
        <is>
          <t>31/12/2030</t>
        </is>
      </c>
      <c r="M921" s="45" t="inlineStr"/>
      <c r="N921" s="50" t="inlineStr">
        <is>
          <t>NON</t>
        </is>
      </c>
      <c r="O921" s="45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TP - Chargé d'études thermiques, énergétiques et environnementales du bâtiment</t>
        </is>
      </c>
      <c r="L922" s="45" t="inlineStr">
        <is>
          <t>31/12/2030</t>
        </is>
      </c>
      <c r="M922" s="45" t="inlineStr"/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BP - Métiers de la pierre</t>
        </is>
      </c>
      <c r="L923" s="45" t="inlineStr">
        <is>
          <t>31/12/2030</t>
        </is>
      </c>
      <c r="M923" s="45" t="inlineStr"/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31/12/2030</t>
        </is>
      </c>
      <c r="M924" s="45" t="inlineStr"/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BTS - Géologie appliquée</t>
        </is>
      </c>
      <c r="L925" s="45" t="inlineStr">
        <is>
          <t>31/12/2030</t>
        </is>
      </c>
      <c r="M925" s="45" t="inlineStr"/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TP - Chargé d'accompagnement à la rénovation énergétique du bâtiment</t>
        </is>
      </c>
      <c r="L926" s="45" t="inlineStr">
        <is>
          <t>31/12/2030</t>
        </is>
      </c>
      <c r="M926" s="45" t="inlineStr"/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31/12/2030</t>
        </is>
      </c>
      <c r="M927" s="45" t="inlineStr"/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31/12/2030</t>
        </is>
      </c>
      <c r="M928" s="45" t="inlineStr"/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31/12/2030</t>
        </is>
      </c>
      <c r="M929" s="45" t="inlineStr"/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BAC PRO - Ouvrages du bâtiment : métallerie</t>
        </is>
      </c>
      <c r="L930" s="45" t="inlineStr">
        <is>
          <t>31/12/2030</t>
        </is>
      </c>
      <c r="M930" s="45" t="inlineStr"/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31/12/2030</t>
        </is>
      </c>
      <c r="M931" s="45" t="inlineStr"/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31/12/2030</t>
        </is>
      </c>
      <c r="M932" s="45" t="inlineStr"/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31/12/2030</t>
        </is>
      </c>
      <c r="M933" s="45" t="inlineStr"/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31/12/2030</t>
        </is>
      </c>
      <c r="M934" s="45" t="inlineStr"/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31/12/2030</t>
        </is>
      </c>
      <c r="M935" s="45" t="inlineStr"/>
      <c r="N935" s="50" t="inlineStr">
        <is>
          <t>NON</t>
        </is>
      </c>
      <c r="O935" s="45" t="inlineStr"/>
    </row>
    <row r="936" customFormat="1" s="3">
      <c r="A936" s="45" t="n"/>
      <c r="B936" s="46" t="inlineStr">
        <is>
          <t>22252</t>
        </is>
      </c>
      <c r="C936" s="46">
        <f>LEFT(Tableau1[[#This Row],[Formacode]],3)</f>
        <v/>
      </c>
      <c r="D936" s="47" t="n">
        <v>35503</v>
      </c>
      <c r="E936" s="48">
        <f>"RNCP"&amp;D936</f>
        <v/>
      </c>
      <c r="F936" s="48" t="inlineStr">
        <is>
          <t>TP - Chargé d'affaires du bâtiment</t>
        </is>
      </c>
      <c r="G936" s="49">
        <f>E936&amp;" - "&amp;F936</f>
        <v/>
      </c>
      <c r="H936" s="36" t="inlineStr">
        <is>
          <t>RAS</t>
        </is>
      </c>
      <c r="I936" s="45" t="inlineStr"/>
      <c r="J936" s="45" t="inlineStr">
        <is>
          <t>RNCP35503</t>
        </is>
      </c>
      <c r="K936" s="45" t="inlineStr">
        <is>
          <t>TP - Chargé d'affaires du bâtiment</t>
        </is>
      </c>
      <c r="L936" s="45" t="inlineStr">
        <is>
          <t>31/12/2030</t>
        </is>
      </c>
      <c r="M936" s="45" t="inlineStr"/>
      <c r="N936" s="50" t="inlineStr">
        <is>
          <t>NON</t>
        </is>
      </c>
      <c r="O936" s="45" t="inlineStr"/>
    </row>
    <row r="937" customFormat="1" s="3">
      <c r="A937" s="45" t="n"/>
      <c r="B937" s="46" t="inlineStr">
        <is>
          <t>22252</t>
        </is>
      </c>
      <c r="C937" s="46">
        <f>LEFT(Tableau1[[#This Row],[Formacode]],3)</f>
        <v/>
      </c>
      <c r="D937" s="47" t="n">
        <v>35530</v>
      </c>
      <c r="E937" s="48">
        <f>"RNCP"&amp;D937</f>
        <v/>
      </c>
      <c r="F937" s="48" t="inlineStr">
        <is>
          <t>TP - Technicien de bureau d'études en électricité des bâtiments</t>
        </is>
      </c>
      <c r="G937" s="49">
        <f>E937&amp;" - "&amp;F937</f>
        <v/>
      </c>
      <c r="H937" s="36" t="inlineStr">
        <is>
          <t>RAS</t>
        </is>
      </c>
      <c r="I937" s="45" t="inlineStr"/>
      <c r="J937" s="45" t="inlineStr">
        <is>
          <t>RNCP35530</t>
        </is>
      </c>
      <c r="K937" s="45" t="inlineStr">
        <is>
          <t>TP - Technicien de bureau d'études en électricité des bâtiments</t>
        </is>
      </c>
      <c r="L937" s="45" t="inlineStr">
        <is>
          <t>31/12/2030</t>
        </is>
      </c>
      <c r="M937" s="45" t="inlineStr"/>
      <c r="N937" s="50" t="inlineStr">
        <is>
          <t>NON</t>
        </is>
      </c>
      <c r="O937" s="45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TP - Technicien d'études en agencement intérieur</t>
        </is>
      </c>
      <c r="L938" s="45" t="inlineStr">
        <is>
          <t>31/12/2030</t>
        </is>
      </c>
      <c r="M938" s="45" t="inlineStr"/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TP - Dessinateur projeteur en construction métallique</t>
        </is>
      </c>
      <c r="L939" s="45" t="inlineStr">
        <is>
          <t>31/12/2030</t>
        </is>
      </c>
      <c r="M939" s="45" t="inlineStr"/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TP - Technicien d'études en chauffage, ventilation et climatisation</t>
        </is>
      </c>
      <c r="L940" s="45" t="inlineStr">
        <is>
          <t>31/12/2030</t>
        </is>
      </c>
      <c r="M940" s="45" t="inlineStr"/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TP - Dessinateur projeteur d'ouvrages de métallerie</t>
        </is>
      </c>
      <c r="L941" s="45" t="inlineStr">
        <is>
          <t>31/12/2030</t>
        </is>
      </c>
      <c r="M941" s="45" t="inlineStr"/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TP - Technicien d'intervention de réseaux de télécommunications en fibre optique</t>
        </is>
      </c>
      <c r="L942" s="45" t="inlineStr">
        <is>
          <t>31/12/2030</t>
        </is>
      </c>
      <c r="M942" s="45" t="inlineStr"/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BP - Métiers de la pierre</t>
        </is>
      </c>
      <c r="L943" s="45" t="inlineStr">
        <is>
          <t>31/12/2030</t>
        </is>
      </c>
      <c r="M943" s="45" t="inlineStr"/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BTS - Géologie appliquée</t>
        </is>
      </c>
      <c r="L944" s="45" t="inlineStr">
        <is>
          <t>31/12/2030</t>
        </is>
      </c>
      <c r="M944" s="45" t="inlineStr"/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TP - Coordinateur BIM du bâtiment</t>
        </is>
      </c>
      <c r="L945" s="45" t="inlineStr">
        <is>
          <t>31/12/2030</t>
        </is>
      </c>
      <c r="M945" s="45" t="inlineStr"/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BAC PRO - Ouvrages du bâtiment : métallerie</t>
        </is>
      </c>
      <c r="L946" s="45" t="inlineStr">
        <is>
          <t>31/12/2030</t>
        </is>
      </c>
      <c r="M946" s="45" t="inlineStr"/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TP - Technicien d'études du bâtiment en dessin de projet</t>
        </is>
      </c>
      <c r="L947" s="45" t="inlineStr">
        <is>
          <t>31/12/2030</t>
        </is>
      </c>
      <c r="M947" s="45" t="inlineStr"/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TP - BIM modeleur du bâtiment</t>
        </is>
      </c>
      <c r="L948" s="45" t="inlineStr">
        <is>
          <t>31/12/2030</t>
        </is>
      </c>
      <c r="M948" s="45" t="inlineStr"/>
      <c r="N948" s="50" t="inlineStr">
        <is>
          <t>NON</t>
        </is>
      </c>
      <c r="O948" s="45" t="inlineStr"/>
    </row>
    <row r="949" customFormat="1" s="3">
      <c r="A949" s="45" t="n"/>
      <c r="B949" s="46" t="inlineStr">
        <is>
          <t>22252</t>
        </is>
      </c>
      <c r="C949" s="46">
        <f>LEFT(Tableau1[[#This Row],[Formacode]],3)</f>
        <v/>
      </c>
      <c r="D949" s="47" t="n">
        <v>40214</v>
      </c>
      <c r="E949" s="48">
        <f>"RNCP"&amp;D949</f>
        <v/>
      </c>
      <c r="F949" s="48" t="inlineStr">
        <is>
          <t>TP - Dessinateur projeteur en béton armé</t>
        </is>
      </c>
      <c r="G949" s="49">
        <f>E949&amp;" - "&amp;F949</f>
        <v/>
      </c>
      <c r="H949" s="36" t="inlineStr">
        <is>
          <t>RAS</t>
        </is>
      </c>
      <c r="I949" s="45" t="inlineStr"/>
      <c r="J949" s="45" t="inlineStr">
        <is>
          <t>RNCP40214</t>
        </is>
      </c>
      <c r="K949" s="45" t="inlineStr">
        <is>
          <t>TP - Dessinateur projeteur en béton armé</t>
        </is>
      </c>
      <c r="L949" s="45" t="inlineStr">
        <is>
          <t>31/12/2030</t>
        </is>
      </c>
      <c r="M949" s="45" t="inlineStr"/>
      <c r="N949" s="50" t="inlineStr">
        <is>
          <t>NON</t>
        </is>
      </c>
      <c r="O949" s="45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31/12/2030</t>
        </is>
      </c>
      <c r="M950" s="45" t="inlineStr"/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TP - Technicien d'études en construction bois</t>
        </is>
      </c>
      <c r="L951" s="45" t="inlineStr">
        <is>
          <t>31/12/2030</t>
        </is>
      </c>
      <c r="M951" s="45" t="inlineStr"/>
      <c r="N951" s="50" t="inlineStr">
        <is>
          <t>NON</t>
        </is>
      </c>
      <c r="O951" s="45" t="inlineStr"/>
    </row>
    <row r="952" customFormat="1" s="3">
      <c r="A952" s="45" t="n"/>
      <c r="B952" s="46" t="inlineStr">
        <is>
          <t>22255</t>
        </is>
      </c>
      <c r="C952" s="46">
        <f>LEFT(Tableau1[[#This Row],[Formacode]],3)</f>
        <v/>
      </c>
      <c r="D952" s="47" t="n">
        <v>35503</v>
      </c>
      <c r="E952" s="48">
        <f>"RNCP"&amp;D952</f>
        <v/>
      </c>
      <c r="F952" s="48" t="inlineStr">
        <is>
          <t>TP - Chargé d'affaires du bâtiment</t>
        </is>
      </c>
      <c r="G952" s="49">
        <f>E952&amp;" - "&amp;F952</f>
        <v/>
      </c>
      <c r="H952" s="36" t="inlineStr">
        <is>
          <t>RAS</t>
        </is>
      </c>
      <c r="I952" s="45" t="inlineStr"/>
      <c r="J952" s="45" t="inlineStr">
        <is>
          <t>RNCP35503</t>
        </is>
      </c>
      <c r="K952" s="45" t="inlineStr">
        <is>
          <t>TP - Chargé d'affaires du bâtiment</t>
        </is>
      </c>
      <c r="L952" s="45" t="inlineStr">
        <is>
          <t>31/12/2030</t>
        </is>
      </c>
      <c r="M952" s="45" t="inlineStr"/>
      <c r="N952" s="50" t="inlineStr">
        <is>
          <t>NON</t>
        </is>
      </c>
      <c r="O952" s="45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TP - Technicien d'intervention de réseaux de télécommunications en fibre optique</t>
        </is>
      </c>
      <c r="L953" s="45" t="inlineStr">
        <is>
          <t>31/12/2030</t>
        </is>
      </c>
      <c r="M953" s="45" t="inlineStr"/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BP - Métiers de la pierre</t>
        </is>
      </c>
      <c r="L954" s="45" t="inlineStr">
        <is>
          <t>31/12/2030</t>
        </is>
      </c>
      <c r="M954" s="45" t="inlineStr"/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BTS - Géologie appliquée</t>
        </is>
      </c>
      <c r="L955" s="45" t="inlineStr">
        <is>
          <t>31/12/2030</t>
        </is>
      </c>
      <c r="M955" s="45" t="inlineStr"/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BAC PRO - Ouvrages du bâtiment : métallerie</t>
        </is>
      </c>
      <c r="L956" s="45" t="inlineStr">
        <is>
          <t>31/12/2030</t>
        </is>
      </c>
      <c r="M956" s="45" t="inlineStr"/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31/12/2030</t>
        </is>
      </c>
      <c r="M957" s="45" t="inlineStr"/>
      <c r="N957" s="50" t="inlineStr">
        <is>
          <t>NON</t>
        </is>
      </c>
      <c r="O957" s="45" t="inlineStr"/>
    </row>
    <row r="958" customFormat="1" s="3">
      <c r="A958" s="45" t="n"/>
      <c r="B958" s="46" t="inlineStr">
        <is>
          <t>22256</t>
        </is>
      </c>
      <c r="C958" s="46">
        <f>LEFT(Tableau1[[#This Row],[Formacode]],3)</f>
        <v/>
      </c>
      <c r="D958" s="47" t="n">
        <v>35503</v>
      </c>
      <c r="E958" s="48">
        <f>"RNCP"&amp;D958</f>
        <v/>
      </c>
      <c r="F958" s="48" t="inlineStr">
        <is>
          <t>TP - Chargé d'affaires du bâtiment</t>
        </is>
      </c>
      <c r="G958" s="49">
        <f>E958&amp;" - "&amp;F958</f>
        <v/>
      </c>
      <c r="H958" s="36" t="inlineStr">
        <is>
          <t>RAS</t>
        </is>
      </c>
      <c r="I958" s="45" t="inlineStr"/>
      <c r="J958" s="45" t="inlineStr">
        <is>
          <t>RNCP35503</t>
        </is>
      </c>
      <c r="K958" s="45" t="inlineStr">
        <is>
          <t>TP - Chargé d'affaires du bâtiment</t>
        </is>
      </c>
      <c r="L958" s="45" t="inlineStr">
        <is>
          <t>31/12/2030</t>
        </is>
      </c>
      <c r="M958" s="45" t="inlineStr"/>
      <c r="N958" s="50" t="inlineStr">
        <is>
          <t>NON</t>
        </is>
      </c>
      <c r="O958" s="45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TP - Technicien d'intervention de réseaux de télécommunications en fibre optique</t>
        </is>
      </c>
      <c r="L959" s="45" t="inlineStr">
        <is>
          <t>31/12/2030</t>
        </is>
      </c>
      <c r="M959" s="45" t="inlineStr"/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BP - Métiers de la pierre</t>
        </is>
      </c>
      <c r="L960" s="45" t="inlineStr">
        <is>
          <t>31/12/2030</t>
        </is>
      </c>
      <c r="M960" s="45" t="inlineStr"/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BTS - Géologie appliquée</t>
        </is>
      </c>
      <c r="L961" s="45" t="inlineStr">
        <is>
          <t>31/12/2030</t>
        </is>
      </c>
      <c r="M961" s="45" t="inlineStr"/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BAC PRO - Ouvrages du bâtiment : métallerie</t>
        </is>
      </c>
      <c r="L962" s="45" t="inlineStr">
        <is>
          <t>31/12/2030</t>
        </is>
      </c>
      <c r="M962" s="45" t="inlineStr"/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31/12/2030</t>
        </is>
      </c>
      <c r="M963" s="45" t="inlineStr"/>
      <c r="N963" s="50" t="inlineStr">
        <is>
          <t>NON</t>
        </is>
      </c>
      <c r="O963" s="45" t="inlineStr"/>
    </row>
    <row r="964" customFormat="1" s="3">
      <c r="A964" s="45" t="n"/>
      <c r="B964" s="46" t="inlineStr">
        <is>
          <t>22257</t>
        </is>
      </c>
      <c r="C964" s="46">
        <f>LEFT(Tableau1[[#This Row],[Formacode]],3)</f>
        <v/>
      </c>
      <c r="D964" s="47" t="n">
        <v>35503</v>
      </c>
      <c r="E964" s="48">
        <f>"RNCP"&amp;D964</f>
        <v/>
      </c>
      <c r="F964" s="48" t="inlineStr">
        <is>
          <t>TP - Chargé d'affaires du bâtiment</t>
        </is>
      </c>
      <c r="G964" s="49">
        <f>E964&amp;" - "&amp;F964</f>
        <v/>
      </c>
      <c r="H964" s="36" t="inlineStr">
        <is>
          <t>RAS</t>
        </is>
      </c>
      <c r="I964" s="45" t="inlineStr"/>
      <c r="J964" s="45" t="inlineStr">
        <is>
          <t>RNCP35503</t>
        </is>
      </c>
      <c r="K964" s="45" t="inlineStr">
        <is>
          <t>TP - Chargé d'affaires du bâtiment</t>
        </is>
      </c>
      <c r="L964" s="45" t="inlineStr">
        <is>
          <t>31/12/2030</t>
        </is>
      </c>
      <c r="M964" s="45" t="inlineStr"/>
      <c r="N964" s="50" t="inlineStr">
        <is>
          <t>NON</t>
        </is>
      </c>
      <c r="O964" s="45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TP - Technicien d'intervention de réseaux de télécommunications en fibre optique</t>
        </is>
      </c>
      <c r="L965" s="45" t="inlineStr">
        <is>
          <t>31/12/2030</t>
        </is>
      </c>
      <c r="M965" s="45" t="inlineStr"/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BP - Métiers de la pierre</t>
        </is>
      </c>
      <c r="L966" s="45" t="inlineStr">
        <is>
          <t>31/12/2030</t>
        </is>
      </c>
      <c r="M966" s="45" t="inlineStr"/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BTS - Géologie appliquée</t>
        </is>
      </c>
      <c r="L967" s="45" t="inlineStr">
        <is>
          <t>31/12/2030</t>
        </is>
      </c>
      <c r="M967" s="45" t="inlineStr"/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BAC PRO - Ouvrages du bâtiment : métallerie</t>
        </is>
      </c>
      <c r="L968" s="45" t="inlineStr">
        <is>
          <t>31/12/2030</t>
        </is>
      </c>
      <c r="M968" s="45" t="inlineStr"/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31/12/2030</t>
        </is>
      </c>
      <c r="M969" s="45" t="inlineStr"/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31/12/2030</t>
        </is>
      </c>
      <c r="M970" s="45" t="inlineStr"/>
      <c r="N970" s="50" t="inlineStr">
        <is>
          <t>NON</t>
        </is>
      </c>
      <c r="O970" s="45" t="inlineStr"/>
    </row>
    <row r="971" customFormat="1" s="3">
      <c r="A971" s="45" t="n"/>
      <c r="B971" s="46" t="inlineStr">
        <is>
          <t>22259</t>
        </is>
      </c>
      <c r="C971" s="46">
        <f>LEFT(Tableau1[[#This Row],[Formacode]],3)</f>
        <v/>
      </c>
      <c r="D971" s="47" t="n">
        <v>35503</v>
      </c>
      <c r="E971" s="48">
        <f>"RNCP"&amp;D971</f>
        <v/>
      </c>
      <c r="F971" s="48" t="inlineStr">
        <is>
          <t>TP - Chargé d'affaires du bâtiment</t>
        </is>
      </c>
      <c r="G971" s="49">
        <f>E971&amp;" - "&amp;F971</f>
        <v/>
      </c>
      <c r="H971" s="36" t="inlineStr">
        <is>
          <t>RAS</t>
        </is>
      </c>
      <c r="I971" s="45" t="inlineStr"/>
      <c r="J971" s="45" t="inlineStr">
        <is>
          <t>RNCP35503</t>
        </is>
      </c>
      <c r="K971" s="45" t="inlineStr">
        <is>
          <t>TP - Chargé d'affaires du bâtiment</t>
        </is>
      </c>
      <c r="L971" s="45" t="inlineStr">
        <is>
          <t>31/12/2030</t>
        </is>
      </c>
      <c r="M971" s="45" t="inlineStr"/>
      <c r="N971" s="50" t="inlineStr">
        <is>
          <t>NON</t>
        </is>
      </c>
      <c r="O971" s="45" t="inlineStr"/>
    </row>
    <row r="972" customFormat="1" s="3">
      <c r="A972" s="45" t="n"/>
      <c r="B972" s="46" t="inlineStr">
        <is>
          <t>22259</t>
        </is>
      </c>
      <c r="C972" s="46">
        <f>LEFT(Tableau1[[#This Row],[Formacode]],3)</f>
        <v/>
      </c>
      <c r="D972" s="47" t="n">
        <v>35802</v>
      </c>
      <c r="E972" s="48">
        <f>"RNCP"&amp;D972</f>
        <v/>
      </c>
      <c r="F972" s="48" t="inlineStr">
        <is>
          <t>BTS - Management économique de la construction</t>
        </is>
      </c>
      <c r="G972" s="49">
        <f>E972&amp;" - "&amp;F972</f>
        <v/>
      </c>
      <c r="H972" s="36" t="inlineStr">
        <is>
          <t>RAS</t>
        </is>
      </c>
      <c r="I972" s="45" t="inlineStr"/>
      <c r="J972" s="45" t="inlineStr">
        <is>
          <t>RNCP35802</t>
        </is>
      </c>
      <c r="K972" s="45" t="inlineStr">
        <is>
          <t>BTS - Management économique de la construction</t>
        </is>
      </c>
      <c r="L972" s="45" t="inlineStr">
        <is>
          <t>31/12/2030</t>
        </is>
      </c>
      <c r="M972" s="45" t="inlineStr"/>
      <c r="N972" s="50" t="inlineStr">
        <is>
          <t>NON</t>
        </is>
      </c>
      <c r="O972" s="45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TP - Technicien d'intervention de réseaux de télécommunications en fibre optique</t>
        </is>
      </c>
      <c r="L973" s="45" t="inlineStr">
        <is>
          <t>31/12/2030</t>
        </is>
      </c>
      <c r="M973" s="45" t="inlineStr"/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BP - Métiers de la pierre</t>
        </is>
      </c>
      <c r="L974" s="45" t="inlineStr">
        <is>
          <t>31/12/2030</t>
        </is>
      </c>
      <c r="M974" s="45" t="inlineStr"/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BTS - Géologie appliquée</t>
        </is>
      </c>
      <c r="L975" s="45" t="inlineStr">
        <is>
          <t>31/12/2030</t>
        </is>
      </c>
      <c r="M975" s="45" t="inlineStr"/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BAC PRO - Ouvrages du bâtiment : métallerie</t>
        </is>
      </c>
      <c r="L976" s="45" t="inlineStr">
        <is>
          <t>31/12/2030</t>
        </is>
      </c>
      <c r="M976" s="45" t="inlineStr"/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31/12/2030</t>
        </is>
      </c>
      <c r="M977" s="45" t="inlineStr"/>
      <c r="N977" s="50" t="inlineStr">
        <is>
          <t>NON</t>
        </is>
      </c>
      <c r="O977" s="45" t="inlineStr"/>
    </row>
    <row r="978" customFormat="1" s="3">
      <c r="A978" s="45" t="n"/>
      <c r="B978" s="46" t="inlineStr">
        <is>
          <t>22269</t>
        </is>
      </c>
      <c r="C978" s="46">
        <f>LEFT(Tableau1[[#This Row],[Formacode]],3)</f>
        <v/>
      </c>
      <c r="D978" s="47" t="n">
        <v>35503</v>
      </c>
      <c r="E978" s="48">
        <f>"RNCP"&amp;D978</f>
        <v/>
      </c>
      <c r="F978" s="48" t="inlineStr">
        <is>
          <t>TP - Chargé d'affaires du bâtiment</t>
        </is>
      </c>
      <c r="G978" s="49">
        <f>E978&amp;" - "&amp;F978</f>
        <v/>
      </c>
      <c r="H978" s="36" t="inlineStr">
        <is>
          <t>RAS</t>
        </is>
      </c>
      <c r="I978" s="45" t="inlineStr"/>
      <c r="J978" s="45" t="inlineStr">
        <is>
          <t>RNCP35503</t>
        </is>
      </c>
      <c r="K978" s="45" t="inlineStr">
        <is>
          <t>TP - Chargé d'affaires du bâtiment</t>
        </is>
      </c>
      <c r="L978" s="45" t="inlineStr">
        <is>
          <t>31/12/2030</t>
        </is>
      </c>
      <c r="M978" s="45" t="inlineStr"/>
      <c r="N978" s="50" t="inlineStr">
        <is>
          <t>NON</t>
        </is>
      </c>
      <c r="O978" s="45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TP - Technicien d'intervention de réseaux de télécommunications en fibre optique</t>
        </is>
      </c>
      <c r="L979" s="45" t="inlineStr">
        <is>
          <t>31/12/2030</t>
        </is>
      </c>
      <c r="M979" s="45" t="inlineStr"/>
      <c r="N979" s="50" t="inlineStr">
        <is>
          <t>NON</t>
        </is>
      </c>
      <c r="O979" s="45" t="inlineStr"/>
    </row>
    <row r="980" customFormat="1" s="3">
      <c r="A980" s="45" t="n"/>
      <c r="B980" s="46" t="inlineStr">
        <is>
          <t>22269</t>
        </is>
      </c>
      <c r="C980" s="46">
        <f>LEFT(Tableau1[[#This Row],[Formacode]],3)</f>
        <v/>
      </c>
      <c r="D980" s="47" t="n">
        <v>37986</v>
      </c>
      <c r="E980" s="48">
        <f>"RNCP"&amp;D980</f>
        <v/>
      </c>
      <c r="F980" s="48" t="inlineStr">
        <is>
          <t>Expert de la transition énergétique</t>
        </is>
      </c>
      <c r="G980" s="49">
        <f>E980&amp;" - "&amp;F980</f>
        <v/>
      </c>
      <c r="H980" s="36" t="inlineStr">
        <is>
          <t>RAS</t>
        </is>
      </c>
      <c r="I980" s="45" t="inlineStr"/>
      <c r="J980" s="45" t="inlineStr">
        <is>
          <t>RNCP37986</t>
        </is>
      </c>
      <c r="K980" s="45" t="inlineStr">
        <is>
          <t>Expert de la transition énergétique</t>
        </is>
      </c>
      <c r="L980" s="45" t="inlineStr">
        <is>
          <t>31/12/2030</t>
        </is>
      </c>
      <c r="M980" s="45" t="inlineStr"/>
      <c r="N980" s="50" t="inlineStr">
        <is>
          <t>NON</t>
        </is>
      </c>
      <c r="O980" s="45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BP - Métiers de la pierre</t>
        </is>
      </c>
      <c r="L981" s="45" t="inlineStr">
        <is>
          <t>31/12/2030</t>
        </is>
      </c>
      <c r="M981" s="45" t="inlineStr"/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BTS - Géologie appliquée</t>
        </is>
      </c>
      <c r="L982" s="45" t="inlineStr">
        <is>
          <t>31/12/2030</t>
        </is>
      </c>
      <c r="M982" s="45" t="inlineStr"/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BAC PRO - Ouvrages du bâtiment : métallerie</t>
        </is>
      </c>
      <c r="L983" s="45" t="inlineStr">
        <is>
          <t>31/12/2030</t>
        </is>
      </c>
      <c r="M983" s="45" t="inlineStr"/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31/12/2030</t>
        </is>
      </c>
      <c r="M984" s="45" t="inlineStr"/>
      <c r="N984" s="50" t="inlineStr">
        <is>
          <t>NON</t>
        </is>
      </c>
      <c r="O984" s="45" t="inlineStr"/>
    </row>
    <row r="985" customFormat="1" s="3">
      <c r="A985" s="45" t="n"/>
      <c r="B985" s="46" t="inlineStr">
        <is>
          <t>22270</t>
        </is>
      </c>
      <c r="C985" s="46">
        <f>LEFT(Tableau1[[#This Row],[Formacode]],3)</f>
        <v/>
      </c>
      <c r="D985" s="47" t="n">
        <v>35503</v>
      </c>
      <c r="E985" s="48">
        <f>"RNCP"&amp;D985</f>
        <v/>
      </c>
      <c r="F985" s="48" t="inlineStr">
        <is>
          <t>TP - Chargé d'affaires du bâtiment</t>
        </is>
      </c>
      <c r="G985" s="49">
        <f>E985&amp;" - "&amp;F985</f>
        <v/>
      </c>
      <c r="H985" s="36" t="inlineStr">
        <is>
          <t>RAS</t>
        </is>
      </c>
      <c r="I985" s="45" t="inlineStr"/>
      <c r="J985" s="45" t="inlineStr">
        <is>
          <t>RNCP35503</t>
        </is>
      </c>
      <c r="K985" s="45" t="inlineStr">
        <is>
          <t>TP - Chargé d'affaires du bâtiment</t>
        </is>
      </c>
      <c r="L985" s="45" t="inlineStr">
        <is>
          <t>31/12/2030</t>
        </is>
      </c>
      <c r="M985" s="45" t="inlineStr"/>
      <c r="N985" s="50" t="inlineStr">
        <is>
          <t>NON</t>
        </is>
      </c>
      <c r="O985" s="45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TP - Technicien d'intervention de réseaux de télécommunications en fibre optique</t>
        </is>
      </c>
      <c r="L986" s="45" t="inlineStr">
        <is>
          <t>31/12/2030</t>
        </is>
      </c>
      <c r="M986" s="45" t="inlineStr"/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BP - Métiers de la pierre</t>
        </is>
      </c>
      <c r="L987" s="45" t="inlineStr">
        <is>
          <t>31/12/2030</t>
        </is>
      </c>
      <c r="M987" s="45" t="inlineStr"/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BTS - Géologie appliquée</t>
        </is>
      </c>
      <c r="L988" s="45" t="inlineStr">
        <is>
          <t>31/12/2030</t>
        </is>
      </c>
      <c r="M988" s="45" t="inlineStr"/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BAC PRO - Ouvrages du bâtiment : métallerie</t>
        </is>
      </c>
      <c r="L989" s="45" t="inlineStr">
        <is>
          <t>31/12/2030</t>
        </is>
      </c>
      <c r="M989" s="45" t="inlineStr"/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31/12/2030</t>
        </is>
      </c>
      <c r="M990" s="45" t="inlineStr"/>
      <c r="N990" s="50" t="inlineStr">
        <is>
          <t>NON</t>
        </is>
      </c>
      <c r="O990" s="45" t="inlineStr"/>
    </row>
    <row r="991" customFormat="1" s="3">
      <c r="A991" s="45" t="n"/>
      <c r="B991" s="46" t="inlineStr">
        <is>
          <t>22274</t>
        </is>
      </c>
      <c r="C991" s="46">
        <f>LEFT(Tableau1[[#This Row],[Formacode]],3)</f>
        <v/>
      </c>
      <c r="D991" s="47" t="n">
        <v>35297</v>
      </c>
      <c r="E991" s="48">
        <f>"RNCP"&amp;D991</f>
        <v/>
      </c>
      <c r="F991" s="48" t="inlineStr">
        <is>
          <t>TP - Opérateur en dépollution pyrotechnique</t>
        </is>
      </c>
      <c r="G991" s="49">
        <f>E991&amp;" - "&amp;F991</f>
        <v/>
      </c>
      <c r="H991" s="36" t="inlineStr">
        <is>
          <t>RAS</t>
        </is>
      </c>
      <c r="I991" s="45" t="inlineStr"/>
      <c r="J991" s="45" t="inlineStr">
        <is>
          <t>RNCP35297</t>
        </is>
      </c>
      <c r="K991" s="45" t="inlineStr">
        <is>
          <t>TP - Opérateur en dépollution pyrotechnique</t>
        </is>
      </c>
      <c r="L991" s="45" t="inlineStr">
        <is>
          <t>31/12/2030</t>
        </is>
      </c>
      <c r="M991" s="45" t="inlineStr"/>
      <c r="N991" s="50" t="inlineStr">
        <is>
          <t>NON</t>
        </is>
      </c>
      <c r="O991" s="45" t="inlineStr"/>
    </row>
    <row r="992" customFormat="1" s="3">
      <c r="A992" s="45" t="n"/>
      <c r="B992" s="46" t="inlineStr">
        <is>
          <t>22274</t>
        </is>
      </c>
      <c r="C992" s="46">
        <f>LEFT(Tableau1[[#This Row],[Formacode]],3)</f>
        <v/>
      </c>
      <c r="D992" s="47" t="n">
        <v>35298</v>
      </c>
      <c r="E992" s="48">
        <f>"RNCP"&amp;D992</f>
        <v/>
      </c>
      <c r="F992" s="48" t="inlineStr">
        <is>
          <t>TP - Responsable de chantier de dépollution pyrotechnique</t>
        </is>
      </c>
      <c r="G992" s="49">
        <f>E992&amp;" - "&amp;F992</f>
        <v/>
      </c>
      <c r="H992" s="36" t="inlineStr">
        <is>
          <t>RAS</t>
        </is>
      </c>
      <c r="I992" s="45" t="inlineStr"/>
      <c r="J992" s="45" t="inlineStr">
        <is>
          <t>RNCP35298</t>
        </is>
      </c>
      <c r="K992" s="45" t="inlineStr">
        <is>
          <t>TP - Responsable de chantier de dépollution pyrotechnique</t>
        </is>
      </c>
      <c r="L992" s="45" t="inlineStr">
        <is>
          <t>31/12/2030</t>
        </is>
      </c>
      <c r="M992" s="45" t="inlineStr"/>
      <c r="N992" s="50" t="inlineStr">
        <is>
          <t>NON</t>
        </is>
      </c>
      <c r="O992" s="45" t="inlineStr"/>
    </row>
    <row r="993" customFormat="1" s="3">
      <c r="A993" s="45" t="n"/>
      <c r="B993" s="46" t="inlineStr">
        <is>
          <t>22274</t>
        </is>
      </c>
      <c r="C993" s="46">
        <f>LEFT(Tableau1[[#This Row],[Formacode]],3)</f>
        <v/>
      </c>
      <c r="D993" s="47" t="n">
        <v>35503</v>
      </c>
      <c r="E993" s="48">
        <f>"RNCP"&amp;D993</f>
        <v/>
      </c>
      <c r="F993" s="48" t="inlineStr">
        <is>
          <t>TP - Chargé d'affaires du bâtiment</t>
        </is>
      </c>
      <c r="G993" s="49">
        <f>E993&amp;" - "&amp;F993</f>
        <v/>
      </c>
      <c r="H993" s="36" t="inlineStr">
        <is>
          <t>RAS</t>
        </is>
      </c>
      <c r="I993" s="45" t="inlineStr"/>
      <c r="J993" s="45" t="inlineStr">
        <is>
          <t>RNCP35503</t>
        </is>
      </c>
      <c r="K993" s="45" t="inlineStr">
        <is>
          <t>TP - Chargé d'affaires du bâtiment</t>
        </is>
      </c>
      <c r="L993" s="45" t="inlineStr">
        <is>
          <t>31/12/2030</t>
        </is>
      </c>
      <c r="M993" s="45" t="inlineStr"/>
      <c r="N993" s="50" t="inlineStr">
        <is>
          <t>NON</t>
        </is>
      </c>
      <c r="O993" s="45" t="inlineStr"/>
    </row>
    <row r="994" customFormat="1" s="3">
      <c r="A994" s="45" t="n"/>
      <c r="B994" s="46" t="inlineStr">
        <is>
          <t>22274</t>
        </is>
      </c>
      <c r="C994" s="46">
        <f>LEFT(Tableau1[[#This Row],[Formacode]],3)</f>
        <v/>
      </c>
      <c r="D994" s="47" t="n">
        <v>35802</v>
      </c>
      <c r="E994" s="48">
        <f>"RNCP"&amp;D994</f>
        <v/>
      </c>
      <c r="F994" s="48" t="inlineStr">
        <is>
          <t>BTS - Management économique de la construction</t>
        </is>
      </c>
      <c r="G994" s="49">
        <f>E994&amp;" - "&amp;F994</f>
        <v/>
      </c>
      <c r="H994" s="36" t="inlineStr">
        <is>
          <t>RAS</t>
        </is>
      </c>
      <c r="I994" s="45" t="inlineStr"/>
      <c r="J994" s="45" t="inlineStr">
        <is>
          <t>RNCP35802</t>
        </is>
      </c>
      <c r="K994" s="45" t="inlineStr">
        <is>
          <t>BTS - Management économique de la construction</t>
        </is>
      </c>
      <c r="L994" s="45" t="inlineStr">
        <is>
          <t>31/12/2030</t>
        </is>
      </c>
      <c r="M994" s="45" t="inlineStr"/>
      <c r="N994" s="50" t="inlineStr">
        <is>
          <t>NON</t>
        </is>
      </c>
      <c r="O994" s="45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31/12/2030</t>
        </is>
      </c>
      <c r="M995" s="45" t="inlineStr"/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31/12/2030</t>
        </is>
      </c>
      <c r="M996" s="45" t="inlineStr"/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BTS - Travaux publics</t>
        </is>
      </c>
      <c r="L997" s="45" t="inlineStr">
        <is>
          <t>31/12/2030</t>
        </is>
      </c>
      <c r="M997" s="45" t="inlineStr"/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BAC PRO - Travaux publics</t>
        </is>
      </c>
      <c r="L998" s="45" t="inlineStr">
        <is>
          <t>31/12/2030</t>
        </is>
      </c>
      <c r="M998" s="45" t="inlineStr"/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TP - Technicien d'intervention de réseaux de télécommunications en fibre optique</t>
        </is>
      </c>
      <c r="L999" s="45" t="inlineStr">
        <is>
          <t>31/12/2030</t>
        </is>
      </c>
      <c r="M999" s="45" t="inlineStr"/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BTS - Maintenance des matériels de construction et de manutention</t>
        </is>
      </c>
      <c r="L1000" s="45" t="inlineStr">
        <is>
          <t>31/12/2030</t>
        </is>
      </c>
      <c r="M1000" s="45" t="inlineStr"/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BTS - Systèmes constructifs bois et habitat</t>
        </is>
      </c>
      <c r="L1001" s="45" t="inlineStr">
        <is>
          <t>31/12/2030</t>
        </is>
      </c>
      <c r="M1001" s="45" t="inlineStr"/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TP - Chef de chantier gros œuvre</t>
        </is>
      </c>
      <c r="L1002" s="45" t="inlineStr">
        <is>
          <t>31/12/2030</t>
        </is>
      </c>
      <c r="M1002" s="45" t="inlineStr"/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TP - Conducteur de travaux aménagement finitions</t>
        </is>
      </c>
      <c r="L1003" s="45" t="inlineStr">
        <is>
          <t>31/12/2030</t>
        </is>
      </c>
      <c r="M1003" s="45" t="inlineStr"/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BP - Métiers de la pierre</t>
        </is>
      </c>
      <c r="L1004" s="45" t="inlineStr">
        <is>
          <t>31/12/2030</t>
        </is>
      </c>
      <c r="M1004" s="45" t="inlineStr"/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TP - Chef d'équipe gros œuvre</t>
        </is>
      </c>
      <c r="L1005" s="45" t="inlineStr">
        <is>
          <t>31/12/2030</t>
        </is>
      </c>
      <c r="M1005" s="45" t="inlineStr"/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TP - Chef de chantier aménagement finitions</t>
        </is>
      </c>
      <c r="L1006" s="45" t="inlineStr">
        <is>
          <t>31/12/2030</t>
        </is>
      </c>
      <c r="M1006" s="45" t="inlineStr"/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TP - Assistant chef de chantier gros œuvre</t>
        </is>
      </c>
      <c r="L1007" s="45" t="inlineStr">
        <is>
          <t>31/12/2030</t>
        </is>
      </c>
      <c r="M1007" s="45" t="inlineStr"/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TP - Chef d'équipe en aménagement finitions</t>
        </is>
      </c>
      <c r="L1008" s="45" t="inlineStr">
        <is>
          <t>31/12/2030</t>
        </is>
      </c>
      <c r="M1008" s="45" t="inlineStr"/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CS - Echafaudeur</t>
        </is>
      </c>
      <c r="L1009" s="45" t="inlineStr">
        <is>
          <t>31/12/2030</t>
        </is>
      </c>
      <c r="M1009" s="45" t="inlineStr"/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TP - Technicien de maintenance d'engins et de matériels de chantier et de manutention</t>
        </is>
      </c>
      <c r="L1010" s="45" t="inlineStr">
        <is>
          <t>31/12/2030</t>
        </is>
      </c>
      <c r="M1010" s="45" t="inlineStr"/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BAC PRO - Technicien d'études du bâtiment</t>
        </is>
      </c>
      <c r="L1011" s="45" t="inlineStr">
        <is>
          <t>31/12/2030</t>
        </is>
      </c>
      <c r="M1011" s="45" t="inlineStr"/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BTS - Géologie appliquée</t>
        </is>
      </c>
      <c r="L1012" s="45" t="inlineStr">
        <is>
          <t>31/12/2030</t>
        </is>
      </c>
      <c r="M1012" s="45" t="inlineStr"/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TP - Maçon du bâti ancien</t>
        </is>
      </c>
      <c r="L1013" s="45" t="inlineStr">
        <is>
          <t>31/12/2030</t>
        </is>
      </c>
      <c r="M1013" s="45" t="inlineStr"/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TP - Chargé d'accompagnement à la rénovation énergétique du bâtiment</t>
        </is>
      </c>
      <c r="L1014" s="45" t="inlineStr">
        <is>
          <t>31/12/2030</t>
        </is>
      </c>
      <c r="M1014" s="45" t="inlineStr"/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BAC PRO - Maintenance des matériels</t>
        </is>
      </c>
      <c r="L1015" s="45" t="inlineStr">
        <is>
          <t>31/12/2030</t>
        </is>
      </c>
      <c r="M1015" s="45" t="inlineStr"/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BAC PRO - Ouvrages du bâtiment : métallerie</t>
        </is>
      </c>
      <c r="L1016" s="45" t="inlineStr">
        <is>
          <t>31/12/2030</t>
        </is>
      </c>
      <c r="M1016" s="45" t="inlineStr"/>
      <c r="N1016" s="50" t="inlineStr">
        <is>
          <t>NON</t>
        </is>
      </c>
      <c r="O1016" s="45" t="inlineStr"/>
    </row>
    <row r="1017" customFormat="1" s="3">
      <c r="A1017" s="45" t="n"/>
      <c r="B1017" s="46" t="inlineStr">
        <is>
          <t>22274</t>
        </is>
      </c>
      <c r="C1017" s="46">
        <f>LEFT(Tableau1[[#This Row],[Formacode]],3)</f>
        <v/>
      </c>
      <c r="D1017" s="47" t="n">
        <v>39801</v>
      </c>
      <c r="E1017" s="48">
        <f>"RNCP"&amp;D1017</f>
        <v/>
      </c>
      <c r="F1017" s="48" t="inlineStr">
        <is>
          <t>BTS - Bâtiment</t>
        </is>
      </c>
      <c r="G1017" s="49">
        <f>E1017&amp;" - "&amp;F1017</f>
        <v/>
      </c>
      <c r="H1017" s="36" t="inlineStr">
        <is>
          <t>RAS</t>
        </is>
      </c>
      <c r="I1017" s="45" t="inlineStr"/>
      <c r="J1017" s="45" t="inlineStr">
        <is>
          <t>RNCP39801</t>
        </is>
      </c>
      <c r="K1017" s="45" t="inlineStr">
        <is>
          <t>BTS - Bâtiment</t>
        </is>
      </c>
      <c r="L1017" s="45" t="inlineStr">
        <is>
          <t>31/12/2030</t>
        </is>
      </c>
      <c r="M1017" s="45" t="inlineStr"/>
      <c r="N1017" s="50" t="inlineStr">
        <is>
          <t>NON</t>
        </is>
      </c>
      <c r="O1017" s="45" t="inlineStr"/>
    </row>
    <row r="1018" customFormat="1" s="3">
      <c r="A1018" s="45" t="n"/>
      <c r="B1018" s="46" t="inlineStr">
        <is>
          <t>22274</t>
        </is>
      </c>
      <c r="C1018" s="46">
        <f>LEFT(Tableau1[[#This Row],[Formacode]],3)</f>
        <v/>
      </c>
      <c r="D1018" s="47" t="n">
        <v>40217</v>
      </c>
      <c r="E1018" s="48">
        <f>"RNCP"&amp;D1018</f>
        <v/>
      </c>
      <c r="F1018" s="48" t="inlineStr">
        <is>
          <t>TP - Conducteur de travaux du bâtiment et du génie civil</t>
        </is>
      </c>
      <c r="G1018" s="49">
        <f>E1018&amp;" - "&amp;F1018</f>
        <v/>
      </c>
      <c r="H1018" s="36" t="inlineStr">
        <is>
          <t>RAS</t>
        </is>
      </c>
      <c r="I1018" s="45" t="inlineStr"/>
      <c r="J1018" s="45" t="inlineStr">
        <is>
          <t>RNCP40217</t>
        </is>
      </c>
      <c r="K1018" s="45" t="inlineStr">
        <is>
          <t>TP - Conducteur de travaux du bâtiment et du génie civil</t>
        </is>
      </c>
      <c r="L1018" s="45" t="inlineStr">
        <is>
          <t>31/12/2030</t>
        </is>
      </c>
      <c r="M1018" s="45" t="inlineStr"/>
      <c r="N1018" s="50" t="inlineStr">
        <is>
          <t>NON</t>
        </is>
      </c>
      <c r="O1018" s="45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31/12/2030</t>
        </is>
      </c>
      <c r="M1019" s="45" t="inlineStr"/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31/12/2030</t>
        </is>
      </c>
      <c r="M1020" s="45" t="inlineStr"/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31/12/2030</t>
        </is>
      </c>
      <c r="M1021" s="45" t="inlineStr"/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31/12/2030</t>
        </is>
      </c>
      <c r="M1022" s="45" t="inlineStr"/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31/12/2030</t>
        </is>
      </c>
      <c r="M1023" s="45" t="inlineStr"/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TP - Chef de chantier en voirie et réseaux divers</t>
        </is>
      </c>
      <c r="L1024" s="45" t="inlineStr">
        <is>
          <t>31/12/2030</t>
        </is>
      </c>
      <c r="M1024" s="45" t="inlineStr"/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31/12/2030</t>
        </is>
      </c>
      <c r="M1025" s="45" t="inlineStr"/>
      <c r="N1025" s="50" t="inlineStr">
        <is>
          <t>NON</t>
        </is>
      </c>
      <c r="O1025" s="45" t="inlineStr"/>
    </row>
    <row r="1026" customFormat="1" s="3">
      <c r="A1026" s="45" t="n"/>
      <c r="B1026" s="46" t="inlineStr">
        <is>
          <t>22278</t>
        </is>
      </c>
      <c r="C1026" s="46">
        <f>LEFT(Tableau1[[#This Row],[Formacode]],3)</f>
        <v/>
      </c>
      <c r="D1026" s="47" t="n">
        <v>35503</v>
      </c>
      <c r="E1026" s="48">
        <f>"RNCP"&amp;D1026</f>
        <v/>
      </c>
      <c r="F1026" s="48" t="inlineStr">
        <is>
          <t>TP - Chargé d'affaires du bâtiment</t>
        </is>
      </c>
      <c r="G1026" s="49">
        <f>E1026&amp;" - "&amp;F1026</f>
        <v/>
      </c>
      <c r="H1026" s="36" t="inlineStr">
        <is>
          <t>RAS</t>
        </is>
      </c>
      <c r="I1026" s="45" t="inlineStr"/>
      <c r="J1026" s="45" t="inlineStr">
        <is>
          <t>RNCP35503</t>
        </is>
      </c>
      <c r="K1026" s="45" t="inlineStr">
        <is>
          <t>TP - Chargé d'affaires du bâtiment</t>
        </is>
      </c>
      <c r="L1026" s="45" t="inlineStr">
        <is>
          <t>31/12/2030</t>
        </is>
      </c>
      <c r="M1026" s="45" t="inlineStr"/>
      <c r="N1026" s="50" t="inlineStr">
        <is>
          <t>NON</t>
        </is>
      </c>
      <c r="O1026" s="45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TP - Technicien d'intervention de réseaux de télécommunications en fibre optique</t>
        </is>
      </c>
      <c r="L1027" s="45" t="inlineStr">
        <is>
          <t>31/12/2030</t>
        </is>
      </c>
      <c r="M1027" s="45" t="inlineStr"/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BP - Métiers de la pierre</t>
        </is>
      </c>
      <c r="L1028" s="45" t="inlineStr">
        <is>
          <t>31/12/2030</t>
        </is>
      </c>
      <c r="M1028" s="45" t="inlineStr"/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BTS - Géologie appliquée</t>
        </is>
      </c>
      <c r="L1029" s="45" t="inlineStr">
        <is>
          <t>31/12/2030</t>
        </is>
      </c>
      <c r="M1029" s="45" t="inlineStr"/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BAC PRO - Ouvrages du bâtiment : métallerie</t>
        </is>
      </c>
      <c r="L1030" s="45" t="inlineStr">
        <is>
          <t>31/12/2030</t>
        </is>
      </c>
      <c r="M1030" s="45" t="inlineStr"/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31/12/2030</t>
        </is>
      </c>
      <c r="M1031" s="45" t="inlineStr"/>
      <c r="N1031" s="50" t="inlineStr">
        <is>
          <t>NON</t>
        </is>
      </c>
      <c r="O1031" s="45" t="inlineStr"/>
    </row>
    <row r="1032" customFormat="1" s="3">
      <c r="A1032" s="45" t="n"/>
      <c r="B1032" s="46" t="inlineStr">
        <is>
          <t>22279</t>
        </is>
      </c>
      <c r="C1032" s="46">
        <f>LEFT(Tableau1[[#This Row],[Formacode]],3)</f>
        <v/>
      </c>
      <c r="D1032" s="47" t="n">
        <v>35503</v>
      </c>
      <c r="E1032" s="48">
        <f>"RNCP"&amp;D1032</f>
        <v/>
      </c>
      <c r="F1032" s="48" t="inlineStr">
        <is>
          <t>TP - Chargé d'affaires du bâtiment</t>
        </is>
      </c>
      <c r="G1032" s="49">
        <f>E1032&amp;" - "&amp;F1032</f>
        <v/>
      </c>
      <c r="H1032" s="36" t="inlineStr">
        <is>
          <t>RAS</t>
        </is>
      </c>
      <c r="I1032" s="45" t="inlineStr"/>
      <c r="J1032" s="45" t="inlineStr">
        <is>
          <t>RNCP35503</t>
        </is>
      </c>
      <c r="K1032" s="45" t="inlineStr">
        <is>
          <t>TP - Chargé d'affaires du bâtiment</t>
        </is>
      </c>
      <c r="L1032" s="45" t="inlineStr">
        <is>
          <t>31/12/2030</t>
        </is>
      </c>
      <c r="M1032" s="45" t="inlineStr"/>
      <c r="N1032" s="50" t="inlineStr">
        <is>
          <t>NON</t>
        </is>
      </c>
      <c r="O1032" s="45" t="inlineStr"/>
    </row>
    <row r="1033" customFormat="1" s="3">
      <c r="A1033" s="45" t="n"/>
      <c r="B1033" s="46" t="inlineStr">
        <is>
          <t>22279</t>
        </is>
      </c>
      <c r="C1033" s="46">
        <f>LEFT(Tableau1[[#This Row],[Formacode]],3)</f>
        <v/>
      </c>
      <c r="D1033" s="47" t="n">
        <v>35802</v>
      </c>
      <c r="E1033" s="48">
        <f>"RNCP"&amp;D1033</f>
        <v/>
      </c>
      <c r="F1033" s="48" t="inlineStr">
        <is>
          <t>BTS - Management économique de la construction</t>
        </is>
      </c>
      <c r="G1033" s="49">
        <f>E1033&amp;" - "&amp;F1033</f>
        <v/>
      </c>
      <c r="H1033" s="36" t="inlineStr">
        <is>
          <t>RAS</t>
        </is>
      </c>
      <c r="I1033" s="45" t="inlineStr"/>
      <c r="J1033" s="45" t="inlineStr">
        <is>
          <t>RNCP35802</t>
        </is>
      </c>
      <c r="K1033" s="45" t="inlineStr">
        <is>
          <t>BTS - Management économique de la construction</t>
        </is>
      </c>
      <c r="L1033" s="45" t="inlineStr">
        <is>
          <t>31/12/2030</t>
        </is>
      </c>
      <c r="M1033" s="45" t="inlineStr"/>
      <c r="N1033" s="50" t="inlineStr">
        <is>
          <t>NON</t>
        </is>
      </c>
      <c r="O1033" s="45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TP - Technicien d'études en chauffage, ventilation et climatisation</t>
        </is>
      </c>
      <c r="L1034" s="45" t="inlineStr">
        <is>
          <t>31/12/2030</t>
        </is>
      </c>
      <c r="M1034" s="45" t="inlineStr"/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TP - Technicien d'intervention de réseaux de télécommunications en fibre optique</t>
        </is>
      </c>
      <c r="L1035" s="45" t="inlineStr">
        <is>
          <t>31/12/2030</t>
        </is>
      </c>
      <c r="M1035" s="45" t="inlineStr"/>
      <c r="N1035" s="50" t="inlineStr">
        <is>
          <t>NON</t>
        </is>
      </c>
      <c r="O1035" s="45" t="inlineStr"/>
    </row>
    <row r="1036" customFormat="1" s="3">
      <c r="A1036" s="45" t="n"/>
      <c r="B1036" s="46" t="inlineStr">
        <is>
          <t>22279</t>
        </is>
      </c>
      <c r="C1036" s="46">
        <f>LEFT(Tableau1[[#This Row],[Formacode]],3)</f>
        <v/>
      </c>
      <c r="D1036" s="47" t="n">
        <v>37986</v>
      </c>
      <c r="E1036" s="48">
        <f>"RNCP"&amp;D1036</f>
        <v/>
      </c>
      <c r="F1036" s="48" t="inlineStr">
        <is>
          <t>Expert de la transition énergétique</t>
        </is>
      </c>
      <c r="G1036" s="49">
        <f>E1036&amp;" - "&amp;F1036</f>
        <v/>
      </c>
      <c r="H1036" s="36" t="inlineStr">
        <is>
          <t>RAS</t>
        </is>
      </c>
      <c r="I1036" s="45" t="inlineStr"/>
      <c r="J1036" s="45" t="inlineStr">
        <is>
          <t>RNCP37986</t>
        </is>
      </c>
      <c r="K1036" s="45" t="inlineStr">
        <is>
          <t>Expert de la transition énergétique</t>
        </is>
      </c>
      <c r="L1036" s="45" t="inlineStr">
        <is>
          <t>31/12/2030</t>
        </is>
      </c>
      <c r="M1036" s="45" t="inlineStr"/>
      <c r="N1036" s="50" t="inlineStr">
        <is>
          <t>NON</t>
        </is>
      </c>
      <c r="O1036" s="45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BP - Métiers de la pierre</t>
        </is>
      </c>
      <c r="L1037" s="45" t="inlineStr">
        <is>
          <t>31/12/2030</t>
        </is>
      </c>
      <c r="M1037" s="45" t="inlineStr"/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BAC PRO - Technicien d'études du bâtiment</t>
        </is>
      </c>
      <c r="L1038" s="45" t="inlineStr">
        <is>
          <t>31/12/2030</t>
        </is>
      </c>
      <c r="M1038" s="45" t="inlineStr"/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BTS - Géologie appliquée</t>
        </is>
      </c>
      <c r="L1039" s="45" t="inlineStr">
        <is>
          <t>31/12/2030</t>
        </is>
      </c>
      <c r="M1039" s="45" t="inlineStr"/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31/12/2030</t>
        </is>
      </c>
      <c r="M1040" s="45" t="inlineStr"/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TP - Coordinateur BIM du bâtiment</t>
        </is>
      </c>
      <c r="L1041" s="45" t="inlineStr">
        <is>
          <t>31/12/2030</t>
        </is>
      </c>
      <c r="M1041" s="45" t="inlineStr"/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BAC PRO - Ouvrages du bâtiment : métallerie</t>
        </is>
      </c>
      <c r="L1042" s="45" t="inlineStr">
        <is>
          <t>31/12/2030</t>
        </is>
      </c>
      <c r="M1042" s="45" t="inlineStr"/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31/12/2030</t>
        </is>
      </c>
      <c r="M1043" s="45" t="inlineStr"/>
      <c r="N1043" s="50" t="inlineStr">
        <is>
          <t>NON</t>
        </is>
      </c>
      <c r="O1043" s="45" t="inlineStr"/>
    </row>
    <row r="1044" customFormat="1" s="3">
      <c r="A1044" s="45" t="n"/>
      <c r="B1044" s="46" t="inlineStr">
        <is>
          <t>22295</t>
        </is>
      </c>
      <c r="C1044" s="46">
        <f>LEFT(Tableau1[[#This Row],[Formacode]],3)</f>
        <v/>
      </c>
      <c r="D1044" s="47" t="n">
        <v>35503</v>
      </c>
      <c r="E1044" s="48">
        <f>"RNCP"&amp;D1044</f>
        <v/>
      </c>
      <c r="F1044" s="48" t="inlineStr">
        <is>
          <t>TP - Chargé d'affaires du bâtiment</t>
        </is>
      </c>
      <c r="G1044" s="49">
        <f>E1044&amp;" - "&amp;F1044</f>
        <v/>
      </c>
      <c r="H1044" s="36" t="inlineStr">
        <is>
          <t>RAS</t>
        </is>
      </c>
      <c r="I1044" s="45" t="inlineStr"/>
      <c r="J1044" s="45" t="inlineStr">
        <is>
          <t>RNCP35503</t>
        </is>
      </c>
      <c r="K1044" s="45" t="inlineStr">
        <is>
          <t>TP - Chargé d'affaires du bâtiment</t>
        </is>
      </c>
      <c r="L1044" s="45" t="inlineStr">
        <is>
          <t>31/12/2030</t>
        </is>
      </c>
      <c r="M1044" s="45" t="inlineStr"/>
      <c r="N1044" s="50" t="inlineStr">
        <is>
          <t>NON</t>
        </is>
      </c>
      <c r="O1044" s="45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TP - Technicien d'intervention de réseaux de télécommunications en fibre optique</t>
        </is>
      </c>
      <c r="L1045" s="45" t="inlineStr">
        <is>
          <t>31/12/2030</t>
        </is>
      </c>
      <c r="M1045" s="45" t="inlineStr"/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TP - Encadrant technique d'une opération de traitement de l'amiante ou d'autres polluants particulaires</t>
        </is>
      </c>
      <c r="L1046" s="45" t="inlineStr">
        <is>
          <t>31/12/2030</t>
        </is>
      </c>
      <c r="M1046" s="45" t="inlineStr"/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TP - Opérateur de chantier de traitement de l'amiante ou d'autres polluants particulaires</t>
        </is>
      </c>
      <c r="L1047" s="45" t="inlineStr">
        <is>
          <t>31/12/2030</t>
        </is>
      </c>
      <c r="M1047" s="45" t="inlineStr"/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TP - Encadrant de chantier de traitement de l'amiante ou d'autres polluants particulaires</t>
        </is>
      </c>
      <c r="L1048" s="45" t="inlineStr">
        <is>
          <t>31/12/2030</t>
        </is>
      </c>
      <c r="M1048" s="45" t="inlineStr"/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31/12/2030</t>
        </is>
      </c>
      <c r="M1049" s="45" t="inlineStr"/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BP - Métiers de la pierre</t>
        </is>
      </c>
      <c r="L1050" s="45" t="inlineStr">
        <is>
          <t>31/12/2030</t>
        </is>
      </c>
      <c r="M1050" s="45" t="inlineStr"/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BTS - Géologie appliquée</t>
        </is>
      </c>
      <c r="L1051" s="45" t="inlineStr">
        <is>
          <t>31/12/2030</t>
        </is>
      </c>
      <c r="M1051" s="45" t="inlineStr"/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BAC PRO - Ouvrages du bâtiment : métallerie</t>
        </is>
      </c>
      <c r="L1052" s="45" t="inlineStr">
        <is>
          <t>31/12/2030</t>
        </is>
      </c>
      <c r="M1052" s="45" t="inlineStr"/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31/12/2030</t>
        </is>
      </c>
      <c r="M1053" s="45" t="inlineStr"/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31/12/2030</t>
        </is>
      </c>
      <c r="M1054" s="45" t="inlineStr"/>
      <c r="N1054" s="50" t="inlineStr">
        <is>
          <t>NON</t>
        </is>
      </c>
      <c r="O1054" s="45" t="inlineStr"/>
    </row>
    <row r="1055" customFormat="1" s="3">
      <c r="A1055" s="45" t="n"/>
      <c r="B1055" s="46" t="inlineStr">
        <is>
          <t>22307</t>
        </is>
      </c>
      <c r="C1055" s="46">
        <f>LEFT(Tableau1[[#This Row],[Formacode]],3)</f>
        <v/>
      </c>
      <c r="D1055" s="47" t="n">
        <v>35503</v>
      </c>
      <c r="E1055" s="48">
        <f>"RNCP"&amp;D1055</f>
        <v/>
      </c>
      <c r="F1055" s="48" t="inlineStr">
        <is>
          <t>TP - Chargé d'affaires du bâtiment</t>
        </is>
      </c>
      <c r="G1055" s="49">
        <f>E1055&amp;" - "&amp;F1055</f>
        <v/>
      </c>
      <c r="H1055" s="36" t="inlineStr">
        <is>
          <t>RAS</t>
        </is>
      </c>
      <c r="I1055" s="45" t="inlineStr"/>
      <c r="J1055" s="45" t="inlineStr">
        <is>
          <t>RNCP35503</t>
        </is>
      </c>
      <c r="K1055" s="45" t="inlineStr">
        <is>
          <t>TP - Chargé d'affaires du bâtiment</t>
        </is>
      </c>
      <c r="L1055" s="45" t="inlineStr">
        <is>
          <t>31/12/2030</t>
        </is>
      </c>
      <c r="M1055" s="45" t="inlineStr"/>
      <c r="N1055" s="50" t="inlineStr">
        <is>
          <t>NON</t>
        </is>
      </c>
      <c r="O1055" s="45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TP - Tailleur de pierre</t>
        </is>
      </c>
      <c r="L1056" s="45" t="inlineStr">
        <is>
          <t>31/12/2030</t>
        </is>
      </c>
      <c r="M1056" s="45" t="inlineStr"/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TP - Chef de chantier gros œuvre</t>
        </is>
      </c>
      <c r="L1057" s="45" t="inlineStr">
        <is>
          <t>31/12/2030</t>
        </is>
      </c>
      <c r="M1057" s="45" t="inlineStr"/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TP - Chef d'équipe gros œuvre</t>
        </is>
      </c>
      <c r="L1058" s="45" t="inlineStr">
        <is>
          <t>31/12/2030</t>
        </is>
      </c>
      <c r="M1058" s="45" t="inlineStr"/>
      <c r="N1058" s="50" t="inlineStr">
        <is>
          <t>NON</t>
        </is>
      </c>
      <c r="O1058" s="45" t="inlineStr"/>
    </row>
    <row r="1059" customFormat="1" s="3">
      <c r="A1059" s="45" t="n"/>
      <c r="B1059" s="46" t="inlineStr">
        <is>
          <t>22307</t>
        </is>
      </c>
      <c r="C1059" s="46">
        <f>LEFT(Tableau1[[#This Row],[Formacode]],3)</f>
        <v/>
      </c>
      <c r="D1059" s="47" t="n">
        <v>40217</v>
      </c>
      <c r="E1059" s="48">
        <f>"RNCP"&amp;D1059</f>
        <v/>
      </c>
      <c r="F1059" s="48" t="inlineStr">
        <is>
          <t>TP - Conducteur de travaux du bâtiment et du génie civil</t>
        </is>
      </c>
      <c r="G1059" s="49">
        <f>E1059&amp;" - "&amp;F1059</f>
        <v/>
      </c>
      <c r="H1059" s="36" t="inlineStr">
        <is>
          <t>RAS</t>
        </is>
      </c>
      <c r="I1059" s="45" t="inlineStr"/>
      <c r="J1059" s="45" t="inlineStr">
        <is>
          <t>RNCP40217</t>
        </is>
      </c>
      <c r="K1059" s="45" t="inlineStr">
        <is>
          <t>TP - Conducteur de travaux du bâtiment et du génie civil</t>
        </is>
      </c>
      <c r="L1059" s="45" t="inlineStr">
        <is>
          <t>31/12/2030</t>
        </is>
      </c>
      <c r="M1059" s="45" t="inlineStr"/>
      <c r="N1059" s="50" t="inlineStr">
        <is>
          <t>NON</t>
        </is>
      </c>
      <c r="O1059" s="45" t="inlineStr"/>
    </row>
    <row r="1060" customFormat="1" s="3">
      <c r="A1060" s="45" t="n"/>
      <c r="B1060" s="46" t="inlineStr">
        <is>
          <t>22312</t>
        </is>
      </c>
      <c r="C1060" s="46">
        <f>LEFT(Tableau1[[#This Row],[Formacode]],3)</f>
        <v/>
      </c>
      <c r="D1060" s="47" t="n">
        <v>35348</v>
      </c>
      <c r="E1060" s="48">
        <f>"RNCP"&amp;D1060</f>
        <v/>
      </c>
      <c r="F1060" s="48" t="inlineStr">
        <is>
          <t>TP - Monteur levageur de structures métalliques</t>
        </is>
      </c>
      <c r="G1060" s="49">
        <f>E1060&amp;" - "&amp;F1060</f>
        <v/>
      </c>
      <c r="H1060" s="36" t="inlineStr">
        <is>
          <t>RAS</t>
        </is>
      </c>
      <c r="I1060" s="45" t="inlineStr"/>
      <c r="J1060" s="45" t="inlineStr">
        <is>
          <t>RNCP35348</t>
        </is>
      </c>
      <c r="K1060" s="45" t="inlineStr">
        <is>
          <t>TP - Monteur levageur de structures métalliques</t>
        </is>
      </c>
      <c r="L1060" s="45" t="inlineStr">
        <is>
          <t>31/12/2030</t>
        </is>
      </c>
      <c r="M1060" s="45" t="inlineStr"/>
      <c r="N1060" s="50" t="inlineStr">
        <is>
          <t>NON</t>
        </is>
      </c>
      <c r="O1060" s="45" t="inlineStr"/>
    </row>
    <row r="1061" customFormat="1" s="3">
      <c r="A1061" s="45" t="n"/>
      <c r="B1061" s="46" t="inlineStr">
        <is>
          <t>22312</t>
        </is>
      </c>
      <c r="C1061" s="46">
        <f>LEFT(Tableau1[[#This Row],[Formacode]],3)</f>
        <v/>
      </c>
      <c r="D1061" s="47" t="n">
        <v>35503</v>
      </c>
      <c r="E1061" s="48">
        <f>"RNCP"&amp;D1061</f>
        <v/>
      </c>
      <c r="F1061" s="48" t="inlineStr">
        <is>
          <t>TP - Chargé d'affaires du bâtiment</t>
        </is>
      </c>
      <c r="G1061" s="49">
        <f>E1061&amp;" - "&amp;F1061</f>
        <v/>
      </c>
      <c r="H1061" s="36" t="inlineStr">
        <is>
          <t>RAS</t>
        </is>
      </c>
      <c r="I1061" s="45" t="inlineStr"/>
      <c r="J1061" s="45" t="inlineStr">
        <is>
          <t>RNCP35503</t>
        </is>
      </c>
      <c r="K1061" s="45" t="inlineStr">
        <is>
          <t>TP - Chargé d'affaires du bâtiment</t>
        </is>
      </c>
      <c r="L1061" s="45" t="inlineStr">
        <is>
          <t>31/12/2030</t>
        </is>
      </c>
      <c r="M1061" s="45" t="inlineStr"/>
      <c r="N1061" s="50" t="inlineStr">
        <is>
          <t>NON</t>
        </is>
      </c>
      <c r="O1061" s="45" t="inlineStr"/>
    </row>
    <row r="1062" customFormat="1" s="3">
      <c r="A1062" s="45" t="n"/>
      <c r="B1062" s="46" t="inlineStr">
        <is>
          <t>22312</t>
        </is>
      </c>
      <c r="C1062" s="46">
        <f>LEFT(Tableau1[[#This Row],[Formacode]],3)</f>
        <v/>
      </c>
      <c r="D1062" s="47" t="n">
        <v>35508</v>
      </c>
      <c r="E1062" s="48">
        <f>"RNCP"&amp;D1062</f>
        <v/>
      </c>
      <c r="F1062" s="48" t="inlineStr">
        <is>
          <t>TP - Charpentier bois</t>
        </is>
      </c>
      <c r="G1062" s="49">
        <f>E1062&amp;" - "&amp;F1062</f>
        <v/>
      </c>
      <c r="H1062" s="36" t="inlineStr">
        <is>
          <t>RAS</t>
        </is>
      </c>
      <c r="I1062" s="45" t="inlineStr"/>
      <c r="J1062" s="45" t="inlineStr">
        <is>
          <t>RNCP35508</t>
        </is>
      </c>
      <c r="K1062" s="45" t="inlineStr">
        <is>
          <t>TP - Charpentier bois</t>
        </is>
      </c>
      <c r="L1062" s="45" t="inlineStr">
        <is>
          <t>31/12/2030</t>
        </is>
      </c>
      <c r="M1062" s="45" t="inlineStr"/>
      <c r="N1062" s="50" t="inlineStr">
        <is>
          <t>NON</t>
        </is>
      </c>
      <c r="O1062" s="45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BAC PRO - Technicien fabrication bois et matériaux associés</t>
        </is>
      </c>
      <c r="L1063" s="45" t="inlineStr">
        <is>
          <t>31/12/2030</t>
        </is>
      </c>
      <c r="M1063" s="45" t="inlineStr"/>
      <c r="N1063" s="50" t="inlineStr">
        <is>
          <t>NON</t>
        </is>
      </c>
      <c r="O1063" s="45" t="inlineStr"/>
    </row>
    <row r="1064" customFormat="1" s="3">
      <c r="A1064" s="45" t="n"/>
      <c r="B1064" s="46" t="inlineStr">
        <is>
          <t>22312</t>
        </is>
      </c>
      <c r="C1064" s="46">
        <f>LEFT(Tableau1[[#This Row],[Formacode]],3)</f>
        <v/>
      </c>
      <c r="D1064" s="47" t="n">
        <v>37916</v>
      </c>
      <c r="E1064" s="48">
        <f>"RNCP"&amp;D1064</f>
        <v/>
      </c>
      <c r="F1064" s="48" t="inlineStr">
        <is>
          <t>BAC PRO - Technicien constructeur bois</t>
        </is>
      </c>
      <c r="G1064" s="49">
        <f>E1064&amp;" - "&amp;F1064</f>
        <v/>
      </c>
      <c r="H1064" s="36" t="inlineStr">
        <is>
          <t>RAS</t>
        </is>
      </c>
      <c r="I1064" s="45" t="inlineStr"/>
      <c r="J1064" s="45" t="inlineStr">
        <is>
          <t>RNCP37916</t>
        </is>
      </c>
      <c r="K1064" s="45" t="inlineStr">
        <is>
          <t>BAC PRO - Technicien constructeur bois</t>
        </is>
      </c>
      <c r="L1064" s="45" t="inlineStr">
        <is>
          <t>31/12/2030</t>
        </is>
      </c>
      <c r="M1064" s="45" t="inlineStr"/>
      <c r="N1064" s="50" t="inlineStr">
        <is>
          <t>NON</t>
        </is>
      </c>
      <c r="O1064" s="45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TP - Tailleur de pierre</t>
        </is>
      </c>
      <c r="L1065" s="45" t="inlineStr">
        <is>
          <t>31/12/2030</t>
        </is>
      </c>
      <c r="M1065" s="45" t="inlineStr"/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TP - Chef de chantier gros œuvre</t>
        </is>
      </c>
      <c r="L1066" s="45" t="inlineStr">
        <is>
          <t>31/12/2030</t>
        </is>
      </c>
      <c r="M1066" s="45" t="inlineStr"/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TP - Chef d'équipe gros œuvre</t>
        </is>
      </c>
      <c r="L1067" s="45" t="inlineStr">
        <is>
          <t>31/12/2030</t>
        </is>
      </c>
      <c r="M1067" s="45" t="inlineStr"/>
      <c r="N1067" s="50" t="inlineStr">
        <is>
          <t>NON</t>
        </is>
      </c>
      <c r="O1067" s="45" t="inlineStr"/>
    </row>
    <row r="1068" customFormat="1" s="3">
      <c r="A1068" s="45" t="n"/>
      <c r="B1068" s="46" t="inlineStr">
        <is>
          <t>22312</t>
        </is>
      </c>
      <c r="C1068" s="46">
        <f>LEFT(Tableau1[[#This Row],[Formacode]],3)</f>
        <v/>
      </c>
      <c r="D1068" s="47" t="n">
        <v>40217</v>
      </c>
      <c r="E1068" s="48">
        <f>"RNCP"&amp;D1068</f>
        <v/>
      </c>
      <c r="F1068" s="48" t="inlineStr">
        <is>
          <t>TP - Conducteur de travaux du bâtiment et du génie civil</t>
        </is>
      </c>
      <c r="G1068" s="49">
        <f>E1068&amp;" - "&amp;F1068</f>
        <v/>
      </c>
      <c r="H1068" s="36" t="inlineStr">
        <is>
          <t>RAS</t>
        </is>
      </c>
      <c r="I1068" s="45" t="inlineStr"/>
      <c r="J1068" s="45" t="inlineStr">
        <is>
          <t>RNCP40217</t>
        </is>
      </c>
      <c r="K1068" s="45" t="inlineStr">
        <is>
          <t>TP - Conducteur de travaux du bâtiment et du génie civil</t>
        </is>
      </c>
      <c r="L1068" s="45" t="inlineStr">
        <is>
          <t>31/12/2030</t>
        </is>
      </c>
      <c r="M1068" s="45" t="inlineStr"/>
      <c r="N1068" s="50" t="inlineStr">
        <is>
          <t>NON</t>
        </is>
      </c>
      <c r="O1068" s="45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CAP - Charpentier bois</t>
        </is>
      </c>
      <c r="L1069" s="45" t="inlineStr">
        <is>
          <t>31/12/2030</t>
        </is>
      </c>
      <c r="M1069" s="45" t="inlineStr"/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BAC PRO - Interventions sur le patrimoine bâti - Options maçonnerie, charpente, couverture</t>
        </is>
      </c>
      <c r="L1070" s="45" t="inlineStr">
        <is>
          <t>31/12/2030</t>
        </is>
      </c>
      <c r="M1070" s="45" t="inlineStr"/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BP - Charpentier bois</t>
        </is>
      </c>
      <c r="L1071" s="45" t="inlineStr">
        <is>
          <t>31/12/2030</t>
        </is>
      </c>
      <c r="M1071" s="45" t="inlineStr"/>
      <c r="N1071" s="50" t="inlineStr">
        <is>
          <t>NON</t>
        </is>
      </c>
      <c r="O1071" s="45" t="inlineStr"/>
    </row>
    <row r="1072" customFormat="1" s="3">
      <c r="A1072" s="45" t="n"/>
      <c r="B1072" s="46" t="inlineStr">
        <is>
          <t>22329</t>
        </is>
      </c>
      <c r="C1072" s="46">
        <f>LEFT(Tableau1[[#This Row],[Formacode]],3)</f>
        <v/>
      </c>
      <c r="D1072" s="47" t="n">
        <v>35503</v>
      </c>
      <c r="E1072" s="48">
        <f>"RNCP"&amp;D1072</f>
        <v/>
      </c>
      <c r="F1072" s="48" t="inlineStr">
        <is>
          <t>TP - Chargé d'affaires du bâtiment</t>
        </is>
      </c>
      <c r="G1072" s="49">
        <f>E1072&amp;" - "&amp;F1072</f>
        <v/>
      </c>
      <c r="H1072" s="36" t="inlineStr">
        <is>
          <t>RAS</t>
        </is>
      </c>
      <c r="I1072" s="45" t="inlineStr"/>
      <c r="J1072" s="45" t="inlineStr">
        <is>
          <t>RNCP35503</t>
        </is>
      </c>
      <c r="K1072" s="45" t="inlineStr">
        <is>
          <t>TP - Chargé d'affaires du bâtiment</t>
        </is>
      </c>
      <c r="L1072" s="45" t="inlineStr">
        <is>
          <t>31/12/2030</t>
        </is>
      </c>
      <c r="M1072" s="45" t="inlineStr"/>
      <c r="N1072" s="50" t="inlineStr">
        <is>
          <t>NON</t>
        </is>
      </c>
      <c r="O1072" s="45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TP - Tailleur de pierre</t>
        </is>
      </c>
      <c r="L1073" s="45" t="inlineStr">
        <is>
          <t>31/12/2030</t>
        </is>
      </c>
      <c r="M1073" s="45" t="inlineStr"/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TP - Chef de chantier gros œuvre</t>
        </is>
      </c>
      <c r="L1074" s="45" t="inlineStr">
        <is>
          <t>31/12/2030</t>
        </is>
      </c>
      <c r="M1074" s="45" t="inlineStr"/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TP - Chef d'équipe gros œuvre</t>
        </is>
      </c>
      <c r="L1075" s="45" t="inlineStr">
        <is>
          <t>31/12/2030</t>
        </is>
      </c>
      <c r="M1075" s="45" t="inlineStr"/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31/12/2030</t>
        </is>
      </c>
      <c r="M1076" s="45" t="inlineStr"/>
      <c r="N1076" s="50" t="inlineStr">
        <is>
          <t>NON</t>
        </is>
      </c>
      <c r="O1076" s="45" t="inlineStr"/>
    </row>
    <row r="1077" customFormat="1" s="3">
      <c r="A1077" s="45" t="n"/>
      <c r="B1077" s="46" t="inlineStr">
        <is>
          <t>22329</t>
        </is>
      </c>
      <c r="C1077" s="46">
        <f>LEFT(Tableau1[[#This Row],[Formacode]],3)</f>
        <v/>
      </c>
      <c r="D1077" s="47" t="n">
        <v>40217</v>
      </c>
      <c r="E1077" s="48">
        <f>"RNCP"&amp;D1077</f>
        <v/>
      </c>
      <c r="F1077" s="48" t="inlineStr">
        <is>
          <t>TP - Conducteur de travaux du bâtiment et du génie civil</t>
        </is>
      </c>
      <c r="G1077" s="49">
        <f>E1077&amp;" - "&amp;F1077</f>
        <v/>
      </c>
      <c r="H1077" s="36" t="inlineStr">
        <is>
          <t>RAS</t>
        </is>
      </c>
      <c r="I1077" s="45" t="inlineStr"/>
      <c r="J1077" s="45" t="inlineStr">
        <is>
          <t>RNCP40217</t>
        </is>
      </c>
      <c r="K1077" s="45" t="inlineStr">
        <is>
          <t>TP - Conducteur de travaux du bâtiment et du génie civil</t>
        </is>
      </c>
      <c r="L1077" s="45" t="inlineStr">
        <is>
          <t>31/12/2030</t>
        </is>
      </c>
      <c r="M1077" s="45" t="inlineStr"/>
      <c r="N1077" s="50" t="inlineStr">
        <is>
          <t>NON</t>
        </is>
      </c>
      <c r="O1077" s="45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31/12/2030</t>
        </is>
      </c>
      <c r="M1078" s="45" t="inlineStr"/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31/12/2030</t>
        </is>
      </c>
      <c r="M1079" s="45" t="inlineStr"/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31/12/2030</t>
        </is>
      </c>
      <c r="M1080" s="45" t="inlineStr"/>
      <c r="N1080" s="50" t="inlineStr">
        <is>
          <t>NON</t>
        </is>
      </c>
      <c r="O1080" s="45" t="inlineStr"/>
    </row>
    <row r="1081" customFormat="1" s="3">
      <c r="A1081" s="45" t="n"/>
      <c r="B1081" s="46" t="inlineStr">
        <is>
          <t>22334</t>
        </is>
      </c>
      <c r="C1081" s="46">
        <f>LEFT(Tableau1[[#This Row],[Formacode]],3)</f>
        <v/>
      </c>
      <c r="D1081" s="47" t="n">
        <v>35309</v>
      </c>
      <c r="E1081" s="48">
        <f>"RNCP"&amp;D1081</f>
        <v/>
      </c>
      <c r="F1081" s="48" t="inlineStr">
        <is>
          <t>TP - Maçon</t>
        </is>
      </c>
      <c r="G1081" s="49">
        <f>E1081&amp;" - "&amp;F1081</f>
        <v/>
      </c>
      <c r="H1081" s="36" t="inlineStr">
        <is>
          <t>RAS</t>
        </is>
      </c>
      <c r="I1081" s="45" t="inlineStr"/>
      <c r="J1081" s="45" t="inlineStr">
        <is>
          <t>RNCP35309</t>
        </is>
      </c>
      <c r="K1081" s="45" t="inlineStr">
        <is>
          <t>TP - Maçon</t>
        </is>
      </c>
      <c r="L1081" s="45" t="inlineStr">
        <is>
          <t>31/12/2030</t>
        </is>
      </c>
      <c r="M1081" s="45" t="inlineStr"/>
      <c r="N1081" s="50" t="inlineStr">
        <is>
          <t>NON</t>
        </is>
      </c>
      <c r="O1081" s="45" t="inlineStr"/>
    </row>
    <row r="1082" customFormat="1" s="3">
      <c r="A1082" s="45" t="n"/>
      <c r="B1082" s="46" t="inlineStr">
        <is>
          <t>22334</t>
        </is>
      </c>
      <c r="C1082" s="46">
        <f>LEFT(Tableau1[[#This Row],[Formacode]],3)</f>
        <v/>
      </c>
      <c r="D1082" s="47" t="n">
        <v>35312</v>
      </c>
      <c r="E1082" s="48">
        <f>"RNCP"&amp;D1082</f>
        <v/>
      </c>
      <c r="F1082" s="48" t="inlineStr">
        <is>
          <t>TP - Coffreur bancheur</t>
        </is>
      </c>
      <c r="G1082" s="49">
        <f>E1082&amp;" - "&amp;F1082</f>
        <v/>
      </c>
      <c r="H1082" s="36" t="inlineStr">
        <is>
          <t>RAS</t>
        </is>
      </c>
      <c r="I1082" s="45" t="inlineStr"/>
      <c r="J1082" s="45" t="inlineStr">
        <is>
          <t>RNCP35312</t>
        </is>
      </c>
      <c r="K1082" s="45" t="inlineStr">
        <is>
          <t>TP - Coffreur bancheur</t>
        </is>
      </c>
      <c r="L1082" s="45" t="inlineStr">
        <is>
          <t>31/12/2030</t>
        </is>
      </c>
      <c r="M1082" s="45" t="inlineStr"/>
      <c r="N1082" s="50" t="inlineStr">
        <is>
          <t>NON</t>
        </is>
      </c>
      <c r="O1082" s="45" t="inlineStr"/>
    </row>
    <row r="1083" customFormat="1" s="3">
      <c r="A1083" s="45" t="n"/>
      <c r="B1083" s="46" t="inlineStr">
        <is>
          <t>22334</t>
        </is>
      </c>
      <c r="C1083" s="46">
        <f>LEFT(Tableau1[[#This Row],[Formacode]],3)</f>
        <v/>
      </c>
      <c r="D1083" s="47" t="n">
        <v>35503</v>
      </c>
      <c r="E1083" s="48">
        <f>"RNCP"&amp;D1083</f>
        <v/>
      </c>
      <c r="F1083" s="48" t="inlineStr">
        <is>
          <t>TP - Chargé d'affaires du bâtiment</t>
        </is>
      </c>
      <c r="G1083" s="49">
        <f>E1083&amp;" - "&amp;F1083</f>
        <v/>
      </c>
      <c r="H1083" s="36" t="inlineStr">
        <is>
          <t>RAS</t>
        </is>
      </c>
      <c r="I1083" s="45" t="inlineStr"/>
      <c r="J1083" s="45" t="inlineStr">
        <is>
          <t>RNCP35503</t>
        </is>
      </c>
      <c r="K1083" s="45" t="inlineStr">
        <is>
          <t>TP - Chargé d'affaires du bâtiment</t>
        </is>
      </c>
      <c r="L1083" s="45" t="inlineStr">
        <is>
          <t>31/12/2030</t>
        </is>
      </c>
      <c r="M1083" s="45" t="inlineStr"/>
      <c r="N1083" s="50" t="inlineStr">
        <is>
          <t>NON</t>
        </is>
      </c>
      <c r="O1083" s="45" t="inlineStr"/>
    </row>
    <row r="1084" customFormat="1" s="3">
      <c r="A1084" s="45" t="n"/>
      <c r="B1084" s="46" t="inlineStr">
        <is>
          <t>22334</t>
        </is>
      </c>
      <c r="C1084" s="46">
        <f>LEFT(Tableau1[[#This Row],[Formacode]],3)</f>
        <v/>
      </c>
      <c r="D1084" s="47" t="n">
        <v>35715</v>
      </c>
      <c r="E1084" s="48">
        <f>"RNCP"&amp;D1084</f>
        <v/>
      </c>
      <c r="F1084" s="48" t="inlineStr">
        <is>
          <t>CAP - Maçon</t>
        </is>
      </c>
      <c r="G1084" s="49">
        <f>E1084&amp;" - "&amp;F1084</f>
        <v/>
      </c>
      <c r="H1084" s="36" t="inlineStr">
        <is>
          <t>RAS</t>
        </is>
      </c>
      <c r="I1084" s="45" t="inlineStr"/>
      <c r="J1084" s="45" t="inlineStr">
        <is>
          <t>RNCP35715</t>
        </is>
      </c>
      <c r="K1084" s="45" t="inlineStr">
        <is>
          <t>CAP - Maçon</t>
        </is>
      </c>
      <c r="L1084" s="45" t="inlineStr">
        <is>
          <t>31/12/2030</t>
        </is>
      </c>
      <c r="M1084" s="45" t="inlineStr"/>
      <c r="N1084" s="50" t="inlineStr">
        <is>
          <t>NON</t>
        </is>
      </c>
      <c r="O1084" s="45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31/12/2030</t>
        </is>
      </c>
      <c r="M1085" s="45" t="inlineStr"/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BAC PRO - Aménagement et finition du bâtiment</t>
        </is>
      </c>
      <c r="L1086" s="45" t="inlineStr">
        <is>
          <t>31/12/2030</t>
        </is>
      </c>
      <c r="M1086" s="45" t="inlineStr"/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BP - Maçon</t>
        </is>
      </c>
      <c r="L1087" s="45" t="inlineStr">
        <is>
          <t>31/12/2030</t>
        </is>
      </c>
      <c r="M1087" s="45" t="inlineStr"/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TP - Tailleur de pierre</t>
        </is>
      </c>
      <c r="L1088" s="45" t="inlineStr">
        <is>
          <t>31/12/2030</t>
        </is>
      </c>
      <c r="M1088" s="45" t="inlineStr"/>
      <c r="N1088" s="50" t="inlineStr">
        <is>
          <t>NON</t>
        </is>
      </c>
      <c r="O1088" s="45" t="inlineStr"/>
    </row>
    <row r="1089" customFormat="1" s="3">
      <c r="A1089" s="45" t="n"/>
      <c r="B1089" s="46" t="inlineStr">
        <is>
          <t>22334</t>
        </is>
      </c>
      <c r="C1089" s="46">
        <f>LEFT(Tableau1[[#This Row],[Formacode]],3)</f>
        <v/>
      </c>
      <c r="D1089" s="47" t="n">
        <v>38711</v>
      </c>
      <c r="E1089" s="48">
        <f>"RNCP"&amp;D1089</f>
        <v/>
      </c>
      <c r="F1089" s="48" t="inlineStr">
        <is>
          <t>CS - Peinture décoration</t>
        </is>
      </c>
      <c r="G1089" s="49">
        <f>E1089&amp;" - "&amp;F1089</f>
        <v/>
      </c>
      <c r="H1089" s="36" t="inlineStr">
        <is>
          <t>RAS</t>
        </is>
      </c>
      <c r="I1089" s="45" t="inlineStr"/>
      <c r="J1089" s="45" t="inlineStr">
        <is>
          <t>RNCP38711</t>
        </is>
      </c>
      <c r="K1089" s="45" t="inlineStr">
        <is>
          <t>CS - Peinture décoration</t>
        </is>
      </c>
      <c r="L1089" s="45" t="inlineStr">
        <is>
          <t>31/12/2030</t>
        </is>
      </c>
      <c r="M1089" s="45" t="inlineStr"/>
      <c r="N1089" s="50" t="inlineStr">
        <is>
          <t>NON</t>
        </is>
      </c>
      <c r="O1089" s="45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TP - Chef de chantier gros œuvre</t>
        </is>
      </c>
      <c r="L1090" s="45" t="inlineStr">
        <is>
          <t>31/12/2030</t>
        </is>
      </c>
      <c r="M1090" s="45" t="inlineStr"/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TP - Chef d'équipe gros œuvre</t>
        </is>
      </c>
      <c r="L1091" s="45" t="inlineStr">
        <is>
          <t>31/12/2030</t>
        </is>
      </c>
      <c r="M1091" s="45" t="inlineStr"/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TP - Maçon du bâti ancien</t>
        </is>
      </c>
      <c r="L1092" s="45" t="inlineStr">
        <is>
          <t>31/12/2030</t>
        </is>
      </c>
      <c r="M1092" s="45" t="inlineStr"/>
      <c r="N1092" s="50" t="inlineStr">
        <is>
          <t>NON</t>
        </is>
      </c>
      <c r="O1092" s="45" t="inlineStr"/>
    </row>
    <row r="1093" customFormat="1" s="3">
      <c r="A1093" s="45" t="n"/>
      <c r="B1093" s="46" t="inlineStr">
        <is>
          <t>22334</t>
        </is>
      </c>
      <c r="C1093" s="46">
        <f>LEFT(Tableau1[[#This Row],[Formacode]],3)</f>
        <v/>
      </c>
      <c r="D1093" s="47" t="n">
        <v>40217</v>
      </c>
      <c r="E1093" s="48">
        <f>"RNCP"&amp;D1093</f>
        <v/>
      </c>
      <c r="F1093" s="48" t="inlineStr">
        <is>
          <t>TP - Conducteur de travaux du bâtiment et du génie civil</t>
        </is>
      </c>
      <c r="G1093" s="49">
        <f>E1093&amp;" - "&amp;F1093</f>
        <v/>
      </c>
      <c r="H1093" s="36" t="inlineStr">
        <is>
          <t>RAS</t>
        </is>
      </c>
      <c r="I1093" s="45" t="inlineStr"/>
      <c r="J1093" s="45" t="inlineStr">
        <is>
          <t>RNCP40217</t>
        </is>
      </c>
      <c r="K1093" s="45" t="inlineStr">
        <is>
          <t>TP - Conducteur de travaux du bâtiment et du génie civil</t>
        </is>
      </c>
      <c r="L1093" s="45" t="inlineStr">
        <is>
          <t>31/12/2030</t>
        </is>
      </c>
      <c r="M1093" s="45" t="inlineStr"/>
      <c r="N1093" s="50" t="inlineStr">
        <is>
          <t>NON</t>
        </is>
      </c>
      <c r="O1093" s="45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BAC PRO - Interventions sur le patrimoine bâti - Options maçonnerie, charpente, couverture</t>
        </is>
      </c>
      <c r="L1094" s="45" t="inlineStr">
        <is>
          <t>31/12/2030</t>
        </is>
      </c>
      <c r="M1094" s="45" t="inlineStr"/>
      <c r="N1094" s="50" t="inlineStr">
        <is>
          <t>NON</t>
        </is>
      </c>
      <c r="O1094" s="45" t="inlineStr"/>
    </row>
    <row r="1095" customFormat="1" s="3">
      <c r="A1095" s="45" t="n"/>
      <c r="B1095" s="46" t="inlineStr">
        <is>
          <t>22339</t>
        </is>
      </c>
      <c r="C1095" s="46">
        <f>LEFT(Tableau1[[#This Row],[Formacode]],3)</f>
        <v/>
      </c>
      <c r="D1095" s="47" t="n">
        <v>35503</v>
      </c>
      <c r="E1095" s="48">
        <f>"RNCP"&amp;D1095</f>
        <v/>
      </c>
      <c r="F1095" s="48" t="inlineStr">
        <is>
          <t>TP - Chargé d'affaires du bâtiment</t>
        </is>
      </c>
      <c r="G1095" s="49">
        <f>E1095&amp;" - "&amp;F1095</f>
        <v/>
      </c>
      <c r="H1095" s="36" t="inlineStr">
        <is>
          <t>RAS</t>
        </is>
      </c>
      <c r="I1095" s="45" t="inlineStr"/>
      <c r="J1095" s="45" t="inlineStr">
        <is>
          <t>RNCP35503</t>
        </is>
      </c>
      <c r="K1095" s="45" t="inlineStr">
        <is>
          <t>TP - Chargé d'affaires du bâtiment</t>
        </is>
      </c>
      <c r="L1095" s="45" t="inlineStr">
        <is>
          <t>31/12/2030</t>
        </is>
      </c>
      <c r="M1095" s="45" t="inlineStr"/>
      <c r="N1095" s="50" t="inlineStr">
        <is>
          <t>NON</t>
        </is>
      </c>
      <c r="O1095" s="45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TP - Tailleur de pierre</t>
        </is>
      </c>
      <c r="L1096" s="45" t="inlineStr">
        <is>
          <t>31/12/2030</t>
        </is>
      </c>
      <c r="M1096" s="45" t="inlineStr"/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TP - Chef de chantier gros œuvre</t>
        </is>
      </c>
      <c r="L1097" s="45" t="inlineStr">
        <is>
          <t>31/12/2030</t>
        </is>
      </c>
      <c r="M1097" s="45" t="inlineStr"/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TP - Chef d'équipe gros œuvre</t>
        </is>
      </c>
      <c r="L1098" s="45" t="inlineStr">
        <is>
          <t>31/12/2030</t>
        </is>
      </c>
      <c r="M1098" s="45" t="inlineStr"/>
      <c r="N1098" s="50" t="inlineStr">
        <is>
          <t>NON</t>
        </is>
      </c>
      <c r="O1098" s="45" t="inlineStr"/>
    </row>
    <row r="1099" customFormat="1" s="3">
      <c r="A1099" s="45" t="n"/>
      <c r="B1099" s="46" t="inlineStr">
        <is>
          <t>22339</t>
        </is>
      </c>
      <c r="C1099" s="46">
        <f>LEFT(Tableau1[[#This Row],[Formacode]],3)</f>
        <v/>
      </c>
      <c r="D1099" s="47" t="n">
        <v>40217</v>
      </c>
      <c r="E1099" s="48">
        <f>"RNCP"&amp;D1099</f>
        <v/>
      </c>
      <c r="F1099" s="48" t="inlineStr">
        <is>
          <t>TP - Conducteur de travaux du bâtiment et du génie civil</t>
        </is>
      </c>
      <c r="G1099" s="49">
        <f>E1099&amp;" - "&amp;F1099</f>
        <v/>
      </c>
      <c r="H1099" s="36" t="inlineStr">
        <is>
          <t>RAS</t>
        </is>
      </c>
      <c r="I1099" s="45" t="inlineStr"/>
      <c r="J1099" s="45" t="inlineStr">
        <is>
          <t>RNCP40217</t>
        </is>
      </c>
      <c r="K1099" s="45" t="inlineStr">
        <is>
          <t>TP - Conducteur de travaux du bâtiment et du génie civil</t>
        </is>
      </c>
      <c r="L1099" s="45" t="inlineStr">
        <is>
          <t>31/12/2030</t>
        </is>
      </c>
      <c r="M1099" s="45" t="inlineStr"/>
      <c r="N1099" s="50" t="inlineStr">
        <is>
          <t>NON</t>
        </is>
      </c>
      <c r="O1099" s="45" t="inlineStr"/>
    </row>
    <row r="1100" customFormat="1" s="3">
      <c r="A1100" s="45" t="n"/>
      <c r="B1100" s="46" t="inlineStr">
        <is>
          <t>22348</t>
        </is>
      </c>
      <c r="C1100" s="46">
        <f>LEFT(Tableau1[[#This Row],[Formacode]],3)</f>
        <v/>
      </c>
      <c r="D1100" s="47" t="n">
        <v>35503</v>
      </c>
      <c r="E1100" s="48">
        <f>"RNCP"&amp;D1100</f>
        <v/>
      </c>
      <c r="F1100" s="48" t="inlineStr">
        <is>
          <t>TP - Chargé d'affaires du bâtiment</t>
        </is>
      </c>
      <c r="G1100" s="49">
        <f>E1100&amp;" - "&amp;F1100</f>
        <v/>
      </c>
      <c r="H1100" s="36" t="inlineStr">
        <is>
          <t>RAS</t>
        </is>
      </c>
      <c r="I1100" s="45" t="inlineStr"/>
      <c r="J1100" s="45" t="inlineStr">
        <is>
          <t>RNCP35503</t>
        </is>
      </c>
      <c r="K1100" s="45" t="inlineStr">
        <is>
          <t>TP - Chargé d'affaires du bâtiment</t>
        </is>
      </c>
      <c r="L1100" s="45" t="inlineStr">
        <is>
          <t>31/12/2030</t>
        </is>
      </c>
      <c r="M1100" s="45" t="inlineStr"/>
      <c r="N1100" s="50" t="inlineStr">
        <is>
          <t>NON</t>
        </is>
      </c>
      <c r="O1100" s="45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TP - Tailleur de pierre</t>
        </is>
      </c>
      <c r="L1101" s="45" t="inlineStr">
        <is>
          <t>31/12/2030</t>
        </is>
      </c>
      <c r="M1101" s="45" t="inlineStr"/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TP - Chef de chantier gros œuvre</t>
        </is>
      </c>
      <c r="L1102" s="45" t="inlineStr">
        <is>
          <t>31/12/2030</t>
        </is>
      </c>
      <c r="M1102" s="45" t="inlineStr"/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TP - Chef d'équipe gros œuvre</t>
        </is>
      </c>
      <c r="L1103" s="45" t="inlineStr">
        <is>
          <t>31/12/2030</t>
        </is>
      </c>
      <c r="M1103" s="45" t="inlineStr"/>
      <c r="N1103" s="50" t="inlineStr">
        <is>
          <t>NON</t>
        </is>
      </c>
      <c r="O1103" s="45" t="inlineStr"/>
    </row>
    <row r="1104" customFormat="1" s="3">
      <c r="A1104" s="45" t="n"/>
      <c r="B1104" s="46" t="inlineStr">
        <is>
          <t>22348</t>
        </is>
      </c>
      <c r="C1104" s="46">
        <f>LEFT(Tableau1[[#This Row],[Formacode]],3)</f>
        <v/>
      </c>
      <c r="D1104" s="47" t="n">
        <v>40217</v>
      </c>
      <c r="E1104" s="48">
        <f>"RNCP"&amp;D1104</f>
        <v/>
      </c>
      <c r="F1104" s="48" t="inlineStr">
        <is>
          <t>TP - Conducteur de travaux du bâtiment et du génie civil</t>
        </is>
      </c>
      <c r="G1104" s="49">
        <f>E1104&amp;" - "&amp;F1104</f>
        <v/>
      </c>
      <c r="H1104" s="36" t="inlineStr">
        <is>
          <t>RAS</t>
        </is>
      </c>
      <c r="I1104" s="45" t="inlineStr"/>
      <c r="J1104" s="45" t="inlineStr">
        <is>
          <t>RNCP40217</t>
        </is>
      </c>
      <c r="K1104" s="45" t="inlineStr">
        <is>
          <t>TP - Conducteur de travaux du bâtiment et du génie civil</t>
        </is>
      </c>
      <c r="L1104" s="45" t="inlineStr">
        <is>
          <t>31/12/2030</t>
        </is>
      </c>
      <c r="M1104" s="45" t="inlineStr"/>
      <c r="N1104" s="50" t="inlineStr">
        <is>
          <t>NON</t>
        </is>
      </c>
      <c r="O1104" s="45" t="inlineStr"/>
    </row>
    <row r="1105" customFormat="1" s="3">
      <c r="A1105" s="45" t="n"/>
      <c r="B1105" s="46" t="inlineStr">
        <is>
          <t>22357</t>
        </is>
      </c>
      <c r="C1105" s="46">
        <f>LEFT(Tableau1[[#This Row],[Formacode]],3)</f>
        <v/>
      </c>
      <c r="D1105" s="47" t="n">
        <v>35503</v>
      </c>
      <c r="E1105" s="48">
        <f>"RNCP"&amp;D1105</f>
        <v/>
      </c>
      <c r="F1105" s="48" t="inlineStr">
        <is>
          <t>TP - Chargé d'affaires du bâtiment</t>
        </is>
      </c>
      <c r="G1105" s="49">
        <f>E1105&amp;" - "&amp;F1105</f>
        <v/>
      </c>
      <c r="H1105" s="36" t="inlineStr">
        <is>
          <t>RAS</t>
        </is>
      </c>
      <c r="I1105" s="45" t="inlineStr"/>
      <c r="J1105" s="45" t="inlineStr">
        <is>
          <t>RNCP35503</t>
        </is>
      </c>
      <c r="K1105" s="45" t="inlineStr">
        <is>
          <t>TP - Chargé d'affaires du bâtiment</t>
        </is>
      </c>
      <c r="L1105" s="45" t="inlineStr">
        <is>
          <t>31/12/2030</t>
        </is>
      </c>
      <c r="M1105" s="45" t="inlineStr"/>
      <c r="N1105" s="50" t="inlineStr">
        <is>
          <t>NON</t>
        </is>
      </c>
      <c r="O1105" s="45" t="inlineStr"/>
    </row>
    <row r="1106" customFormat="1" s="3">
      <c r="A1106" s="45" t="n"/>
      <c r="B1106" s="46" t="inlineStr">
        <is>
          <t>22357</t>
        </is>
      </c>
      <c r="C1106" s="46">
        <f>LEFT(Tableau1[[#This Row],[Formacode]],3)</f>
        <v/>
      </c>
      <c r="D1106" s="47" t="n">
        <v>35510</v>
      </c>
      <c r="E1106" s="48">
        <f>"RNCP"&amp;D1106</f>
        <v/>
      </c>
      <c r="F1106" s="48" t="inlineStr">
        <is>
          <t>TP - Agent de maintenance des bâtiments</t>
        </is>
      </c>
      <c r="G1106" s="49">
        <f>E1106&amp;" - "&amp;F1106</f>
        <v/>
      </c>
      <c r="H1106" s="36" t="inlineStr">
        <is>
          <t>RAS</t>
        </is>
      </c>
      <c r="I1106" s="45" t="inlineStr"/>
      <c r="J1106" s="45" t="inlineStr">
        <is>
          <t>RNCP35510</t>
        </is>
      </c>
      <c r="K1106" s="45" t="inlineStr">
        <is>
          <t>TP - Agent de maintenance des bâtiments</t>
        </is>
      </c>
      <c r="L1106" s="45" t="inlineStr">
        <is>
          <t>31/12/2030</t>
        </is>
      </c>
      <c r="M1106" s="45" t="inlineStr"/>
      <c r="N1106" s="50" t="inlineStr">
        <is>
          <t>NON</t>
        </is>
      </c>
      <c r="O1106" s="45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TP - Tailleur de pierre</t>
        </is>
      </c>
      <c r="L1107" s="45" t="inlineStr">
        <is>
          <t>31/12/2030</t>
        </is>
      </c>
      <c r="M1107" s="45" t="inlineStr"/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TP - Chef de chantier gros œuvre</t>
        </is>
      </c>
      <c r="L1108" s="45" t="inlineStr">
        <is>
          <t>31/12/2030</t>
        </is>
      </c>
      <c r="M1108" s="45" t="inlineStr"/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TP - Chef d'équipe gros œuvre</t>
        </is>
      </c>
      <c r="L1109" s="45" t="inlineStr">
        <is>
          <t>31/12/2030</t>
        </is>
      </c>
      <c r="M1109" s="45" t="inlineStr"/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31/12/2030</t>
        </is>
      </c>
      <c r="M1110" s="45" t="inlineStr"/>
      <c r="N1110" s="50" t="inlineStr">
        <is>
          <t>NON</t>
        </is>
      </c>
      <c r="O1110" s="45" t="inlineStr"/>
    </row>
    <row r="1111" customFormat="1" s="3">
      <c r="A1111" s="45" t="n"/>
      <c r="B1111" s="46" t="inlineStr">
        <is>
          <t>22357</t>
        </is>
      </c>
      <c r="C1111" s="46">
        <f>LEFT(Tableau1[[#This Row],[Formacode]],3)</f>
        <v/>
      </c>
      <c r="D1111" s="47" t="n">
        <v>40217</v>
      </c>
      <c r="E1111" s="48">
        <f>"RNCP"&amp;D1111</f>
        <v/>
      </c>
      <c r="F1111" s="48" t="inlineStr">
        <is>
          <t>TP - Conducteur de travaux du bâtiment et du génie civil</t>
        </is>
      </c>
      <c r="G1111" s="49">
        <f>E1111&amp;" - "&amp;F1111</f>
        <v/>
      </c>
      <c r="H1111" s="36" t="inlineStr">
        <is>
          <t>RAS</t>
        </is>
      </c>
      <c r="I1111" s="45" t="inlineStr"/>
      <c r="J1111" s="45" t="inlineStr">
        <is>
          <t>RNCP40217</t>
        </is>
      </c>
      <c r="K1111" s="45" t="inlineStr">
        <is>
          <t>TP - Conducteur de travaux du bâtiment et du génie civil</t>
        </is>
      </c>
      <c r="L1111" s="45" t="inlineStr">
        <is>
          <t>31/12/2030</t>
        </is>
      </c>
      <c r="M1111" s="45" t="inlineStr"/>
      <c r="N1111" s="50" t="inlineStr">
        <is>
          <t>NON</t>
        </is>
      </c>
      <c r="O1111" s="45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31/12/2030</t>
        </is>
      </c>
      <c r="M1112" s="45" t="inlineStr"/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31/12/2030</t>
        </is>
      </c>
      <c r="M1113" s="45" t="inlineStr"/>
      <c r="N1113" s="50" t="inlineStr">
        <is>
          <t>NON</t>
        </is>
      </c>
      <c r="O1113" s="45" t="inlineStr"/>
    </row>
    <row r="1114" customFormat="1" s="3">
      <c r="A1114" s="45" t="n"/>
      <c r="B1114" s="46" t="inlineStr">
        <is>
          <t>22361</t>
        </is>
      </c>
      <c r="C1114" s="46">
        <f>LEFT(Tableau1[[#This Row],[Formacode]],3)</f>
        <v/>
      </c>
      <c r="D1114" s="47" t="n">
        <v>35503</v>
      </c>
      <c r="E1114" s="48">
        <f>"RNCP"&amp;D1114</f>
        <v/>
      </c>
      <c r="F1114" s="48" t="inlineStr">
        <is>
          <t>TP - Chargé d'affaires du bâtiment</t>
        </is>
      </c>
      <c r="G1114" s="49">
        <f>E1114&amp;" - "&amp;F1114</f>
        <v/>
      </c>
      <c r="H1114" s="36" t="inlineStr">
        <is>
          <t>RAS</t>
        </is>
      </c>
      <c r="I1114" s="45" t="inlineStr"/>
      <c r="J1114" s="45" t="inlineStr">
        <is>
          <t>RNCP35503</t>
        </is>
      </c>
      <c r="K1114" s="45" t="inlineStr">
        <is>
          <t>TP - Chargé d'affaires du bâtiment</t>
        </is>
      </c>
      <c r="L1114" s="45" t="inlineStr">
        <is>
          <t>31/12/2030</t>
        </is>
      </c>
      <c r="M1114" s="45" t="inlineStr"/>
      <c r="N1114" s="50" t="inlineStr">
        <is>
          <t>NON</t>
        </is>
      </c>
      <c r="O1114" s="45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TP - Tailleur de pierre</t>
        </is>
      </c>
      <c r="L1115" s="45" t="inlineStr">
        <is>
          <t>31/12/2030</t>
        </is>
      </c>
      <c r="M1115" s="45" t="inlineStr"/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TP - Chef de chantier gros œuvre</t>
        </is>
      </c>
      <c r="L1116" s="45" t="inlineStr">
        <is>
          <t>31/12/2030</t>
        </is>
      </c>
      <c r="M1116" s="45" t="inlineStr"/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TP - Chef d'équipe gros œuvre</t>
        </is>
      </c>
      <c r="L1117" s="45" t="inlineStr">
        <is>
          <t>31/12/2030</t>
        </is>
      </c>
      <c r="M1117" s="45" t="inlineStr"/>
      <c r="N1117" s="50" t="inlineStr">
        <is>
          <t>NON</t>
        </is>
      </c>
      <c r="O1117" s="45" t="inlineStr"/>
    </row>
    <row r="1118" customFormat="1" s="3">
      <c r="A1118" s="45" t="n"/>
      <c r="B1118" s="46" t="inlineStr">
        <is>
          <t>22361</t>
        </is>
      </c>
      <c r="C1118" s="46">
        <f>LEFT(Tableau1[[#This Row],[Formacode]],3)</f>
        <v/>
      </c>
      <c r="D1118" s="47" t="n">
        <v>40217</v>
      </c>
      <c r="E1118" s="48">
        <f>"RNCP"&amp;D1118</f>
        <v/>
      </c>
      <c r="F1118" s="48" t="inlineStr">
        <is>
          <t>TP - Conducteur de travaux du bâtiment et du génie civil</t>
        </is>
      </c>
      <c r="G1118" s="49">
        <f>E1118&amp;" - "&amp;F1118</f>
        <v/>
      </c>
      <c r="H1118" s="36" t="inlineStr">
        <is>
          <t>RAS</t>
        </is>
      </c>
      <c r="I1118" s="45" t="inlineStr"/>
      <c r="J1118" s="45" t="inlineStr">
        <is>
          <t>RNCP40217</t>
        </is>
      </c>
      <c r="K1118" s="45" t="inlineStr">
        <is>
          <t>TP - Conducteur de travaux du bâtiment et du génie civil</t>
        </is>
      </c>
      <c r="L1118" s="45" t="inlineStr">
        <is>
          <t>31/12/2030</t>
        </is>
      </c>
      <c r="M1118" s="45" t="inlineStr"/>
      <c r="N1118" s="50" t="inlineStr">
        <is>
          <t>NON</t>
        </is>
      </c>
      <c r="O1118" s="45" t="inlineStr"/>
    </row>
    <row r="1119" customFormat="1" s="3">
      <c r="A1119" s="45" t="n"/>
      <c r="B1119" s="46" t="inlineStr">
        <is>
          <t>22371</t>
        </is>
      </c>
      <c r="C1119" s="46">
        <f>LEFT(Tableau1[[#This Row],[Formacode]],3)</f>
        <v/>
      </c>
      <c r="D1119" s="47" t="n">
        <v>35503</v>
      </c>
      <c r="E1119" s="48">
        <f>"RNCP"&amp;D1119</f>
        <v/>
      </c>
      <c r="F1119" s="48" t="inlineStr">
        <is>
          <t>TP - Chargé d'affaires du bâtiment</t>
        </is>
      </c>
      <c r="G1119" s="49">
        <f>E1119&amp;" - "&amp;F1119</f>
        <v/>
      </c>
      <c r="H1119" s="36" t="inlineStr">
        <is>
          <t>RAS</t>
        </is>
      </c>
      <c r="I1119" s="45" t="inlineStr"/>
      <c r="J1119" s="45" t="inlineStr">
        <is>
          <t>RNCP35503</t>
        </is>
      </c>
      <c r="K1119" s="45" t="inlineStr">
        <is>
          <t>TP - Chargé d'affaires du bâtiment</t>
        </is>
      </c>
      <c r="L1119" s="45" t="inlineStr">
        <is>
          <t>31/12/2030</t>
        </is>
      </c>
      <c r="M1119" s="45" t="inlineStr"/>
      <c r="N1119" s="50" t="inlineStr">
        <is>
          <t>NON</t>
        </is>
      </c>
      <c r="O1119" s="45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TP - Tailleur de pierre</t>
        </is>
      </c>
      <c r="L1120" s="45" t="inlineStr">
        <is>
          <t>31/12/2030</t>
        </is>
      </c>
      <c r="M1120" s="45" t="inlineStr"/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TP - Chef de chantier gros œuvre</t>
        </is>
      </c>
      <c r="L1121" s="45" t="inlineStr">
        <is>
          <t>31/12/2030</t>
        </is>
      </c>
      <c r="M1121" s="45" t="inlineStr"/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TP - Chef d'équipe gros œuvre</t>
        </is>
      </c>
      <c r="L1122" s="45" t="inlineStr">
        <is>
          <t>31/12/2030</t>
        </is>
      </c>
      <c r="M1122" s="45" t="inlineStr"/>
      <c r="N1122" s="50" t="inlineStr">
        <is>
          <t>NON</t>
        </is>
      </c>
      <c r="O1122" s="45" t="inlineStr"/>
    </row>
    <row r="1123" customFormat="1" s="3">
      <c r="A1123" s="45" t="n"/>
      <c r="B1123" s="46" t="inlineStr">
        <is>
          <t>22371</t>
        </is>
      </c>
      <c r="C1123" s="46">
        <f>LEFT(Tableau1[[#This Row],[Formacode]],3)</f>
        <v/>
      </c>
      <c r="D1123" s="47" t="n">
        <v>40217</v>
      </c>
      <c r="E1123" s="48">
        <f>"RNCP"&amp;D1123</f>
        <v/>
      </c>
      <c r="F1123" s="48" t="inlineStr">
        <is>
          <t>TP - Conducteur de travaux du bâtiment et du génie civil</t>
        </is>
      </c>
      <c r="G1123" s="49">
        <f>E1123&amp;" - "&amp;F1123</f>
        <v/>
      </c>
      <c r="H1123" s="36" t="inlineStr">
        <is>
          <t>RAS</t>
        </is>
      </c>
      <c r="I1123" s="45" t="inlineStr"/>
      <c r="J1123" s="45" t="inlineStr">
        <is>
          <t>RNCP40217</t>
        </is>
      </c>
      <c r="K1123" s="45" t="inlineStr">
        <is>
          <t>TP - Conducteur de travaux du bâtiment et du génie civil</t>
        </is>
      </c>
      <c r="L1123" s="45" t="inlineStr">
        <is>
          <t>31/12/2030</t>
        </is>
      </c>
      <c r="M1123" s="45" t="inlineStr"/>
      <c r="N1123" s="50" t="inlineStr">
        <is>
          <t>NON</t>
        </is>
      </c>
      <c r="O1123" s="45" t="inlineStr"/>
    </row>
    <row r="1124" customFormat="1" s="3">
      <c r="A1124" s="45" t="n"/>
      <c r="B1124" s="46" t="inlineStr">
        <is>
          <t>22374</t>
        </is>
      </c>
      <c r="C1124" s="46">
        <f>LEFT(Tableau1[[#This Row],[Formacode]],3)</f>
        <v/>
      </c>
      <c r="D1124" s="47" t="n">
        <v>35312</v>
      </c>
      <c r="E1124" s="48">
        <f>"RNCP"&amp;D1124</f>
        <v/>
      </c>
      <c r="F1124" s="48" t="inlineStr">
        <is>
          <t>TP - Coffreur bancheur</t>
        </is>
      </c>
      <c r="G1124" s="49">
        <f>E1124&amp;" - "&amp;F1124</f>
        <v/>
      </c>
      <c r="H1124" s="36" t="inlineStr">
        <is>
          <t>RAS</t>
        </is>
      </c>
      <c r="I1124" s="45" t="inlineStr"/>
      <c r="J1124" s="45" t="inlineStr">
        <is>
          <t>RNCP35312</t>
        </is>
      </c>
      <c r="K1124" s="45" t="inlineStr">
        <is>
          <t>TP - Coffreur bancheur</t>
        </is>
      </c>
      <c r="L1124" s="45" t="inlineStr">
        <is>
          <t>31/12/2030</t>
        </is>
      </c>
      <c r="M1124" s="45" t="inlineStr"/>
      <c r="N1124" s="50" t="inlineStr">
        <is>
          <t>NON</t>
        </is>
      </c>
      <c r="O1124" s="45" t="inlineStr"/>
    </row>
    <row r="1125" customFormat="1" s="3">
      <c r="A1125" s="45" t="n"/>
      <c r="B1125" s="46" t="inlineStr">
        <is>
          <t>22374</t>
        </is>
      </c>
      <c r="C1125" s="46">
        <f>LEFT(Tableau1[[#This Row],[Formacode]],3)</f>
        <v/>
      </c>
      <c r="D1125" s="47" t="n">
        <v>35348</v>
      </c>
      <c r="E1125" s="48">
        <f>"RNCP"&amp;D1125</f>
        <v/>
      </c>
      <c r="F1125" s="48" t="inlineStr">
        <is>
          <t>TP - Monteur levageur de structures métalliques</t>
        </is>
      </c>
      <c r="G1125" s="49">
        <f>E1125&amp;" - "&amp;F1125</f>
        <v/>
      </c>
      <c r="H1125" s="36" t="inlineStr">
        <is>
          <t>RAS</t>
        </is>
      </c>
      <c r="I1125" s="45" t="inlineStr"/>
      <c r="J1125" s="45" t="inlineStr">
        <is>
          <t>RNCP35348</t>
        </is>
      </c>
      <c r="K1125" s="45" t="inlineStr">
        <is>
          <t>TP - Monteur levageur de structures métalliques</t>
        </is>
      </c>
      <c r="L1125" s="45" t="inlineStr">
        <is>
          <t>31/12/2030</t>
        </is>
      </c>
      <c r="M1125" s="45" t="inlineStr"/>
      <c r="N1125" s="50" t="inlineStr">
        <is>
          <t>NON</t>
        </is>
      </c>
      <c r="O1125" s="45" t="inlineStr"/>
    </row>
    <row r="1126" customFormat="1" s="3">
      <c r="A1126" s="45" t="n"/>
      <c r="B1126" s="46" t="inlineStr">
        <is>
          <t>22374</t>
        </is>
      </c>
      <c r="C1126" s="46">
        <f>LEFT(Tableau1[[#This Row],[Formacode]],3)</f>
        <v/>
      </c>
      <c r="D1126" s="47" t="n">
        <v>35503</v>
      </c>
      <c r="E1126" s="48">
        <f>"RNCP"&amp;D1126</f>
        <v/>
      </c>
      <c r="F1126" s="48" t="inlineStr">
        <is>
          <t>TP - Chargé d'affaires du bâtiment</t>
        </is>
      </c>
      <c r="G1126" s="49">
        <f>E1126&amp;" - "&amp;F1126</f>
        <v/>
      </c>
      <c r="H1126" s="36" t="inlineStr">
        <is>
          <t>RAS</t>
        </is>
      </c>
      <c r="I1126" s="45" t="inlineStr"/>
      <c r="J1126" s="45" t="inlineStr">
        <is>
          <t>RNCP35503</t>
        </is>
      </c>
      <c r="K1126" s="45" t="inlineStr">
        <is>
          <t>TP - Chargé d'affaires du bâtiment</t>
        </is>
      </c>
      <c r="L1126" s="45" t="inlineStr">
        <is>
          <t>31/12/2030</t>
        </is>
      </c>
      <c r="M1126" s="45" t="inlineStr"/>
      <c r="N1126" s="50" t="inlineStr">
        <is>
          <t>NON</t>
        </is>
      </c>
      <c r="O1126" s="45" t="inlineStr"/>
    </row>
    <row r="1127" customFormat="1" s="3">
      <c r="A1127" s="45" t="n"/>
      <c r="B1127" s="46" t="inlineStr">
        <is>
          <t>22374</t>
        </is>
      </c>
      <c r="C1127" s="46">
        <f>LEFT(Tableau1[[#This Row],[Formacode]],3)</f>
        <v/>
      </c>
      <c r="D1127" s="47" t="n">
        <v>35507</v>
      </c>
      <c r="E1127" s="48">
        <f>"RNCP"&amp;D1127</f>
        <v/>
      </c>
      <c r="F1127" s="48" t="inlineStr">
        <is>
          <t>TP - Constructeur bois</t>
        </is>
      </c>
      <c r="G1127" s="49">
        <f>E1127&amp;" - "&amp;F1127</f>
        <v/>
      </c>
      <c r="H1127" s="36" t="inlineStr">
        <is>
          <t>RAS</t>
        </is>
      </c>
      <c r="I1127" s="45" t="inlineStr"/>
      <c r="J1127" s="45" t="inlineStr">
        <is>
          <t>RNCP35507</t>
        </is>
      </c>
      <c r="K1127" s="45" t="inlineStr">
        <is>
          <t>TP - Constructeur bois</t>
        </is>
      </c>
      <c r="L1127" s="45" t="inlineStr">
        <is>
          <t>31/12/2030</t>
        </is>
      </c>
      <c r="M1127" s="45" t="inlineStr"/>
      <c r="N1127" s="50" t="inlineStr">
        <is>
          <t>NON</t>
        </is>
      </c>
      <c r="O1127" s="45" t="inlineStr"/>
    </row>
    <row r="1128" customFormat="1" s="3">
      <c r="A1128" s="45" t="n"/>
      <c r="B1128" s="46" t="inlineStr">
        <is>
          <t>22374</t>
        </is>
      </c>
      <c r="C1128" s="46">
        <f>LEFT(Tableau1[[#This Row],[Formacode]],3)</f>
        <v/>
      </c>
      <c r="D1128" s="47" t="n">
        <v>35715</v>
      </c>
      <c r="E1128" s="48">
        <f>"RNCP"&amp;D1128</f>
        <v/>
      </c>
      <c r="F1128" s="48" t="inlineStr">
        <is>
          <t>CAP - Maçon</t>
        </is>
      </c>
      <c r="G1128" s="49">
        <f>E1128&amp;" - "&amp;F1128</f>
        <v/>
      </c>
      <c r="H1128" s="36" t="inlineStr">
        <is>
          <t>RAS</t>
        </is>
      </c>
      <c r="I1128" s="45" t="inlineStr"/>
      <c r="J1128" s="45" t="inlineStr">
        <is>
          <t>RNCP35715</t>
        </is>
      </c>
      <c r="K1128" s="45" t="inlineStr">
        <is>
          <t>CAP - Maçon</t>
        </is>
      </c>
      <c r="L1128" s="45" t="inlineStr">
        <is>
          <t>31/12/2030</t>
        </is>
      </c>
      <c r="M1128" s="45" t="inlineStr"/>
      <c r="N1128" s="50" t="inlineStr">
        <is>
          <t>NON</t>
        </is>
      </c>
      <c r="O1128" s="45" t="inlineStr"/>
    </row>
    <row r="1129" customFormat="1" s="3">
      <c r="A1129" s="45" t="n"/>
      <c r="B1129" s="46" t="inlineStr">
        <is>
          <t>22374</t>
        </is>
      </c>
      <c r="C1129" s="46">
        <f>LEFT(Tableau1[[#This Row],[Formacode]],3)</f>
        <v/>
      </c>
      <c r="D1129" s="47" t="n">
        <v>35802</v>
      </c>
      <c r="E1129" s="48">
        <f>"RNCP"&amp;D1129</f>
        <v/>
      </c>
      <c r="F1129" s="48" t="inlineStr">
        <is>
          <t>BTS - Management économique de la construction</t>
        </is>
      </c>
      <c r="G1129" s="49">
        <f>E1129&amp;" - "&amp;F1129</f>
        <v/>
      </c>
      <c r="H1129" s="36" t="inlineStr">
        <is>
          <t>RAS</t>
        </is>
      </c>
      <c r="I1129" s="45" t="inlineStr"/>
      <c r="J1129" s="45" t="inlineStr">
        <is>
          <t>RNCP35802</t>
        </is>
      </c>
      <c r="K1129" s="45" t="inlineStr">
        <is>
          <t>BTS - Management économique de la construction</t>
        </is>
      </c>
      <c r="L1129" s="45" t="inlineStr">
        <is>
          <t>31/12/2030</t>
        </is>
      </c>
      <c r="M1129" s="45" t="inlineStr"/>
      <c r="N1129" s="50" t="inlineStr">
        <is>
          <t>NON</t>
        </is>
      </c>
      <c r="O1129" s="45" t="inlineStr"/>
    </row>
    <row r="1130" customFormat="1" s="3">
      <c r="A1130" s="45" t="n"/>
      <c r="B1130" s="46" t="inlineStr">
        <is>
          <t>22374</t>
        </is>
      </c>
      <c r="C1130" s="46">
        <f>LEFT(Tableau1[[#This Row],[Formacode]],3)</f>
        <v/>
      </c>
      <c r="D1130" s="47" t="n">
        <v>35937</v>
      </c>
      <c r="E1130" s="48">
        <f>"RNCP"&amp;D1130</f>
        <v/>
      </c>
      <c r="F1130" s="48" t="inlineStr">
        <is>
          <t>TP - Agent de fabrication et montage en chaudronnerie</t>
        </is>
      </c>
      <c r="G1130" s="49">
        <f>E1130&amp;" - "&amp;F1130</f>
        <v/>
      </c>
      <c r="H1130" s="36" t="inlineStr">
        <is>
          <t>RAS</t>
        </is>
      </c>
      <c r="I1130" s="45" t="inlineStr"/>
      <c r="J1130" s="45" t="inlineStr">
        <is>
          <t>RNCP35937</t>
        </is>
      </c>
      <c r="K1130" s="45" t="inlineStr">
        <is>
          <t>TP - Agent de fabrication et montage en chaudronnerie</t>
        </is>
      </c>
      <c r="L1130" s="45" t="inlineStr">
        <is>
          <t>31/12/2030</t>
        </is>
      </c>
      <c r="M1130" s="45" t="inlineStr"/>
      <c r="N1130" s="50" t="inlineStr">
        <is>
          <t>NON</t>
        </is>
      </c>
      <c r="O1130" s="45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TP - Dessinateur projeteur en construction métallique</t>
        </is>
      </c>
      <c r="L1131" s="45" t="inlineStr">
        <is>
          <t>31/12/2030</t>
        </is>
      </c>
      <c r="M1131" s="45" t="inlineStr"/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TP - Dessinateur projeteur d'ouvrages de métallerie</t>
        </is>
      </c>
      <c r="L1132" s="45" t="inlineStr">
        <is>
          <t>31/12/2030</t>
        </is>
      </c>
      <c r="M1132" s="45" t="inlineStr"/>
      <c r="N1132" s="50" t="inlineStr">
        <is>
          <t>NON</t>
        </is>
      </c>
      <c r="O1132" s="45" t="inlineStr"/>
    </row>
    <row r="1133" customFormat="1" s="3">
      <c r="A1133" s="45" t="n"/>
      <c r="B1133" s="46" t="inlineStr">
        <is>
          <t>22374</t>
        </is>
      </c>
      <c r="C1133" s="46">
        <f>LEFT(Tableau1[[#This Row],[Formacode]],3)</f>
        <v/>
      </c>
      <c r="D1133" s="47" t="n">
        <v>37916</v>
      </c>
      <c r="E1133" s="48">
        <f>"RNCP"&amp;D1133</f>
        <v/>
      </c>
      <c r="F1133" s="48" t="inlineStr">
        <is>
          <t>BAC PRO - Technicien constructeur bois</t>
        </is>
      </c>
      <c r="G1133" s="49">
        <f>E1133&amp;" - "&amp;F1133</f>
        <v/>
      </c>
      <c r="H1133" s="36" t="inlineStr">
        <is>
          <t>RAS</t>
        </is>
      </c>
      <c r="I1133" s="45" t="inlineStr"/>
      <c r="J1133" s="45" t="inlineStr">
        <is>
          <t>RNCP37916</t>
        </is>
      </c>
      <c r="K1133" s="45" t="inlineStr">
        <is>
          <t>BAC PRO - Technicien constructeur bois</t>
        </is>
      </c>
      <c r="L1133" s="45" t="inlineStr">
        <is>
          <t>31/12/2030</t>
        </is>
      </c>
      <c r="M1133" s="45" t="inlineStr"/>
      <c r="N1133" s="50" t="inlineStr">
        <is>
          <t>NON</t>
        </is>
      </c>
      <c r="O1133" s="45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BTS - Architectures en métal : conception et réalisation</t>
        </is>
      </c>
      <c r="L1134" s="45" t="inlineStr">
        <is>
          <t>31/12/2030</t>
        </is>
      </c>
      <c r="M1134" s="45" t="inlineStr"/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BP - Maçon</t>
        </is>
      </c>
      <c r="L1135" s="45" t="inlineStr">
        <is>
          <t>31/12/2030</t>
        </is>
      </c>
      <c r="M1135" s="45" t="inlineStr"/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BAC PRO - Technicien en chaudronnerie industrielle</t>
        </is>
      </c>
      <c r="L1136" s="45" t="inlineStr">
        <is>
          <t>31/12/2030</t>
        </is>
      </c>
      <c r="M1136" s="45" t="inlineStr"/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TP - Tailleur de pierre</t>
        </is>
      </c>
      <c r="L1137" s="45" t="inlineStr">
        <is>
          <t>31/12/2030</t>
        </is>
      </c>
      <c r="M1137" s="45" t="inlineStr"/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BTS - Systèmes constructifs bois et habitat</t>
        </is>
      </c>
      <c r="L1138" s="45" t="inlineStr">
        <is>
          <t>31/12/2030</t>
        </is>
      </c>
      <c r="M1138" s="45" t="inlineStr"/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TP - Métallier</t>
        </is>
      </c>
      <c r="L1139" s="45" t="inlineStr">
        <is>
          <t>31/12/2030</t>
        </is>
      </c>
      <c r="M1139" s="45" t="inlineStr"/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TP - Chef de chantier gros œuvre</t>
        </is>
      </c>
      <c r="L1140" s="45" t="inlineStr">
        <is>
          <t>31/12/2030</t>
        </is>
      </c>
      <c r="M1140" s="45" t="inlineStr"/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TP - Chef d'équipe gros œuvre</t>
        </is>
      </c>
      <c r="L1141" s="45" t="inlineStr">
        <is>
          <t>31/12/2030</t>
        </is>
      </c>
      <c r="M1141" s="45" t="inlineStr"/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TP - Assistant chef de chantier gros œuvre</t>
        </is>
      </c>
      <c r="L1142" s="45" t="inlineStr">
        <is>
          <t>31/12/2030</t>
        </is>
      </c>
      <c r="M1142" s="45" t="inlineStr"/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BTS - Développement et réalisation bois</t>
        </is>
      </c>
      <c r="L1143" s="45" t="inlineStr">
        <is>
          <t>31/12/2030</t>
        </is>
      </c>
      <c r="M1143" s="45" t="inlineStr"/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31/12/2030</t>
        </is>
      </c>
      <c r="M1144" s="45" t="inlineStr"/>
      <c r="N1144" s="50" t="inlineStr">
        <is>
          <t>NON</t>
        </is>
      </c>
      <c r="O1144" s="45" t="inlineStr"/>
    </row>
    <row r="1145" customFormat="1" s="3">
      <c r="A1145" s="45" t="n"/>
      <c r="B1145" s="46" t="inlineStr">
        <is>
          <t>22374</t>
        </is>
      </c>
      <c r="C1145" s="46">
        <f>LEFT(Tableau1[[#This Row],[Formacode]],3)</f>
        <v/>
      </c>
      <c r="D1145" s="47" t="n">
        <v>40217</v>
      </c>
      <c r="E1145" s="48">
        <f>"RNCP"&amp;D1145</f>
        <v/>
      </c>
      <c r="F1145" s="48" t="inlineStr">
        <is>
          <t>TP - Conducteur de travaux du bâtiment et du génie civil</t>
        </is>
      </c>
      <c r="G1145" s="49">
        <f>E1145&amp;" - "&amp;F1145</f>
        <v/>
      </c>
      <c r="H1145" s="36" t="inlineStr">
        <is>
          <t>RAS</t>
        </is>
      </c>
      <c r="I1145" s="45" t="inlineStr"/>
      <c r="J1145" s="45" t="inlineStr">
        <is>
          <t>RNCP40217</t>
        </is>
      </c>
      <c r="K1145" s="45" t="inlineStr">
        <is>
          <t>TP - Conducteur de travaux du bâtiment et du génie civil</t>
        </is>
      </c>
      <c r="L1145" s="45" t="inlineStr">
        <is>
          <t>31/12/2030</t>
        </is>
      </c>
      <c r="M1145" s="45" t="inlineStr"/>
      <c r="N1145" s="50" t="inlineStr">
        <is>
          <t>NON</t>
        </is>
      </c>
      <c r="O1145" s="45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CAP - Constructeur d'ouvrages en béton armé</t>
        </is>
      </c>
      <c r="L1146" s="45" t="inlineStr">
        <is>
          <t>31/12/2030</t>
        </is>
      </c>
      <c r="M1146" s="45" t="inlineStr"/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31/12/2030</t>
        </is>
      </c>
      <c r="M1147" s="45" t="inlineStr"/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TP - Technicien d'études en construction bois</t>
        </is>
      </c>
      <c r="L1148" s="45" t="inlineStr">
        <is>
          <t>31/12/2030</t>
        </is>
      </c>
      <c r="M1148" s="45" t="inlineStr"/>
      <c r="N1148" s="50" t="inlineStr">
        <is>
          <t>NON</t>
        </is>
      </c>
      <c r="O1148" s="45" t="inlineStr"/>
    </row>
    <row r="1149" customFormat="1" s="3">
      <c r="A1149" s="45" t="n"/>
      <c r="B1149" s="46" t="inlineStr">
        <is>
          <t>22411</t>
        </is>
      </c>
      <c r="C1149" s="46">
        <f>LEFT(Tableau1[[#This Row],[Formacode]],3)</f>
        <v/>
      </c>
      <c r="D1149" s="47" t="n">
        <v>35723</v>
      </c>
      <c r="E1149" s="48">
        <f>"RNCP"&amp;D1149</f>
        <v/>
      </c>
      <c r="F1149" s="48" t="inlineStr">
        <is>
          <t>TP - Monteur en calorifuge industriel</t>
        </is>
      </c>
      <c r="G1149" s="49">
        <f>E1149&amp;" - "&amp;F1149</f>
        <v/>
      </c>
      <c r="H1149" s="36" t="inlineStr">
        <is>
          <t>RAS</t>
        </is>
      </c>
      <c r="I1149" s="45" t="inlineStr"/>
      <c r="J1149" s="45" t="inlineStr">
        <is>
          <t>RNCP35723</t>
        </is>
      </c>
      <c r="K1149" s="45" t="inlineStr">
        <is>
          <t>TP - Monteur en calorifuge industriel</t>
        </is>
      </c>
      <c r="L1149" s="45" t="inlineStr">
        <is>
          <t>31/12/2030</t>
        </is>
      </c>
      <c r="M1149" s="45" t="inlineStr"/>
      <c r="N1149" s="50" t="inlineStr">
        <is>
          <t>NON</t>
        </is>
      </c>
      <c r="O1149" s="45" t="inlineStr"/>
    </row>
    <row r="1150" customFormat="1" s="3">
      <c r="A1150" s="45" t="n"/>
      <c r="B1150" s="46" t="inlineStr">
        <is>
          <t>22411</t>
        </is>
      </c>
      <c r="C1150" s="46">
        <f>LEFT(Tableau1[[#This Row],[Formacode]],3)</f>
        <v/>
      </c>
      <c r="D1150" s="47" t="n">
        <v>35809</v>
      </c>
      <c r="E1150" s="48">
        <f>"RNCP"&amp;D1150</f>
        <v/>
      </c>
      <c r="F1150" s="48" t="inlineStr">
        <is>
          <t>BTS - Finition, aménagement des bâtiments : conception et réalisation</t>
        </is>
      </c>
      <c r="G1150" s="49">
        <f>E1150&amp;" - "&amp;F1150</f>
        <v/>
      </c>
      <c r="H1150" s="36" t="inlineStr">
        <is>
          <t>RAS</t>
        </is>
      </c>
      <c r="I1150" s="45" t="inlineStr"/>
      <c r="J1150" s="45" t="inlineStr">
        <is>
          <t>RNCP35809</t>
        </is>
      </c>
      <c r="K1150" s="45" t="inlineStr">
        <is>
          <t>BTS - Finition, aménagement des bâtiments : conception et réalisation</t>
        </is>
      </c>
      <c r="L1150" s="45" t="inlineStr">
        <is>
          <t>31/12/2030</t>
        </is>
      </c>
      <c r="M1150" s="45" t="inlineStr"/>
      <c r="N1150" s="50" t="inlineStr">
        <is>
          <t>NON</t>
        </is>
      </c>
      <c r="O1150" s="45" t="inlineStr"/>
    </row>
    <row r="1151" customFormat="1" s="3">
      <c r="A1151" s="45" t="n"/>
      <c r="B1151" s="46" t="inlineStr">
        <is>
          <t>22411</t>
        </is>
      </c>
      <c r="C1151" s="46">
        <f>LEFT(Tableau1[[#This Row],[Formacode]],3)</f>
        <v/>
      </c>
      <c r="D1151" s="47" t="n">
        <v>35889</v>
      </c>
      <c r="E1151" s="48">
        <f>"RNCP"&amp;D1151</f>
        <v/>
      </c>
      <c r="F1151" s="48" t="inlineStr">
        <is>
          <t>CAP - Couvreur</t>
        </is>
      </c>
      <c r="G1151" s="49">
        <f>E1151&amp;" - "&amp;F1151</f>
        <v/>
      </c>
      <c r="H1151" s="36" t="inlineStr">
        <is>
          <t>RAS</t>
        </is>
      </c>
      <c r="I1151" s="45" t="inlineStr"/>
      <c r="J1151" s="45" t="inlineStr">
        <is>
          <t>RNCP35889</t>
        </is>
      </c>
      <c r="K1151" s="45" t="inlineStr">
        <is>
          <t>CAP - Couvreur</t>
        </is>
      </c>
      <c r="L1151" s="45" t="inlineStr">
        <is>
          <t>31/12/2030</t>
        </is>
      </c>
      <c r="M1151" s="45" t="inlineStr"/>
      <c r="N1151" s="50" t="inlineStr">
        <is>
          <t>NON</t>
        </is>
      </c>
      <c r="O1151" s="45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TP - Couvreur-zingueur</t>
        </is>
      </c>
      <c r="L1152" s="45" t="inlineStr">
        <is>
          <t>31/12/2030</t>
        </is>
      </c>
      <c r="M1152" s="45" t="inlineStr"/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31/12/2030</t>
        </is>
      </c>
      <c r="M1153" s="45" t="inlineStr"/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31/12/2030</t>
        </is>
      </c>
      <c r="M1154" s="45" t="inlineStr"/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BTS - Enveloppe des bâtiments : conception et réalisation</t>
        </is>
      </c>
      <c r="L1155" s="45" t="inlineStr">
        <is>
          <t>31/12/2030</t>
        </is>
      </c>
      <c r="M1155" s="45" t="inlineStr"/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TP - Etancheur toiture bâtiment</t>
        </is>
      </c>
      <c r="L1156" s="45" t="inlineStr">
        <is>
          <t>31/12/2030</t>
        </is>
      </c>
      <c r="M1156" s="45" t="inlineStr"/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CAP - Etancheur du bâtiment et des travaux publics</t>
        </is>
      </c>
      <c r="L1157" s="45" t="inlineStr">
        <is>
          <t>31/12/2030</t>
        </is>
      </c>
      <c r="M1157" s="45" t="inlineStr"/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CAP - Menuisier aluminium-verre</t>
        </is>
      </c>
      <c r="L1158" s="45" t="inlineStr">
        <is>
          <t>31/12/2030</t>
        </is>
      </c>
      <c r="M1158" s="45" t="inlineStr"/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CS - Zingueur</t>
        </is>
      </c>
      <c r="L1159" s="45" t="inlineStr">
        <is>
          <t>31/12/2030</t>
        </is>
      </c>
      <c r="M1159" s="45" t="inlineStr"/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BAC PRO - Aménagement et finition du bâtiment</t>
        </is>
      </c>
      <c r="L1160" s="45" t="inlineStr">
        <is>
          <t>31/12/2030</t>
        </is>
      </c>
      <c r="M1160" s="45" t="inlineStr"/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BP - Etanchéité du bâtiment et des travaux publics</t>
        </is>
      </c>
      <c r="L1161" s="45" t="inlineStr">
        <is>
          <t>31/12/2030</t>
        </is>
      </c>
      <c r="M1161" s="45" t="inlineStr"/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BTS - Etude et réalisation d'agencement</t>
        </is>
      </c>
      <c r="L1162" s="45" t="inlineStr">
        <is>
          <t>31/12/2030</t>
        </is>
      </c>
      <c r="M1162" s="45" t="inlineStr"/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TP - Conducteur de travaux aménagement finitions</t>
        </is>
      </c>
      <c r="L1163" s="45" t="inlineStr">
        <is>
          <t>31/12/2030</t>
        </is>
      </c>
      <c r="M1163" s="45" t="inlineStr"/>
      <c r="N1163" s="50" t="inlineStr">
        <is>
          <t>NON</t>
        </is>
      </c>
      <c r="O1163" s="45" t="inlineStr"/>
    </row>
    <row r="1164" customFormat="1" s="3">
      <c r="A1164" s="45" t="n"/>
      <c r="B1164" s="46" t="inlineStr">
        <is>
          <t>22411</t>
        </is>
      </c>
      <c r="C1164" s="46">
        <f>LEFT(Tableau1[[#This Row],[Formacode]],3)</f>
        <v/>
      </c>
      <c r="D1164" s="47" t="n">
        <v>38725</v>
      </c>
      <c r="E1164" s="48">
        <f>"RNCP"&amp;D1164</f>
        <v/>
      </c>
      <c r="F1164" s="48" t="inlineStr">
        <is>
          <t>BP - Couvreur</t>
        </is>
      </c>
      <c r="G1164" s="49">
        <f>E1164&amp;" - "&amp;F1164</f>
        <v/>
      </c>
      <c r="H1164" s="36" t="inlineStr">
        <is>
          <t>RAS</t>
        </is>
      </c>
      <c r="I1164" s="45" t="inlineStr"/>
      <c r="J1164" s="45" t="inlineStr">
        <is>
          <t>RNCP38725</t>
        </is>
      </c>
      <c r="K1164" s="45" t="inlineStr">
        <is>
          <t>BP - Couvreur</t>
        </is>
      </c>
      <c r="L1164" s="45" t="inlineStr">
        <is>
          <t>31/12/2030</t>
        </is>
      </c>
      <c r="M1164" s="45" t="inlineStr"/>
      <c r="N1164" s="50" t="inlineStr">
        <is>
          <t>NON</t>
        </is>
      </c>
      <c r="O1164" s="45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TP - Chef de chantier aménagement finitions</t>
        </is>
      </c>
      <c r="L1165" s="45" t="inlineStr">
        <is>
          <t>31/12/2030</t>
        </is>
      </c>
      <c r="M1165" s="45" t="inlineStr"/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TP - Chef d'équipe en aménagement finitions</t>
        </is>
      </c>
      <c r="L1166" s="45" t="inlineStr">
        <is>
          <t>31/12/2030</t>
        </is>
      </c>
      <c r="M1166" s="45" t="inlineStr"/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CAP - Métiers du plâtre et de l'isolation</t>
        </is>
      </c>
      <c r="L1167" s="45" t="inlineStr">
        <is>
          <t>31/12/2030</t>
        </is>
      </c>
      <c r="M1167" s="45" t="inlineStr"/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31/12/2030</t>
        </is>
      </c>
      <c r="M1168" s="45" t="inlineStr"/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31/12/2030</t>
        </is>
      </c>
      <c r="M1169" s="45" t="inlineStr"/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31/12/2030</t>
        </is>
      </c>
      <c r="M1170" s="45" t="inlineStr"/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BAC PRO - Menuiserie Aluminium- Verre</t>
        </is>
      </c>
      <c r="L1171" s="45" t="inlineStr">
        <is>
          <t>31/12/2030</t>
        </is>
      </c>
      <c r="M1171" s="45" t="inlineStr"/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TP - Peintre façadier itéiste</t>
        </is>
      </c>
      <c r="L1172" s="45" t="inlineStr">
        <is>
          <t>31/12/2030</t>
        </is>
      </c>
      <c r="M1172" s="45" t="inlineStr"/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31/12/2030</t>
        </is>
      </c>
      <c r="M1173" s="45" t="inlineStr"/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BAC PRO - Interventions sur le patrimoine bâti - Options maçonnerie, charpente, couverture</t>
        </is>
      </c>
      <c r="L1174" s="45" t="inlineStr">
        <is>
          <t>31/12/2030</t>
        </is>
      </c>
      <c r="M1174" s="45" t="inlineStr"/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31/12/2030</t>
        </is>
      </c>
      <c r="M1175" s="45" t="inlineStr"/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31/12/2030</t>
        </is>
      </c>
      <c r="M1176" s="45" t="inlineStr"/>
      <c r="N1176" s="50" t="inlineStr">
        <is>
          <t>NON</t>
        </is>
      </c>
      <c r="O1176" s="45" t="inlineStr"/>
    </row>
    <row r="1177" customFormat="1" s="3">
      <c r="A1177" s="45" t="n"/>
      <c r="B1177" s="46" t="inlineStr">
        <is>
          <t>22435</t>
        </is>
      </c>
      <c r="C1177" s="46">
        <f>LEFT(Tableau1[[#This Row],[Formacode]],3)</f>
        <v/>
      </c>
      <c r="D1177" s="47" t="n">
        <v>35809</v>
      </c>
      <c r="E1177" s="48">
        <f>"RNCP"&amp;D1177</f>
        <v/>
      </c>
      <c r="F1177" s="48" t="inlineStr">
        <is>
          <t>BTS - Finition, aménagement des bâtiments : conception et réalisation</t>
        </is>
      </c>
      <c r="G1177" s="49">
        <f>E1177&amp;" - "&amp;F1177</f>
        <v/>
      </c>
      <c r="H1177" s="36" t="inlineStr">
        <is>
          <t>RAS</t>
        </is>
      </c>
      <c r="I1177" s="45" t="inlineStr"/>
      <c r="J1177" s="45" t="inlineStr">
        <is>
          <t>RNCP35809</t>
        </is>
      </c>
      <c r="K1177" s="45" t="inlineStr">
        <is>
          <t>BTS - Finition, aménagement des bâtiments : conception et réalisation</t>
        </is>
      </c>
      <c r="L1177" s="45" t="inlineStr">
        <is>
          <t>31/12/2030</t>
        </is>
      </c>
      <c r="M1177" s="45" t="inlineStr"/>
      <c r="N1177" s="50" t="inlineStr">
        <is>
          <t>NON</t>
        </is>
      </c>
      <c r="O1177" s="45" t="inlineStr"/>
    </row>
    <row r="1178" customFormat="1" s="3">
      <c r="A1178" s="45" t="n"/>
      <c r="B1178" s="46" t="inlineStr">
        <is>
          <t>22435</t>
        </is>
      </c>
      <c r="C1178" s="46">
        <f>LEFT(Tableau1[[#This Row],[Formacode]],3)</f>
        <v/>
      </c>
      <c r="D1178" s="47" t="n">
        <v>35823</v>
      </c>
      <c r="E1178" s="48">
        <f>"RNCP"&amp;D1178</f>
        <v/>
      </c>
      <c r="F1178" s="48" t="inlineStr">
        <is>
          <t>TP - Menuisier de fabrication bois et dérivés</t>
        </is>
      </c>
      <c r="G1178" s="49">
        <f>E1178&amp;" - "&amp;F1178</f>
        <v/>
      </c>
      <c r="H1178" s="36" t="inlineStr">
        <is>
          <t>RAS</t>
        </is>
      </c>
      <c r="I1178" s="45" t="inlineStr"/>
      <c r="J1178" s="45" t="inlineStr">
        <is>
          <t>RNCP35823</t>
        </is>
      </c>
      <c r="K1178" s="45" t="inlineStr">
        <is>
          <t>TP - Menuisier de fabrication bois et dérivés</t>
        </is>
      </c>
      <c r="L1178" s="45" t="inlineStr">
        <is>
          <t>31/12/2030</t>
        </is>
      </c>
      <c r="M1178" s="45" t="inlineStr"/>
      <c r="N1178" s="50" t="inlineStr">
        <is>
          <t>NON</t>
        </is>
      </c>
      <c r="O1178" s="45" t="inlineStr"/>
    </row>
    <row r="1179" customFormat="1" s="3">
      <c r="A1179" s="45" t="n"/>
      <c r="B1179" s="46" t="inlineStr">
        <is>
          <t>22435</t>
        </is>
      </c>
      <c r="C1179" s="46">
        <f>LEFT(Tableau1[[#This Row],[Formacode]],3)</f>
        <v/>
      </c>
      <c r="D1179" s="47" t="n">
        <v>35974</v>
      </c>
      <c r="E1179" s="48">
        <f>"RNCP"&amp;D1179</f>
        <v/>
      </c>
      <c r="F1179" s="48" t="inlineStr">
        <is>
          <t>CAP - Menuisier installateur</t>
        </is>
      </c>
      <c r="G1179" s="49">
        <f>E1179&amp;" - "&amp;F1179</f>
        <v/>
      </c>
      <c r="H1179" s="36" t="inlineStr">
        <is>
          <t>RAS</t>
        </is>
      </c>
      <c r="I1179" s="45" t="inlineStr"/>
      <c r="J1179" s="45" t="inlineStr">
        <is>
          <t>RNCP35974</t>
        </is>
      </c>
      <c r="K1179" s="45" t="inlineStr">
        <is>
          <t>CAP - Menuisier installateur</t>
        </is>
      </c>
      <c r="L1179" s="45" t="inlineStr">
        <is>
          <t>31/12/2030</t>
        </is>
      </c>
      <c r="M1179" s="45" t="inlineStr"/>
      <c r="N1179" s="50" t="inlineStr">
        <is>
          <t>NON</t>
        </is>
      </c>
      <c r="O1179" s="45" t="inlineStr"/>
    </row>
    <row r="1180" customFormat="1" s="3">
      <c r="A1180" s="45" t="n"/>
      <c r="B1180" s="46" t="inlineStr">
        <is>
          <t>22435</t>
        </is>
      </c>
      <c r="C1180" s="46">
        <f>LEFT(Tableau1[[#This Row],[Formacode]],3)</f>
        <v/>
      </c>
      <c r="D1180" s="47" t="n">
        <v>36112</v>
      </c>
      <c r="E1180" s="48">
        <f>"RNCP"&amp;D1180</f>
        <v/>
      </c>
      <c r="F1180" s="48" t="inlineStr">
        <is>
          <t>CAP - Menuisier fabricant</t>
        </is>
      </c>
      <c r="G1180" s="49">
        <f>E1180&amp;" - "&amp;F1180</f>
        <v/>
      </c>
      <c r="H1180" s="36" t="inlineStr">
        <is>
          <t>RAS</t>
        </is>
      </c>
      <c r="I1180" s="45" t="inlineStr"/>
      <c r="J1180" s="45" t="inlineStr">
        <is>
          <t>RNCP36112</t>
        </is>
      </c>
      <c r="K1180" s="45" t="inlineStr">
        <is>
          <t>CAP - Menuisier fabricant</t>
        </is>
      </c>
      <c r="L1180" s="45" t="inlineStr">
        <is>
          <t>31/12/2030</t>
        </is>
      </c>
      <c r="M1180" s="45" t="inlineStr"/>
      <c r="N1180" s="50" t="inlineStr">
        <is>
          <t>NON</t>
        </is>
      </c>
      <c r="O1180" s="45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TP - Technicien d'études en agencement intérieur</t>
        </is>
      </c>
      <c r="L1181" s="45" t="inlineStr">
        <is>
          <t>31/12/2030</t>
        </is>
      </c>
      <c r="M1181" s="45" t="inlineStr"/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TP - Menuisier agenceur</t>
        </is>
      </c>
      <c r="L1182" s="45" t="inlineStr">
        <is>
          <t>31/12/2030</t>
        </is>
      </c>
      <c r="M1182" s="45" t="inlineStr"/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TP - Menuisier installateur</t>
        </is>
      </c>
      <c r="L1183" s="45" t="inlineStr">
        <is>
          <t>31/12/2030</t>
        </is>
      </c>
      <c r="M1183" s="45" t="inlineStr"/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BAC PRO - Technicien fabrication bois et matériaux associés</t>
        </is>
      </c>
      <c r="L1184" s="45" t="inlineStr">
        <is>
          <t>31/12/2030</t>
        </is>
      </c>
      <c r="M1184" s="45" t="inlineStr"/>
      <c r="N1184" s="50" t="inlineStr">
        <is>
          <t>NON</t>
        </is>
      </c>
      <c r="O1184" s="45" t="inlineStr"/>
    </row>
    <row r="1185" customFormat="1" s="3">
      <c r="A1185" s="45" t="n"/>
      <c r="B1185" s="46" t="inlineStr">
        <is>
          <t>22435</t>
        </is>
      </c>
      <c r="C1185" s="46">
        <f>LEFT(Tableau1[[#This Row],[Formacode]],3)</f>
        <v/>
      </c>
      <c r="D1185" s="47" t="n">
        <v>37911</v>
      </c>
      <c r="E1185" s="48">
        <f>"RNCP"&amp;D1185</f>
        <v/>
      </c>
      <c r="F1185" s="48" t="inlineStr">
        <is>
          <t>BAC PRO - Etude et réalisation d'agencement</t>
        </is>
      </c>
      <c r="G1185" s="49">
        <f>E1185&amp;" - "&amp;F1185</f>
        <v/>
      </c>
      <c r="H1185" s="36" t="inlineStr">
        <is>
          <t>RAS</t>
        </is>
      </c>
      <c r="I1185" s="45" t="inlineStr"/>
      <c r="J1185" s="45" t="inlineStr">
        <is>
          <t>RNCP37911</t>
        </is>
      </c>
      <c r="K1185" s="45" t="inlineStr">
        <is>
          <t>BAC PRO - Etude et réalisation d'agencement</t>
        </is>
      </c>
      <c r="L1185" s="45" t="inlineStr">
        <is>
          <t>31/12/2030</t>
        </is>
      </c>
      <c r="M1185" s="45" t="inlineStr"/>
      <c r="N1185" s="50" t="inlineStr">
        <is>
          <t>NON</t>
        </is>
      </c>
      <c r="O1185" s="45" t="inlineStr"/>
    </row>
    <row r="1186" customFormat="1" s="3">
      <c r="A1186" s="45" t="n"/>
      <c r="B1186" s="46" t="inlineStr">
        <is>
          <t>22435</t>
        </is>
      </c>
      <c r="C1186" s="46">
        <f>LEFT(Tableau1[[#This Row],[Formacode]],3)</f>
        <v/>
      </c>
      <c r="D1186" s="47" t="n">
        <v>37917</v>
      </c>
      <c r="E1186" s="48">
        <f>"RNCP"&amp;D1186</f>
        <v/>
      </c>
      <c r="F1186" s="48" t="inlineStr">
        <is>
          <t>BAC PRO - Technicien menuisier agenceur</t>
        </is>
      </c>
      <c r="G1186" s="49">
        <f>E1186&amp;" - "&amp;F1186</f>
        <v/>
      </c>
      <c r="H1186" s="36" t="inlineStr">
        <is>
          <t>RAS</t>
        </is>
      </c>
      <c r="I1186" s="45" t="inlineStr"/>
      <c r="J1186" s="45" t="inlineStr">
        <is>
          <t>RNCP37917</t>
        </is>
      </c>
      <c r="K1186" s="45" t="inlineStr">
        <is>
          <t>BAC PRO - Technicien menuisier agenceur</t>
        </is>
      </c>
      <c r="L1186" s="45" t="inlineStr">
        <is>
          <t>31/12/2030</t>
        </is>
      </c>
      <c r="M1186" s="45" t="inlineStr"/>
      <c r="N1186" s="50" t="inlineStr">
        <is>
          <t>NON</t>
        </is>
      </c>
      <c r="O1186" s="45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BTS - Etude et réalisation d'agencement</t>
        </is>
      </c>
      <c r="L1187" s="45" t="inlineStr">
        <is>
          <t>31/12/2030</t>
        </is>
      </c>
      <c r="M1187" s="45" t="inlineStr"/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BP - Menuisier aluminium-verre</t>
        </is>
      </c>
      <c r="L1188" s="45" t="inlineStr">
        <is>
          <t>31/12/2030</t>
        </is>
      </c>
      <c r="M1188" s="45" t="inlineStr"/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TP - Chef de chantier aménagement finitions</t>
        </is>
      </c>
      <c r="L1189" s="45" t="inlineStr">
        <is>
          <t>31/12/2030</t>
        </is>
      </c>
      <c r="M1189" s="45" t="inlineStr"/>
      <c r="N1189" s="50" t="inlineStr">
        <is>
          <t>NON</t>
        </is>
      </c>
      <c r="O1189" s="45" t="inlineStr"/>
    </row>
    <row r="1190" customFormat="1" s="3">
      <c r="A1190" s="45" t="n"/>
      <c r="B1190" s="46" t="inlineStr">
        <is>
          <t>22435</t>
        </is>
      </c>
      <c r="C1190" s="46">
        <f>LEFT(Tableau1[[#This Row],[Formacode]],3)</f>
        <v/>
      </c>
      <c r="D1190" s="47" t="n">
        <v>38784</v>
      </c>
      <c r="E1190" s="48">
        <f>"RNCP"&amp;D1190</f>
        <v/>
      </c>
      <c r="F1190" s="48" t="inlineStr">
        <is>
          <t>CQP Assembleur-monteur de menuiseries extérieures en plasturgie</t>
        </is>
      </c>
      <c r="G1190" s="49">
        <f>E1190&amp;" - "&amp;F1190</f>
        <v/>
      </c>
      <c r="H1190" s="36" t="inlineStr">
        <is>
          <t>RAS</t>
        </is>
      </c>
      <c r="I1190" s="45" t="inlineStr"/>
      <c r="J1190" s="45" t="inlineStr">
        <is>
          <t>RNCP38784</t>
        </is>
      </c>
      <c r="K1190" s="45" t="inlineStr">
        <is>
          <t>CQP Assembleur-monteur de menuiseries extérieures en plasturgie</t>
        </is>
      </c>
      <c r="L1190" s="45" t="inlineStr">
        <is>
          <t>31/12/2030</t>
        </is>
      </c>
      <c r="M1190" s="45" t="inlineStr"/>
      <c r="N1190" s="50" t="inlineStr">
        <is>
          <t>NON</t>
        </is>
      </c>
      <c r="O1190" s="45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BTS - Développement et réalisation bois</t>
        </is>
      </c>
      <c r="L1191" s="45" t="inlineStr">
        <is>
          <t>31/12/2030</t>
        </is>
      </c>
      <c r="M1191" s="45" t="inlineStr"/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31/12/2030</t>
        </is>
      </c>
      <c r="M1192" s="45" t="inlineStr"/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31/12/2030</t>
        </is>
      </c>
      <c r="M1193" s="45" t="inlineStr"/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31/12/2030</t>
        </is>
      </c>
      <c r="M1194" s="45" t="inlineStr"/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CAP - Menuisier en sièges</t>
        </is>
      </c>
      <c r="L1195" s="45" t="inlineStr">
        <is>
          <t>31/12/2030</t>
        </is>
      </c>
      <c r="M1195" s="45" t="inlineStr"/>
      <c r="N1195" s="50" t="inlineStr">
        <is>
          <t>NON</t>
        </is>
      </c>
      <c r="O1195" s="45" t="inlineStr"/>
    </row>
    <row r="1196" customFormat="1" s="3">
      <c r="A1196" s="45" t="n"/>
      <c r="B1196" s="46" t="inlineStr">
        <is>
          <t>22435</t>
        </is>
      </c>
      <c r="C1196" s="46">
        <f>LEFT(Tableau1[[#This Row],[Formacode]],3)</f>
        <v/>
      </c>
      <c r="D1196" s="47" t="n">
        <v>40003</v>
      </c>
      <c r="E1196" s="48">
        <f>"RNCP"&amp;D1196</f>
        <v/>
      </c>
      <c r="F1196" s="48" t="inlineStr">
        <is>
          <t>Décorateur</t>
        </is>
      </c>
      <c r="G1196" s="49">
        <f>E1196&amp;" - "&amp;F1196</f>
        <v/>
      </c>
      <c r="H1196" s="36" t="inlineStr">
        <is>
          <t>RAS</t>
        </is>
      </c>
      <c r="I1196" s="45" t="inlineStr"/>
      <c r="J1196" s="45" t="inlineStr">
        <is>
          <t>RNCP40003</t>
        </is>
      </c>
      <c r="K1196" s="45" t="inlineStr">
        <is>
          <t>Décorateur</t>
        </is>
      </c>
      <c r="L1196" s="45" t="inlineStr">
        <is>
          <t>31/12/2030</t>
        </is>
      </c>
      <c r="M1196" s="45" t="inlineStr"/>
      <c r="N1196" s="50" t="inlineStr">
        <is>
          <t>NON</t>
        </is>
      </c>
      <c r="O1196" s="45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31/12/2030</t>
        </is>
      </c>
      <c r="M1197" s="45" t="inlineStr"/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31/12/2030</t>
        </is>
      </c>
      <c r="M1198" s="45" t="inlineStr"/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31/12/2030</t>
        </is>
      </c>
      <c r="M1199" s="45" t="inlineStr"/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BP - Menuisier</t>
        </is>
      </c>
      <c r="L1200" s="45" t="inlineStr">
        <is>
          <t>31/12/2030</t>
        </is>
      </c>
      <c r="M1200" s="45" t="inlineStr"/>
      <c r="N1200" s="50" t="inlineStr">
        <is>
          <t>NON</t>
        </is>
      </c>
      <c r="O1200" s="45" t="inlineStr"/>
    </row>
    <row r="1201" customFormat="1" s="3">
      <c r="A1201" s="45" t="n"/>
      <c r="B1201" s="46" t="inlineStr">
        <is>
          <t>22441</t>
        </is>
      </c>
      <c r="C1201" s="46">
        <f>LEFT(Tableau1[[#This Row],[Formacode]],3)</f>
        <v/>
      </c>
      <c r="D1201" s="47" t="n">
        <v>35809</v>
      </c>
      <c r="E1201" s="48">
        <f>"RNCP"&amp;D1201</f>
        <v/>
      </c>
      <c r="F1201" s="48" t="inlineStr">
        <is>
          <t>BTS - Finition, aménagement des bâtiments : conception et réalisation</t>
        </is>
      </c>
      <c r="G1201" s="49">
        <f>E1201&amp;" - "&amp;F1201</f>
        <v/>
      </c>
      <c r="H1201" s="36" t="inlineStr">
        <is>
          <t>RAS</t>
        </is>
      </c>
      <c r="I1201" s="45" t="inlineStr"/>
      <c r="J1201" s="45" t="inlineStr">
        <is>
          <t>RNCP35809</t>
        </is>
      </c>
      <c r="K1201" s="45" t="inlineStr">
        <is>
          <t>BTS - Finition, aménagement des bâtiments : conception et réalisation</t>
        </is>
      </c>
      <c r="L1201" s="45" t="inlineStr">
        <is>
          <t>31/12/2030</t>
        </is>
      </c>
      <c r="M1201" s="45" t="inlineStr"/>
      <c r="N1201" s="50" t="inlineStr">
        <is>
          <t>NON</t>
        </is>
      </c>
      <c r="O1201" s="45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CAP - Signalétique et décors graphiques</t>
        </is>
      </c>
      <c r="L1202" s="45" t="inlineStr">
        <is>
          <t>31/12/2030</t>
        </is>
      </c>
      <c r="M1202" s="45" t="inlineStr"/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BTS - Etude et réalisation d'agencement</t>
        </is>
      </c>
      <c r="L1203" s="45" t="inlineStr">
        <is>
          <t>31/12/2030</t>
        </is>
      </c>
      <c r="M1203" s="45" t="inlineStr"/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TP - Chef de chantier aménagement finitions</t>
        </is>
      </c>
      <c r="L1204" s="45" t="inlineStr">
        <is>
          <t>31/12/2030</t>
        </is>
      </c>
      <c r="M1204" s="45" t="inlineStr"/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31/12/2030</t>
        </is>
      </c>
      <c r="M1205" s="45" t="inlineStr"/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31/12/2030</t>
        </is>
      </c>
      <c r="M1206" s="45" t="inlineStr"/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CAP - Métiers de l'enseigne et de la signalétique</t>
        </is>
      </c>
      <c r="L1207" s="45" t="inlineStr">
        <is>
          <t>31/12/2030</t>
        </is>
      </c>
      <c r="M1207" s="45" t="inlineStr"/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CAP - Souffleur de verre options Enseigne lumineuse et Verrerie scientifique</t>
        </is>
      </c>
      <c r="L1208" s="45" t="inlineStr">
        <is>
          <t>31/12/2030</t>
        </is>
      </c>
      <c r="M1208" s="45" t="inlineStr"/>
      <c r="N1208" s="50" t="inlineStr">
        <is>
          <t>NON</t>
        </is>
      </c>
      <c r="O1208" s="45" t="inlineStr"/>
    </row>
    <row r="1209" customFormat="1" s="3">
      <c r="A1209" s="45" t="n"/>
      <c r="B1209" s="46" t="inlineStr">
        <is>
          <t>22442</t>
        </is>
      </c>
      <c r="C1209" s="46">
        <f>LEFT(Tableau1[[#This Row],[Formacode]],3)</f>
        <v/>
      </c>
      <c r="D1209" s="47" t="n">
        <v>35509</v>
      </c>
      <c r="E1209" s="48">
        <f>"RNCP"&amp;D1209</f>
        <v/>
      </c>
      <c r="F1209" s="48" t="inlineStr">
        <is>
          <t>TP - Carreleur-chapiste</t>
        </is>
      </c>
      <c r="G1209" s="49">
        <f>E1209&amp;" - "&amp;F1209</f>
        <v/>
      </c>
      <c r="H1209" s="36" t="inlineStr">
        <is>
          <t>RAS</t>
        </is>
      </c>
      <c r="I1209" s="45" t="inlineStr"/>
      <c r="J1209" s="45" t="inlineStr">
        <is>
          <t>RNCP35509</t>
        </is>
      </c>
      <c r="K1209" s="45" t="inlineStr">
        <is>
          <t>TP - Carreleur-chapiste</t>
        </is>
      </c>
      <c r="L1209" s="45" t="inlineStr">
        <is>
          <t>31/12/2030</t>
        </is>
      </c>
      <c r="M1209" s="45" t="inlineStr"/>
      <c r="N1209" s="50" t="inlineStr">
        <is>
          <t>NON</t>
        </is>
      </c>
      <c r="O1209" s="45" t="inlineStr"/>
    </row>
    <row r="1210" customFormat="1" s="3">
      <c r="A1210" s="45" t="n"/>
      <c r="B1210" s="46" t="inlineStr">
        <is>
          <t>22442</t>
        </is>
      </c>
      <c r="C1210" s="46">
        <f>LEFT(Tableau1[[#This Row],[Formacode]],3)</f>
        <v/>
      </c>
      <c r="D1210" s="47" t="n">
        <v>35809</v>
      </c>
      <c r="E1210" s="48">
        <f>"RNCP"&amp;D1210</f>
        <v/>
      </c>
      <c r="F1210" s="48" t="inlineStr">
        <is>
          <t>BTS - Finition, aménagement des bâtiments : conception et réalisation</t>
        </is>
      </c>
      <c r="G1210" s="49">
        <f>E1210&amp;" - "&amp;F1210</f>
        <v/>
      </c>
      <c r="H1210" s="36" t="inlineStr">
        <is>
          <t>RAS</t>
        </is>
      </c>
      <c r="I1210" s="45" t="inlineStr"/>
      <c r="J1210" s="45" t="inlineStr">
        <is>
          <t>RNCP35809</t>
        </is>
      </c>
      <c r="K1210" s="45" t="inlineStr">
        <is>
          <t>BTS - Finition, aménagement des bâtiments : conception et réalisation</t>
        </is>
      </c>
      <c r="L1210" s="45" t="inlineStr">
        <is>
          <t>31/12/2030</t>
        </is>
      </c>
      <c r="M1210" s="45" t="inlineStr"/>
      <c r="N1210" s="50" t="inlineStr">
        <is>
          <t>NON</t>
        </is>
      </c>
      <c r="O1210" s="45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TP - Peintre en bâtiment</t>
        </is>
      </c>
      <c r="L1211" s="45" t="inlineStr">
        <is>
          <t>31/12/2030</t>
        </is>
      </c>
      <c r="M1211" s="45" t="inlineStr"/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TP - Solier moquettiste</t>
        </is>
      </c>
      <c r="L1212" s="45" t="inlineStr">
        <is>
          <t>31/12/2030</t>
        </is>
      </c>
      <c r="M1212" s="45" t="inlineStr"/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CAP - Staffeur ornemaniste</t>
        </is>
      </c>
      <c r="L1213" s="45" t="inlineStr">
        <is>
          <t>31/12/2030</t>
        </is>
      </c>
      <c r="M1213" s="45" t="inlineStr"/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TP - Plaquiste</t>
        </is>
      </c>
      <c r="L1214" s="45" t="inlineStr">
        <is>
          <t>31/12/2030</t>
        </is>
      </c>
      <c r="M1214" s="45" t="inlineStr"/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TP - Plâtrier traditionnel</t>
        </is>
      </c>
      <c r="L1215" s="45" t="inlineStr">
        <is>
          <t>31/12/2030</t>
        </is>
      </c>
      <c r="M1215" s="45" t="inlineStr"/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CS - Plâtrier</t>
        </is>
      </c>
      <c r="L1216" s="45" t="inlineStr">
        <is>
          <t>31/12/2030</t>
        </is>
      </c>
      <c r="M1216" s="45" t="inlineStr"/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BAC PRO - Aménagement et finition du bâtiment</t>
        </is>
      </c>
      <c r="L1217" s="45" t="inlineStr">
        <is>
          <t>31/12/2030</t>
        </is>
      </c>
      <c r="M1217" s="45" t="inlineStr"/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BP - Carreleur mosaiste</t>
        </is>
      </c>
      <c r="L1218" s="45" t="inlineStr">
        <is>
          <t>31/12/2030</t>
        </is>
      </c>
      <c r="M1218" s="45" t="inlineStr"/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BP - Métiers du plâtre et de l'isolation</t>
        </is>
      </c>
      <c r="L1219" s="45" t="inlineStr">
        <is>
          <t>31/12/2030</t>
        </is>
      </c>
      <c r="M1219" s="45" t="inlineStr"/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BTS - Etude et réalisation d'agencement</t>
        </is>
      </c>
      <c r="L1220" s="45" t="inlineStr">
        <is>
          <t>31/12/2030</t>
        </is>
      </c>
      <c r="M1220" s="45" t="inlineStr"/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TP - Conducteur de travaux aménagement finitions</t>
        </is>
      </c>
      <c r="L1221" s="45" t="inlineStr">
        <is>
          <t>31/12/2030</t>
        </is>
      </c>
      <c r="M1221" s="45" t="inlineStr"/>
      <c r="N1221" s="50" t="inlineStr">
        <is>
          <t>NON</t>
        </is>
      </c>
      <c r="O1221" s="45" t="inlineStr"/>
    </row>
    <row r="1222" customFormat="1" s="3">
      <c r="A1222" s="45" t="n"/>
      <c r="B1222" s="46" t="inlineStr">
        <is>
          <t>22442</t>
        </is>
      </c>
      <c r="C1222" s="46">
        <f>LEFT(Tableau1[[#This Row],[Formacode]],3)</f>
        <v/>
      </c>
      <c r="D1222" s="47" t="n">
        <v>38740</v>
      </c>
      <c r="E1222" s="48">
        <f>"RNCP"&amp;D1222</f>
        <v/>
      </c>
      <c r="F1222" s="48" t="inlineStr">
        <is>
          <t>BP - Peintre applicateur de revêtements</t>
        </is>
      </c>
      <c r="G1222" s="49">
        <f>E1222&amp;" - "&amp;F1222</f>
        <v/>
      </c>
      <c r="H1222" s="36" t="inlineStr">
        <is>
          <t>RAS</t>
        </is>
      </c>
      <c r="I1222" s="45" t="inlineStr"/>
      <c r="J1222" s="45" t="inlineStr">
        <is>
          <t>RNCP38740</t>
        </is>
      </c>
      <c r="K1222" s="45" t="inlineStr">
        <is>
          <t>BP - Peintre applicateur de revêtements</t>
        </is>
      </c>
      <c r="L1222" s="45" t="inlineStr">
        <is>
          <t>31/12/2030</t>
        </is>
      </c>
      <c r="M1222" s="45" t="inlineStr"/>
      <c r="N1222" s="50" t="inlineStr">
        <is>
          <t>NON</t>
        </is>
      </c>
      <c r="O1222" s="45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TP - Chef de chantier aménagement finitions</t>
        </is>
      </c>
      <c r="L1223" s="45" t="inlineStr">
        <is>
          <t>31/12/2030</t>
        </is>
      </c>
      <c r="M1223" s="45" t="inlineStr"/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TP - Chef d'équipe en aménagement finitions</t>
        </is>
      </c>
      <c r="L1224" s="45" t="inlineStr">
        <is>
          <t>31/12/2030</t>
        </is>
      </c>
      <c r="M1224" s="45" t="inlineStr"/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CS - Solier</t>
        </is>
      </c>
      <c r="L1225" s="45" t="inlineStr">
        <is>
          <t>31/12/2030</t>
        </is>
      </c>
      <c r="M1225" s="45" t="inlineStr"/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CAP - Métiers du plâtre et de l'isolation</t>
        </is>
      </c>
      <c r="L1226" s="45" t="inlineStr">
        <is>
          <t>31/12/2030</t>
        </is>
      </c>
      <c r="M1226" s="45" t="inlineStr"/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CAP - Peintre applicateur de revêtements</t>
        </is>
      </c>
      <c r="L1227" s="45" t="inlineStr">
        <is>
          <t>31/12/2030</t>
        </is>
      </c>
      <c r="M1227" s="45" t="inlineStr"/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CAP - Carreleur Mosaïste</t>
        </is>
      </c>
      <c r="L1228" s="45" t="inlineStr">
        <is>
          <t>31/12/2030</t>
        </is>
      </c>
      <c r="M1228" s="45" t="inlineStr"/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31/12/2030</t>
        </is>
      </c>
      <c r="M1229" s="45" t="inlineStr"/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31/12/2030</t>
        </is>
      </c>
      <c r="M1230" s="45" t="inlineStr"/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TP - Plaquiste spécialisé</t>
        </is>
      </c>
      <c r="L1231" s="45" t="inlineStr">
        <is>
          <t>31/12/2030</t>
        </is>
      </c>
      <c r="M1231" s="45" t="inlineStr"/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TP - Peintre décorateur</t>
        </is>
      </c>
      <c r="L1232" s="45" t="inlineStr">
        <is>
          <t>31/12/2030</t>
        </is>
      </c>
      <c r="M1232" s="45" t="inlineStr"/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TP - Peintre applicateur de revêtements techniques</t>
        </is>
      </c>
      <c r="L1233" s="45" t="inlineStr">
        <is>
          <t>31/12/2030</t>
        </is>
      </c>
      <c r="M1233" s="45" t="inlineStr"/>
      <c r="N1233" s="50" t="inlineStr">
        <is>
          <t>NON</t>
        </is>
      </c>
      <c r="O1233" s="45" t="inlineStr"/>
    </row>
    <row r="1234" customFormat="1" s="3">
      <c r="A1234" s="45" t="n"/>
      <c r="B1234" s="46" t="inlineStr">
        <is>
          <t>22478</t>
        </is>
      </c>
      <c r="C1234" s="46">
        <f>LEFT(Tableau1[[#This Row],[Formacode]],3)</f>
        <v/>
      </c>
      <c r="D1234" s="47" t="n">
        <v>35809</v>
      </c>
      <c r="E1234" s="48">
        <f>"RNCP"&amp;D1234</f>
        <v/>
      </c>
      <c r="F1234" s="48" t="inlineStr">
        <is>
          <t>BTS - Finition, aménagement des bâtiments : conception et réalisation</t>
        </is>
      </c>
      <c r="G1234" s="49">
        <f>E1234&amp;" - "&amp;F1234</f>
        <v/>
      </c>
      <c r="H1234" s="36" t="inlineStr">
        <is>
          <t>RAS</t>
        </is>
      </c>
      <c r="I1234" s="45" t="inlineStr"/>
      <c r="J1234" s="45" t="inlineStr">
        <is>
          <t>RNCP35809</t>
        </is>
      </c>
      <c r="K1234" s="45" t="inlineStr">
        <is>
          <t>BTS - Finition, aménagement des bâtiments : conception et réalisation</t>
        </is>
      </c>
      <c r="L1234" s="45" t="inlineStr">
        <is>
          <t>31/12/2030</t>
        </is>
      </c>
      <c r="M1234" s="45" t="inlineStr"/>
      <c r="N1234" s="50" t="inlineStr">
        <is>
          <t>NON</t>
        </is>
      </c>
      <c r="O1234" s="45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TP - Menuisier aluminium</t>
        </is>
      </c>
      <c r="L1235" s="45" t="inlineStr">
        <is>
          <t>31/12/2030</t>
        </is>
      </c>
      <c r="M1235" s="45" t="inlineStr"/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CAP - Menuisier aluminium-verre</t>
        </is>
      </c>
      <c r="L1236" s="45" t="inlineStr">
        <is>
          <t>31/12/2030</t>
        </is>
      </c>
      <c r="M1236" s="45" t="inlineStr"/>
      <c r="N1236" s="50" t="inlineStr">
        <is>
          <t>NON</t>
        </is>
      </c>
      <c r="O1236" s="45" t="inlineStr"/>
    </row>
    <row r="1237" customFormat="1" s="3">
      <c r="A1237" s="45" t="n"/>
      <c r="B1237" s="46" t="inlineStr">
        <is>
          <t>22478</t>
        </is>
      </c>
      <c r="C1237" s="46">
        <f>LEFT(Tableau1[[#This Row],[Formacode]],3)</f>
        <v/>
      </c>
      <c r="D1237" s="47" t="n">
        <v>37897</v>
      </c>
      <c r="E1237" s="48">
        <f>"RNCP"&amp;D1237</f>
        <v/>
      </c>
      <c r="F1237" s="48" t="inlineStr">
        <is>
          <t>CAP - Métallier</t>
        </is>
      </c>
      <c r="G1237" s="49">
        <f>E1237&amp;" - "&amp;F1237</f>
        <v/>
      </c>
      <c r="H1237" s="36" t="inlineStr">
        <is>
          <t>RAS</t>
        </is>
      </c>
      <c r="I1237" s="45" t="inlineStr"/>
      <c r="J1237" s="45" t="inlineStr">
        <is>
          <t>RNCP37897</t>
        </is>
      </c>
      <c r="K1237" s="45" t="inlineStr">
        <is>
          <t>CAP - Métallier</t>
        </is>
      </c>
      <c r="L1237" s="45" t="inlineStr">
        <is>
          <t>31/12/2030</t>
        </is>
      </c>
      <c r="M1237" s="45" t="inlineStr"/>
      <c r="N1237" s="50" t="inlineStr">
        <is>
          <t>NON</t>
        </is>
      </c>
      <c r="O1237" s="45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BTS - Etude et réalisation d'agencement</t>
        </is>
      </c>
      <c r="L1238" s="45" t="inlineStr">
        <is>
          <t>31/12/2030</t>
        </is>
      </c>
      <c r="M1238" s="45" t="inlineStr"/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CAP - Ferronnier d'art</t>
        </is>
      </c>
      <c r="L1239" s="45" t="inlineStr">
        <is>
          <t>31/12/2030</t>
        </is>
      </c>
      <c r="M1239" s="45" t="inlineStr"/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TP - Ferronnier</t>
        </is>
      </c>
      <c r="L1240" s="45" t="inlineStr">
        <is>
          <t>31/12/2030</t>
        </is>
      </c>
      <c r="M1240" s="45" t="inlineStr"/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BP - Métallier</t>
        </is>
      </c>
      <c r="L1241" s="45" t="inlineStr">
        <is>
          <t>31/12/2030</t>
        </is>
      </c>
      <c r="M1241" s="45" t="inlineStr"/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TP - Chef de chantier aménagement finitions</t>
        </is>
      </c>
      <c r="L1242" s="45" t="inlineStr">
        <is>
          <t>31/12/2030</t>
        </is>
      </c>
      <c r="M1242" s="45" t="inlineStr"/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CS - Serrurier</t>
        </is>
      </c>
      <c r="L1243" s="45" t="inlineStr">
        <is>
          <t>31/12/2030</t>
        </is>
      </c>
      <c r="M1243" s="45" t="inlineStr"/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31/12/2030</t>
        </is>
      </c>
      <c r="M1244" s="45" t="inlineStr"/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31/12/2030</t>
        </is>
      </c>
      <c r="M1245" s="45" t="inlineStr"/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BAC PRO - Ouvrages du bâtiment : métallerie</t>
        </is>
      </c>
      <c r="L1246" s="45" t="inlineStr">
        <is>
          <t>31/12/2030</t>
        </is>
      </c>
      <c r="M1246" s="45" t="inlineStr"/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BAC PRO - Menuiserie Aluminium- Verre</t>
        </is>
      </c>
      <c r="L1247" s="45" t="inlineStr">
        <is>
          <t>31/12/2030</t>
        </is>
      </c>
      <c r="M1247" s="45" t="inlineStr"/>
      <c r="N1247" s="50" t="inlineStr">
        <is>
          <t>NON</t>
        </is>
      </c>
      <c r="O1247" s="45" t="inlineStr"/>
    </row>
    <row r="1248" customFormat="1" s="3">
      <c r="A1248" s="45" t="n"/>
      <c r="B1248" s="46" t="inlineStr">
        <is>
          <t>22485</t>
        </is>
      </c>
      <c r="C1248" s="46">
        <f>LEFT(Tableau1[[#This Row],[Formacode]],3)</f>
        <v/>
      </c>
      <c r="D1248" s="47" t="n">
        <v>35809</v>
      </c>
      <c r="E1248" s="48">
        <f>"RNCP"&amp;D1248</f>
        <v/>
      </c>
      <c r="F1248" s="48" t="inlineStr">
        <is>
          <t>BTS - Finition, aménagement des bâtiments : conception et réalisation</t>
        </is>
      </c>
      <c r="G1248" s="49">
        <f>E1248&amp;" - "&amp;F1248</f>
        <v/>
      </c>
      <c r="H1248" s="36" t="inlineStr">
        <is>
          <t>RAS</t>
        </is>
      </c>
      <c r="I1248" s="45" t="inlineStr"/>
      <c r="J1248" s="45" t="inlineStr">
        <is>
          <t>RNCP35809</t>
        </is>
      </c>
      <c r="K1248" s="45" t="inlineStr">
        <is>
          <t>BTS - Finition, aménagement des bâtiments : conception et réalisation</t>
        </is>
      </c>
      <c r="L1248" s="45" t="inlineStr">
        <is>
          <t>31/12/2030</t>
        </is>
      </c>
      <c r="M1248" s="45" t="inlineStr"/>
      <c r="N1248" s="50" t="inlineStr">
        <is>
          <t>NON</t>
        </is>
      </c>
      <c r="O1248" s="45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TP - Electricien d'équipement du bâtiment</t>
        </is>
      </c>
      <c r="L1249" s="45" t="inlineStr">
        <is>
          <t>31/12/2030</t>
        </is>
      </c>
      <c r="M1249" s="45" t="inlineStr"/>
      <c r="N1249" s="50" t="inlineStr">
        <is>
          <t>NON</t>
        </is>
      </c>
      <c r="O1249" s="45" t="inlineStr"/>
    </row>
    <row r="1250" customFormat="1" s="3">
      <c r="A1250" s="45" t="n"/>
      <c r="B1250" s="46" t="inlineStr">
        <is>
          <t>22485</t>
        </is>
      </c>
      <c r="C1250" s="46">
        <f>LEFT(Tableau1[[#This Row],[Formacode]],3)</f>
        <v/>
      </c>
      <c r="D1250" s="47" t="n">
        <v>37986</v>
      </c>
      <c r="E1250" s="48">
        <f>"RNCP"&amp;D1250</f>
        <v/>
      </c>
      <c r="F1250" s="48" t="inlineStr">
        <is>
          <t>Expert de la transition énergétique</t>
        </is>
      </c>
      <c r="G1250" s="49">
        <f>E1250&amp;" - "&amp;F1250</f>
        <v/>
      </c>
      <c r="H1250" s="36" t="inlineStr">
        <is>
          <t>RAS</t>
        </is>
      </c>
      <c r="I1250" s="45" t="inlineStr"/>
      <c r="J1250" s="45" t="inlineStr">
        <is>
          <t>RNCP37986</t>
        </is>
      </c>
      <c r="K1250" s="45" t="inlineStr">
        <is>
          <t>Expert de la transition énergétique</t>
        </is>
      </c>
      <c r="L1250" s="45" t="inlineStr">
        <is>
          <t>31/12/2030</t>
        </is>
      </c>
      <c r="M1250" s="45" t="inlineStr"/>
      <c r="N1250" s="50" t="inlineStr">
        <is>
          <t>NON</t>
        </is>
      </c>
      <c r="O1250" s="45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BTS - Etude et réalisation d'agencement</t>
        </is>
      </c>
      <c r="L1251" s="45" t="inlineStr">
        <is>
          <t>31/12/2030</t>
        </is>
      </c>
      <c r="M1251" s="45" t="inlineStr"/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TP - Chargé d'études thermiques, énergétiques et environnementales du bâtiment</t>
        </is>
      </c>
      <c r="L1252" s="45" t="inlineStr">
        <is>
          <t>31/12/2030</t>
        </is>
      </c>
      <c r="M1252" s="45" t="inlineStr"/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TP - Conducteur de travaux aménagement finitions</t>
        </is>
      </c>
      <c r="L1253" s="45" t="inlineStr">
        <is>
          <t>31/12/2030</t>
        </is>
      </c>
      <c r="M1253" s="45" t="inlineStr"/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TP - Chef de chantier aménagement finitions</t>
        </is>
      </c>
      <c r="L1254" s="45" t="inlineStr">
        <is>
          <t>31/12/2030</t>
        </is>
      </c>
      <c r="M1254" s="45" t="inlineStr"/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TP - Chef d'équipe en aménagement finitions</t>
        </is>
      </c>
      <c r="L1255" s="45" t="inlineStr">
        <is>
          <t>31/12/2030</t>
        </is>
      </c>
      <c r="M1255" s="45" t="inlineStr"/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31/12/2030</t>
        </is>
      </c>
      <c r="M1256" s="45" t="inlineStr"/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TP - Chargé d'accompagnement à la rénovation énergétique du bâtiment</t>
        </is>
      </c>
      <c r="L1257" s="45" t="inlineStr">
        <is>
          <t>31/12/2030</t>
        </is>
      </c>
      <c r="M1257" s="45" t="inlineStr"/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31/12/2030</t>
        </is>
      </c>
      <c r="M1258" s="45" t="inlineStr"/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31/12/2030</t>
        </is>
      </c>
      <c r="M1259" s="45" t="inlineStr"/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31/12/2030</t>
        </is>
      </c>
      <c r="M1260" s="45" t="inlineStr"/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31/12/2030</t>
        </is>
      </c>
      <c r="M1261" s="45" t="inlineStr"/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31/12/2030</t>
        </is>
      </c>
      <c r="M1262" s="45" t="inlineStr"/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31/12/2030</t>
        </is>
      </c>
      <c r="M1263" s="45" t="inlineStr"/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31/12/2030</t>
        </is>
      </c>
      <c r="M1264" s="45" t="inlineStr"/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31/12/2030</t>
        </is>
      </c>
      <c r="M1265" s="45" t="inlineStr"/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BAC PRO - Interventions sur le patrimoine bâti - Options maçonnerie, charpente, couverture</t>
        </is>
      </c>
      <c r="L1266" s="45" t="inlineStr">
        <is>
          <t>31/12/2030</t>
        </is>
      </c>
      <c r="M1266" s="45" t="inlineStr"/>
      <c r="N1266" s="50" t="inlineStr">
        <is>
          <t>NON</t>
        </is>
      </c>
      <c r="O1266" s="45" t="inlineStr"/>
    </row>
    <row r="1267" customFormat="1" s="3">
      <c r="A1267" s="45" t="n"/>
      <c r="B1267" s="46" t="inlineStr">
        <is>
          <t>22486</t>
        </is>
      </c>
      <c r="C1267" s="46">
        <f>LEFT(Tableau1[[#This Row],[Formacode]],3)</f>
        <v/>
      </c>
      <c r="D1267" s="47" t="n">
        <v>35696</v>
      </c>
      <c r="E1267" s="48">
        <f>"RNCP"&amp;D1267</f>
        <v/>
      </c>
      <c r="F1267" s="48" t="inlineStr">
        <is>
          <t>CAP - Interventions en maintenance technique des bâtiments</t>
        </is>
      </c>
      <c r="G1267" s="49">
        <f>E1267&amp;" - "&amp;F1267</f>
        <v/>
      </c>
      <c r="H1267" s="36" t="inlineStr">
        <is>
          <t>RAS</t>
        </is>
      </c>
      <c r="I1267" s="45" t="inlineStr"/>
      <c r="J1267" s="45" t="inlineStr">
        <is>
          <t>RNCP35696</t>
        </is>
      </c>
      <c r="K1267" s="45" t="inlineStr">
        <is>
          <t>CAP - Interventions en maintenance technique des bâtiments</t>
        </is>
      </c>
      <c r="L1267" s="45" t="inlineStr">
        <is>
          <t>31/12/2030</t>
        </is>
      </c>
      <c r="M1267" s="45" t="inlineStr"/>
      <c r="N1267" s="50" t="inlineStr">
        <is>
          <t>NON</t>
        </is>
      </c>
      <c r="O1267" s="45" t="inlineStr"/>
    </row>
    <row r="1268" customFormat="1" s="3">
      <c r="A1268" s="45" t="n"/>
      <c r="B1268" s="46" t="inlineStr">
        <is>
          <t>22486</t>
        </is>
      </c>
      <c r="C1268" s="46">
        <f>LEFT(Tableau1[[#This Row],[Formacode]],3)</f>
        <v/>
      </c>
      <c r="D1268" s="47" t="n">
        <v>35809</v>
      </c>
      <c r="E1268" s="48">
        <f>"RNCP"&amp;D1268</f>
        <v/>
      </c>
      <c r="F1268" s="48" t="inlineStr">
        <is>
          <t>BTS - Finition, aménagement des bâtiments : conception et réalisation</t>
        </is>
      </c>
      <c r="G1268" s="49">
        <f>E1268&amp;" - "&amp;F1268</f>
        <v/>
      </c>
      <c r="H1268" s="36" t="inlineStr">
        <is>
          <t>RAS</t>
        </is>
      </c>
      <c r="I1268" s="45" t="inlineStr"/>
      <c r="J1268" s="45" t="inlineStr">
        <is>
          <t>RNCP35809</t>
        </is>
      </c>
      <c r="K1268" s="45" t="inlineStr">
        <is>
          <t>BTS - Finition, aménagement des bâtiments : conception et réalisation</t>
        </is>
      </c>
      <c r="L1268" s="45" t="inlineStr">
        <is>
          <t>31/12/2030</t>
        </is>
      </c>
      <c r="M1268" s="45" t="inlineStr"/>
      <c r="N1268" s="50" t="inlineStr">
        <is>
          <t>NON</t>
        </is>
      </c>
      <c r="O1268" s="45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BTS - Etude et réalisation d'agencement</t>
        </is>
      </c>
      <c r="L1269" s="45" t="inlineStr">
        <is>
          <t>31/12/2030</t>
        </is>
      </c>
      <c r="M1269" s="45" t="inlineStr"/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TP - Chef de chantier aménagement finitions</t>
        </is>
      </c>
      <c r="L1270" s="45" t="inlineStr">
        <is>
          <t>31/12/2030</t>
        </is>
      </c>
      <c r="M1270" s="45" t="inlineStr"/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31/12/2030</t>
        </is>
      </c>
      <c r="M1271" s="45" t="inlineStr"/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31/12/2030</t>
        </is>
      </c>
      <c r="M1272" s="45" t="inlineStr"/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31/12/2030</t>
        </is>
      </c>
      <c r="M1273" s="45" t="inlineStr"/>
      <c r="N1273" s="50" t="inlineStr">
        <is>
          <t>NON</t>
        </is>
      </c>
      <c r="O1273" s="45" t="inlineStr"/>
    </row>
    <row r="1274" customFormat="1" s="3">
      <c r="A1274" s="45" t="n"/>
      <c r="B1274" s="46" t="inlineStr">
        <is>
          <t>22493</t>
        </is>
      </c>
      <c r="C1274" s="46">
        <f>LEFT(Tableau1[[#This Row],[Formacode]],3)</f>
        <v/>
      </c>
      <c r="D1274" s="47" t="n">
        <v>35809</v>
      </c>
      <c r="E1274" s="48">
        <f>"RNCP"&amp;D1274</f>
        <v/>
      </c>
      <c r="F1274" s="48" t="inlineStr">
        <is>
          <t>BTS - Finition, aménagement des bâtiments : conception et réalisation</t>
        </is>
      </c>
      <c r="G1274" s="49">
        <f>E1274&amp;" - "&amp;F1274</f>
        <v/>
      </c>
      <c r="H1274" s="36" t="inlineStr">
        <is>
          <t>RAS</t>
        </is>
      </c>
      <c r="I1274" s="45" t="inlineStr"/>
      <c r="J1274" s="45" t="inlineStr">
        <is>
          <t>RNCP35809</t>
        </is>
      </c>
      <c r="K1274" s="45" t="inlineStr">
        <is>
          <t>BTS - Finition, aménagement des bâtiments : conception et réalisation</t>
        </is>
      </c>
      <c r="L1274" s="45" t="inlineStr">
        <is>
          <t>31/12/2030</t>
        </is>
      </c>
      <c r="M1274" s="45" t="inlineStr"/>
      <c r="N1274" s="50" t="inlineStr">
        <is>
          <t>NON</t>
        </is>
      </c>
      <c r="O1274" s="45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BTS - Etude et réalisation d'agencement</t>
        </is>
      </c>
      <c r="L1275" s="45" t="inlineStr">
        <is>
          <t>31/12/2030</t>
        </is>
      </c>
      <c r="M1275" s="45" t="inlineStr"/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TP - Chef de chantier aménagement finitions</t>
        </is>
      </c>
      <c r="L1276" s="45" t="inlineStr">
        <is>
          <t>31/12/2030</t>
        </is>
      </c>
      <c r="M1276" s="45" t="inlineStr"/>
      <c r="N1276" s="50" t="inlineStr">
        <is>
          <t>NON</t>
        </is>
      </c>
      <c r="O1276" s="45" t="inlineStr"/>
    </row>
    <row r="1277" customFormat="1" s="3">
      <c r="A1277" s="45" t="n"/>
      <c r="B1277" s="46" t="inlineStr">
        <is>
          <t>22493</t>
        </is>
      </c>
      <c r="C1277" s="46">
        <f>LEFT(Tableau1[[#This Row],[Formacode]],3)</f>
        <v/>
      </c>
      <c r="D1277" s="47" t="n">
        <v>39192</v>
      </c>
      <c r="E1277" s="48">
        <f>"RNCP"&amp;D1277</f>
        <v/>
      </c>
      <c r="F1277" s="48" t="inlineStr">
        <is>
          <t>CS - Technicien ascensoriste (service et modernisation)</t>
        </is>
      </c>
      <c r="G1277" s="49">
        <f>E1277&amp;" - "&amp;F1277</f>
        <v/>
      </c>
      <c r="H1277" s="36" t="inlineStr">
        <is>
          <t>RAS</t>
        </is>
      </c>
      <c r="I1277" s="45" t="inlineStr"/>
      <c r="J1277" s="45" t="inlineStr">
        <is>
          <t>RNCP39192</t>
        </is>
      </c>
      <c r="K1277" s="45" t="inlineStr">
        <is>
          <t>CS - Technicien ascensoriste (service et modernisation)</t>
        </is>
      </c>
      <c r="L1277" s="45" t="inlineStr">
        <is>
          <t>31/12/2030</t>
        </is>
      </c>
      <c r="M1277" s="45" t="inlineStr"/>
      <c r="N1277" s="50" t="inlineStr">
        <is>
          <t>NON</t>
        </is>
      </c>
      <c r="O1277" s="45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31/12/2030</t>
        </is>
      </c>
      <c r="M1278" s="45" t="inlineStr"/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31/12/2030</t>
        </is>
      </c>
      <c r="M1279" s="45" t="inlineStr"/>
      <c r="N1279" s="50" t="inlineStr">
        <is>
          <t>NON</t>
        </is>
      </c>
      <c r="O1279" s="45" t="inlineStr"/>
    </row>
    <row r="1280" customFormat="1" s="3">
      <c r="A1280" s="45" t="n"/>
      <c r="B1280" s="46" t="inlineStr">
        <is>
          <t>22494</t>
        </is>
      </c>
      <c r="C1280" s="46">
        <f>LEFT(Tableau1[[#This Row],[Formacode]],3)</f>
        <v/>
      </c>
      <c r="D1280" s="47" t="n">
        <v>35809</v>
      </c>
      <c r="E1280" s="48">
        <f>"RNCP"&amp;D1280</f>
        <v/>
      </c>
      <c r="F1280" s="48" t="inlineStr">
        <is>
          <t>BTS - Finition, aménagement des bâtiments : conception et réalisation</t>
        </is>
      </c>
      <c r="G1280" s="49">
        <f>E1280&amp;" - "&amp;F1280</f>
        <v/>
      </c>
      <c r="H1280" s="36" t="inlineStr">
        <is>
          <t>RAS</t>
        </is>
      </c>
      <c r="I1280" s="45" t="inlineStr"/>
      <c r="J1280" s="45" t="inlineStr">
        <is>
          <t>RNCP35809</t>
        </is>
      </c>
      <c r="K1280" s="45" t="inlineStr">
        <is>
          <t>BTS - Finition, aménagement des bâtiments : conception et réalisation</t>
        </is>
      </c>
      <c r="L1280" s="45" t="inlineStr">
        <is>
          <t>31/12/2030</t>
        </is>
      </c>
      <c r="M1280" s="45" t="inlineStr"/>
      <c r="N1280" s="50" t="inlineStr">
        <is>
          <t>NON</t>
        </is>
      </c>
      <c r="O1280" s="45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BTS - Etude et réalisation d'agencement</t>
        </is>
      </c>
      <c r="L1281" s="45" t="inlineStr">
        <is>
          <t>31/12/2030</t>
        </is>
      </c>
      <c r="M1281" s="45" t="inlineStr"/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TP - Chef de chantier aménagement finitions</t>
        </is>
      </c>
      <c r="L1282" s="45" t="inlineStr">
        <is>
          <t>31/12/2030</t>
        </is>
      </c>
      <c r="M1282" s="45" t="inlineStr"/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31/12/2030</t>
        </is>
      </c>
      <c r="M1283" s="45" t="inlineStr"/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31/12/2030</t>
        </is>
      </c>
      <c r="M1284" s="45" t="inlineStr"/>
      <c r="N1284" s="50" t="inlineStr">
        <is>
          <t>NON</t>
        </is>
      </c>
      <c r="O1284" s="45" t="inlineStr"/>
    </row>
    <row r="1285" customFormat="1" s="3">
      <c r="A1285" s="45" t="n"/>
      <c r="B1285" s="46" t="inlineStr">
        <is>
          <t>22498</t>
        </is>
      </c>
      <c r="C1285" s="46">
        <f>LEFT(Tableau1[[#This Row],[Formacode]],3)</f>
        <v/>
      </c>
      <c r="D1285" s="47" t="n">
        <v>35809</v>
      </c>
      <c r="E1285" s="48">
        <f>"RNCP"&amp;D1285</f>
        <v/>
      </c>
      <c r="F1285" s="48" t="inlineStr">
        <is>
          <t>BTS - Finition, aménagement des bâtiments : conception et réalisation</t>
        </is>
      </c>
      <c r="G1285" s="49">
        <f>E1285&amp;" - "&amp;F1285</f>
        <v/>
      </c>
      <c r="H1285" s="36" t="inlineStr">
        <is>
          <t>RAS</t>
        </is>
      </c>
      <c r="I1285" s="45" t="inlineStr"/>
      <c r="J1285" s="45" t="inlineStr">
        <is>
          <t>RNCP35809</t>
        </is>
      </c>
      <c r="K1285" s="45" t="inlineStr">
        <is>
          <t>BTS - Finition, aménagement des bâtiments : conception et réalisation</t>
        </is>
      </c>
      <c r="L1285" s="45" t="inlineStr">
        <is>
          <t>31/12/2030</t>
        </is>
      </c>
      <c r="M1285" s="45" t="inlineStr"/>
      <c r="N1285" s="50" t="inlineStr">
        <is>
          <t>NON</t>
        </is>
      </c>
      <c r="O1285" s="45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BTS - Etude et réalisation d'agencement</t>
        </is>
      </c>
      <c r="L1286" s="45" t="inlineStr">
        <is>
          <t>31/12/2030</t>
        </is>
      </c>
      <c r="M1286" s="45" t="inlineStr"/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TP - Chef de chantier aménagement finitions</t>
        </is>
      </c>
      <c r="L1287" s="45" t="inlineStr">
        <is>
          <t>31/12/2030</t>
        </is>
      </c>
      <c r="M1287" s="45" t="inlineStr"/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31/12/2030</t>
        </is>
      </c>
      <c r="M1288" s="45" t="inlineStr"/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31/12/2030</t>
        </is>
      </c>
      <c r="M1289" s="45" t="inlineStr"/>
      <c r="N1289" s="50" t="inlineStr">
        <is>
          <t>NON</t>
        </is>
      </c>
      <c r="O1289" s="45" t="inlineStr"/>
    </row>
    <row r="1290" customFormat="1" s="3">
      <c r="A1290" s="45" t="n"/>
      <c r="B1290" s="46" t="inlineStr">
        <is>
          <t>22499</t>
        </is>
      </c>
      <c r="C1290" s="46">
        <f>LEFT(Tableau1[[#This Row],[Formacode]],3)</f>
        <v/>
      </c>
      <c r="D1290" s="47" t="n">
        <v>35809</v>
      </c>
      <c r="E1290" s="48">
        <f>"RNCP"&amp;D1290</f>
        <v/>
      </c>
      <c r="F1290" s="48" t="inlineStr">
        <is>
          <t>BTS - Finition, aménagement des bâtiments : conception et réalisation</t>
        </is>
      </c>
      <c r="G1290" s="49">
        <f>E1290&amp;" - "&amp;F1290</f>
        <v/>
      </c>
      <c r="H1290" s="36" t="inlineStr">
        <is>
          <t>RAS</t>
        </is>
      </c>
      <c r="I1290" s="45" t="inlineStr"/>
      <c r="J1290" s="45" t="inlineStr">
        <is>
          <t>RNCP35809</t>
        </is>
      </c>
      <c r="K1290" s="45" t="inlineStr">
        <is>
          <t>BTS - Finition, aménagement des bâtiments : conception et réalisation</t>
        </is>
      </c>
      <c r="L1290" s="45" t="inlineStr">
        <is>
          <t>31/12/2030</t>
        </is>
      </c>
      <c r="M1290" s="45" t="inlineStr"/>
      <c r="N1290" s="50" t="inlineStr">
        <is>
          <t>NON</t>
        </is>
      </c>
      <c r="O1290" s="45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BTS - 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31/12/2030</t>
        </is>
      </c>
      <c r="M1291" s="45" t="inlineStr"/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BTS - Etude et réalisation d'agencement</t>
        </is>
      </c>
      <c r="L1292" s="45" t="inlineStr">
        <is>
          <t>31/12/2030</t>
        </is>
      </c>
      <c r="M1292" s="45" t="inlineStr"/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TP - Chef de chantier aménagement finitions</t>
        </is>
      </c>
      <c r="L1293" s="45" t="inlineStr">
        <is>
          <t>31/12/2030</t>
        </is>
      </c>
      <c r="M1293" s="45" t="inlineStr"/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BAC PRO - Métiers de l'électricité et de ses environnements connectés</t>
        </is>
      </c>
      <c r="L1294" s="45" t="inlineStr">
        <is>
          <t>31/12/2030</t>
        </is>
      </c>
      <c r="M1294" s="45" t="inlineStr"/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31/12/2030</t>
        </is>
      </c>
      <c r="M1295" s="45" t="inlineStr"/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31/12/2030</t>
        </is>
      </c>
      <c r="M1296" s="45" t="inlineStr"/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31/12/2030</t>
        </is>
      </c>
      <c r="M1297" s="45" t="inlineStr"/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TP - Technicien d'études en chauffage, ventilation et climatisation</t>
        </is>
      </c>
      <c r="L1298" s="45" t="inlineStr">
        <is>
          <t>31/12/2030</t>
        </is>
      </c>
      <c r="M1298" s="45" t="inlineStr"/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BTS - 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31/12/2030</t>
        </is>
      </c>
      <c r="M1299" s="45" t="inlineStr"/>
      <c r="N1299" s="50" t="inlineStr">
        <is>
          <t>NON</t>
        </is>
      </c>
      <c r="O1299" s="45" t="inlineStr"/>
    </row>
    <row r="1300" customFormat="1" s="3">
      <c r="A1300" s="45" t="n"/>
      <c r="B1300" s="46" t="inlineStr">
        <is>
          <t>22624</t>
        </is>
      </c>
      <c r="C1300" s="46">
        <f>LEFT(Tableau1[[#This Row],[Formacode]],3)</f>
        <v/>
      </c>
      <c r="D1300" s="47" t="n">
        <v>35525</v>
      </c>
      <c r="E1300" s="48">
        <f>"RNCP"&amp;D1300</f>
        <v/>
      </c>
      <c r="F1300" s="48" t="inlineStr">
        <is>
          <t>TP - Technicien d'intervention en froid et équipements de cuisines professionnelles</t>
        </is>
      </c>
      <c r="G1300" s="49">
        <f>E1300&amp;" - "&amp;F1300</f>
        <v/>
      </c>
      <c r="H1300" s="36" t="inlineStr">
        <is>
          <t>RAS</t>
        </is>
      </c>
      <c r="I1300" s="45" t="inlineStr"/>
      <c r="J1300" s="45" t="inlineStr">
        <is>
          <t>RNCP35525</t>
        </is>
      </c>
      <c r="K1300" s="45" t="inlineStr">
        <is>
          <t>TP - Technicien d'intervention en froid et équipements de cuisines professionnelles</t>
        </is>
      </c>
      <c r="L1300" s="45" t="inlineStr">
        <is>
          <t>31/12/2030</t>
        </is>
      </c>
      <c r="M1300" s="45" t="inlineStr"/>
      <c r="N1300" s="50" t="inlineStr">
        <is>
          <t>NON</t>
        </is>
      </c>
      <c r="O1300" s="45" t="inlineStr"/>
    </row>
    <row r="1301" customFormat="1" s="3">
      <c r="A1301" s="45" t="n"/>
      <c r="B1301" s="46" t="inlineStr">
        <is>
          <t>22624</t>
        </is>
      </c>
      <c r="C1301" s="46">
        <f>LEFT(Tableau1[[#This Row],[Formacode]],3)</f>
        <v/>
      </c>
      <c r="D1301" s="47" t="n">
        <v>35844</v>
      </c>
      <c r="E1301" s="48">
        <f>"RNCP"&amp;D1301</f>
        <v/>
      </c>
      <c r="F1301" s="48" t="inlineStr">
        <is>
          <t>BAC PRO - Maintenance et Efficacité Energétique</t>
        </is>
      </c>
      <c r="G1301" s="49">
        <f>E1301&amp;" - "&amp;F1301</f>
        <v/>
      </c>
      <c r="H1301" s="36" t="inlineStr">
        <is>
          <t>RAS</t>
        </is>
      </c>
      <c r="I1301" s="45" t="inlineStr"/>
      <c r="J1301" s="45" t="inlineStr">
        <is>
          <t>RNCP35844</t>
        </is>
      </c>
      <c r="K1301" s="45" t="inlineStr">
        <is>
          <t>BAC PRO - Maintenance et Efficacité Energétique</t>
        </is>
      </c>
      <c r="L1301" s="45" t="inlineStr">
        <is>
          <t>31/12/2030</t>
        </is>
      </c>
      <c r="M1301" s="45" t="inlineStr"/>
      <c r="N1301" s="50" t="inlineStr">
        <is>
          <t>NON</t>
        </is>
      </c>
      <c r="O1301" s="45" t="inlineStr"/>
    </row>
    <row r="1302" customFormat="1" s="3">
      <c r="A1302" s="45" t="n"/>
      <c r="B1302" s="46" t="inlineStr">
        <is>
          <t>22624</t>
        </is>
      </c>
      <c r="C1302" s="46">
        <f>LEFT(Tableau1[[#This Row],[Formacode]],3)</f>
        <v/>
      </c>
      <c r="D1302" s="47" t="n">
        <v>35846</v>
      </c>
      <c r="E1302" s="48">
        <f>"RNCP"&amp;D1302</f>
        <v/>
      </c>
      <c r="F1302" s="48" t="inlineStr">
        <is>
          <t>BAC PRO - Métiers du Froid et des Energies Renouvelables</t>
        </is>
      </c>
      <c r="G1302" s="49">
        <f>E1302&amp;" - "&amp;F1302</f>
        <v/>
      </c>
      <c r="H1302" s="36" t="inlineStr">
        <is>
          <t>RAS</t>
        </is>
      </c>
      <c r="I1302" s="45" t="inlineStr"/>
      <c r="J1302" s="45" t="inlineStr">
        <is>
          <t>RNCP35846</t>
        </is>
      </c>
      <c r="K1302" s="45" t="inlineStr">
        <is>
          <t>BAC PRO - Métiers du Froid et des Energies Renouvelables</t>
        </is>
      </c>
      <c r="L1302" s="45" t="inlineStr">
        <is>
          <t>31/12/2030</t>
        </is>
      </c>
      <c r="M1302" s="45" t="inlineStr"/>
      <c r="N1302" s="50" t="inlineStr">
        <is>
          <t>NON</t>
        </is>
      </c>
      <c r="O1302" s="45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TP - Technicien froid embarqué routier</t>
        </is>
      </c>
      <c r="L1303" s="45" t="inlineStr">
        <is>
          <t>31/12/2030</t>
        </is>
      </c>
      <c r="M1303" s="45" t="inlineStr"/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TP - Technicien d'études en chauffage, ventilation et climatisation</t>
        </is>
      </c>
      <c r="L1304" s="45" t="inlineStr">
        <is>
          <t>31/12/2030</t>
        </is>
      </c>
      <c r="M1304" s="45" t="inlineStr"/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TP - Monteur dépanneur frigoriste</t>
        </is>
      </c>
      <c r="L1305" s="45" t="inlineStr">
        <is>
          <t>31/12/2030</t>
        </is>
      </c>
      <c r="M1305" s="45" t="inlineStr"/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BTS - 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31/12/2030</t>
        </is>
      </c>
      <c r="M1306" s="45" t="inlineStr"/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CAP - Installateur en froid et conditionnement d'air</t>
        </is>
      </c>
      <c r="L1307" s="45" t="inlineStr">
        <is>
          <t>31/12/2030</t>
        </is>
      </c>
      <c r="M1307" s="45" t="inlineStr"/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BP - Installateur dépanneur en froid et conditionnement d'air</t>
        </is>
      </c>
      <c r="L1308" s="45" t="inlineStr">
        <is>
          <t>31/12/2030</t>
        </is>
      </c>
      <c r="M1308" s="45" t="inlineStr"/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TP - Technicien d'intervention en froid industriel</t>
        </is>
      </c>
      <c r="L1309" s="45" t="inlineStr">
        <is>
          <t>31/12/2030</t>
        </is>
      </c>
      <c r="M1309" s="45" t="inlineStr"/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TP - Technicien d'intervention en froid commercial et climatisation</t>
        </is>
      </c>
      <c r="L1310" s="45" t="inlineStr">
        <is>
          <t>31/12/2030</t>
        </is>
      </c>
      <c r="M1310" s="45" t="inlineStr"/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TP - Technicien d'études en chauffage, ventilation et climatisation</t>
        </is>
      </c>
      <c r="L1311" s="45" t="inlineStr">
        <is>
          <t>31/12/2030</t>
        </is>
      </c>
      <c r="M1311" s="45" t="inlineStr"/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BTS - 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31/12/2030</t>
        </is>
      </c>
      <c r="M1312" s="45" t="inlineStr"/>
      <c r="N1312" s="50" t="inlineStr">
        <is>
          <t>NON</t>
        </is>
      </c>
      <c r="O1312" s="45" t="inlineStr"/>
    </row>
    <row r="1313" customFormat="1" s="3">
      <c r="A1313" s="45" t="n"/>
      <c r="B1313" s="46" t="inlineStr">
        <is>
          <t>22635</t>
        </is>
      </c>
      <c r="C1313" s="46">
        <f>LEFT(Tableau1[[#This Row],[Formacode]],3)</f>
        <v/>
      </c>
      <c r="D1313" s="47" t="n">
        <v>35231</v>
      </c>
      <c r="E1313" s="48">
        <f>"RNCP"&amp;D1313</f>
        <v/>
      </c>
      <c r="F1313" s="48" t="inlineStr">
        <is>
          <t>TP - Technicien d'installation en équipements de confort climatique</t>
        </is>
      </c>
      <c r="G1313" s="49">
        <f>E1313&amp;" - "&amp;F1313</f>
        <v/>
      </c>
      <c r="H1313" s="36" t="inlineStr">
        <is>
          <t>RAS</t>
        </is>
      </c>
      <c r="I1313" s="45" t="inlineStr"/>
      <c r="J1313" s="45" t="inlineStr">
        <is>
          <t>RNCP35231</t>
        </is>
      </c>
      <c r="K1313" s="45" t="inlineStr">
        <is>
          <t>TP - Technicien d'installation en équipements de confort climatique</t>
        </is>
      </c>
      <c r="L1313" s="45" t="inlineStr">
        <is>
          <t>31/12/2030</t>
        </is>
      </c>
      <c r="M1313" s="45" t="inlineStr"/>
      <c r="N1313" s="50" t="inlineStr">
        <is>
          <t>NON</t>
        </is>
      </c>
      <c r="O1313" s="45" t="inlineStr"/>
    </row>
    <row r="1314" customFormat="1" s="3">
      <c r="A1314" s="45" t="n"/>
      <c r="B1314" s="46" t="inlineStr">
        <is>
          <t>22635</t>
        </is>
      </c>
      <c r="C1314" s="46">
        <f>LEFT(Tableau1[[#This Row],[Formacode]],3)</f>
        <v/>
      </c>
      <c r="D1314" s="47" t="n">
        <v>35844</v>
      </c>
      <c r="E1314" s="48">
        <f>"RNCP"&amp;D1314</f>
        <v/>
      </c>
      <c r="F1314" s="48" t="inlineStr">
        <is>
          <t>BAC PRO - Maintenance et Efficacité Energétique</t>
        </is>
      </c>
      <c r="G1314" s="49">
        <f>E1314&amp;" - "&amp;F1314</f>
        <v/>
      </c>
      <c r="H1314" s="36" t="inlineStr">
        <is>
          <t>RAS</t>
        </is>
      </c>
      <c r="I1314" s="45" t="inlineStr"/>
      <c r="J1314" s="45" t="inlineStr">
        <is>
          <t>RNCP35844</t>
        </is>
      </c>
      <c r="K1314" s="45" t="inlineStr">
        <is>
          <t>BAC PRO - Maintenance et Efficacité Energétique</t>
        </is>
      </c>
      <c r="L1314" s="45" t="inlineStr">
        <is>
          <t>31/12/2030</t>
        </is>
      </c>
      <c r="M1314" s="45" t="inlineStr"/>
      <c r="N1314" s="50" t="inlineStr">
        <is>
          <t>NON</t>
        </is>
      </c>
      <c r="O1314" s="45" t="inlineStr"/>
    </row>
    <row r="1315" customFormat="1" s="3">
      <c r="A1315" s="45" t="n"/>
      <c r="B1315" s="46" t="inlineStr">
        <is>
          <t>22635</t>
        </is>
      </c>
      <c r="C1315" s="46">
        <f>LEFT(Tableau1[[#This Row],[Formacode]],3)</f>
        <v/>
      </c>
      <c r="D1315" s="47" t="n">
        <v>35845</v>
      </c>
      <c r="E1315" s="48">
        <f>"RNCP"&amp;D1315</f>
        <v/>
      </c>
      <c r="F1315" s="48" t="inlineStr">
        <is>
          <t>BAC PRO - Installateur en Chauffage, Climatisation et Énergies Renouvelables</t>
        </is>
      </c>
      <c r="G1315" s="49">
        <f>E1315&amp;" - "&amp;F1315</f>
        <v/>
      </c>
      <c r="H1315" s="36" t="inlineStr">
        <is>
          <t>RAS</t>
        </is>
      </c>
      <c r="I1315" s="45" t="inlineStr"/>
      <c r="J1315" s="45" t="inlineStr">
        <is>
          <t>RNCP35845</t>
        </is>
      </c>
      <c r="K1315" s="45" t="inlineStr">
        <is>
          <t>BAC PRO - Installateur en Chauffage, Climatisation et Énergies Renouvelables</t>
        </is>
      </c>
      <c r="L1315" s="45" t="inlineStr">
        <is>
          <t>31/12/2030</t>
        </is>
      </c>
      <c r="M1315" s="45" t="inlineStr"/>
      <c r="N1315" s="50" t="inlineStr">
        <is>
          <t>NON</t>
        </is>
      </c>
      <c r="O1315" s="45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TP - Technicien d'études en chauffage, ventilation et climatisation</t>
        </is>
      </c>
      <c r="L1316" s="45" t="inlineStr">
        <is>
          <t>31/12/2030</t>
        </is>
      </c>
      <c r="M1316" s="45" t="inlineStr"/>
      <c r="N1316" s="50" t="inlineStr">
        <is>
          <t>NON</t>
        </is>
      </c>
      <c r="O1316" s="45" t="inlineStr"/>
    </row>
    <row r="1317" customFormat="1" s="3">
      <c r="A1317" s="45" t="n"/>
      <c r="B1317" s="46" t="inlineStr">
        <is>
          <t>22635</t>
        </is>
      </c>
      <c r="C1317" s="46">
        <f>LEFT(Tableau1[[#This Row],[Formacode]],3)</f>
        <v/>
      </c>
      <c r="D1317" s="47" t="n">
        <v>37940</v>
      </c>
      <c r="E1317" s="48">
        <f>"RNCP"&amp;D1317</f>
        <v/>
      </c>
      <c r="F1317" s="48" t="inlineStr">
        <is>
          <t>TP - Monteur-dépanneur en climatisation</t>
        </is>
      </c>
      <c r="G1317" s="49">
        <f>E1317&amp;" - "&amp;F1317</f>
        <v/>
      </c>
      <c r="H1317" s="36" t="inlineStr">
        <is>
          <t>RAS</t>
        </is>
      </c>
      <c r="I1317" s="45" t="inlineStr"/>
      <c r="J1317" s="45" t="inlineStr">
        <is>
          <t>RNCP37940</t>
        </is>
      </c>
      <c r="K1317" s="45" t="inlineStr">
        <is>
          <t>TP - Monteur-dépanneur en climatisation</t>
        </is>
      </c>
      <c r="L1317" s="45" t="inlineStr">
        <is>
          <t>31/12/2030</t>
        </is>
      </c>
      <c r="M1317" s="45" t="inlineStr"/>
      <c r="N1317" s="50" t="inlineStr">
        <is>
          <t>NON</t>
        </is>
      </c>
      <c r="O1317" s="45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TP - Technicien de maintenance d'équipements de confort climatique</t>
        </is>
      </c>
      <c r="L1318" s="45" t="inlineStr">
        <is>
          <t>31/12/2030</t>
        </is>
      </c>
      <c r="M1318" s="45" t="inlineStr"/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BTS - 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31/12/2030</t>
        </is>
      </c>
      <c r="M1319" s="45" t="inlineStr"/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CAP - Installateur en froid et conditionnement d'air</t>
        </is>
      </c>
      <c r="L1320" s="45" t="inlineStr">
        <is>
          <t>31/12/2030</t>
        </is>
      </c>
      <c r="M1320" s="45" t="inlineStr"/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BP - Installateur dépanneur en froid et conditionnement d'air</t>
        </is>
      </c>
      <c r="L1321" s="45" t="inlineStr">
        <is>
          <t>31/12/2030</t>
        </is>
      </c>
      <c r="M1321" s="45" t="inlineStr"/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TP - Agent de maintenance CVC</t>
        </is>
      </c>
      <c r="L1322" s="45" t="inlineStr">
        <is>
          <t>31/12/2030</t>
        </is>
      </c>
      <c r="M1322" s="45" t="inlineStr"/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TP - Technicien de maintenance CVC</t>
        </is>
      </c>
      <c r="L1323" s="45" t="inlineStr">
        <is>
          <t>31/12/2030</t>
        </is>
      </c>
      <c r="M1323" s="45" t="inlineStr"/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31/12/2030</t>
        </is>
      </c>
      <c r="M1324" s="45" t="inlineStr"/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TP - Technicien d'intervention en froid commercial et climatisation</t>
        </is>
      </c>
      <c r="L1325" s="45" t="inlineStr">
        <is>
          <t>31/12/2030</t>
        </is>
      </c>
      <c r="M1325" s="45" t="inlineStr"/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31/12/2030</t>
        </is>
      </c>
      <c r="M1326" s="45" t="inlineStr"/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31/12/2030</t>
        </is>
      </c>
      <c r="M1327" s="45" t="inlineStr"/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TP - Technicien d'études en chauffage, ventilation et climatisation</t>
        </is>
      </c>
      <c r="L1328" s="45" t="inlineStr">
        <is>
          <t>31/12/2030</t>
        </is>
      </c>
      <c r="M1328" s="45" t="inlineStr"/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BTS - 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31/12/2030</t>
        </is>
      </c>
      <c r="M1329" s="45" t="inlineStr"/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TP - Agent de maintenance CVC</t>
        </is>
      </c>
      <c r="L1330" s="45" t="inlineStr">
        <is>
          <t>31/12/2030</t>
        </is>
      </c>
      <c r="M1330" s="45" t="inlineStr"/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TP - Technicien de maintenance CVC</t>
        </is>
      </c>
      <c r="L1331" s="45" t="inlineStr">
        <is>
          <t>31/12/2030</t>
        </is>
      </c>
      <c r="M1331" s="45" t="inlineStr"/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31/12/2030</t>
        </is>
      </c>
      <c r="M1332" s="45" t="inlineStr"/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TP - Technicien d'études en chauffage, ventilation et climatisation</t>
        </is>
      </c>
      <c r="L1333" s="45" t="inlineStr">
        <is>
          <t>31/12/2030</t>
        </is>
      </c>
      <c r="M1333" s="45" t="inlineStr"/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BTS - 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31/12/2030</t>
        </is>
      </c>
      <c r="M1334" s="45" t="inlineStr"/>
      <c r="N1334" s="50" t="inlineStr">
        <is>
          <t>NON</t>
        </is>
      </c>
      <c r="O1334" s="45" t="inlineStr"/>
    </row>
    <row r="1335" customFormat="1" s="3">
      <c r="A1335" s="45" t="n"/>
      <c r="B1335" s="46" t="inlineStr">
        <is>
          <t>22642</t>
        </is>
      </c>
      <c r="C1335" s="46">
        <f>LEFT(Tableau1[[#This Row],[Formacode]],3)</f>
        <v/>
      </c>
      <c r="D1335" s="47" t="n">
        <v>35189</v>
      </c>
      <c r="E1335" s="48">
        <f>"RNCP"&amp;D1335</f>
        <v/>
      </c>
      <c r="F1335" s="48" t="inlineStr">
        <is>
          <t>TP - Installateur thermique et sanitaire</t>
        </is>
      </c>
      <c r="G1335" s="49">
        <f>E1335&amp;" - "&amp;F1335</f>
        <v/>
      </c>
      <c r="H1335" s="36" t="inlineStr">
        <is>
          <t>RAS</t>
        </is>
      </c>
      <c r="I1335" s="45" t="inlineStr"/>
      <c r="J1335" s="45" t="inlineStr">
        <is>
          <t>RNCP35189</t>
        </is>
      </c>
      <c r="K1335" s="45" t="inlineStr">
        <is>
          <t>TP - Installateur thermique et sanitaire</t>
        </is>
      </c>
      <c r="L1335" s="45" t="inlineStr">
        <is>
          <t>31/12/2030</t>
        </is>
      </c>
      <c r="M1335" s="45" t="inlineStr"/>
      <c r="N1335" s="50" t="inlineStr">
        <is>
          <t>NON</t>
        </is>
      </c>
      <c r="O1335" s="45" t="inlineStr"/>
    </row>
    <row r="1336" customFormat="1" s="3">
      <c r="A1336" s="45" t="n"/>
      <c r="B1336" s="46" t="inlineStr">
        <is>
          <t>22642</t>
        </is>
      </c>
      <c r="C1336" s="46">
        <f>LEFT(Tableau1[[#This Row],[Formacode]],3)</f>
        <v/>
      </c>
      <c r="D1336" s="47" t="n">
        <v>35845</v>
      </c>
      <c r="E1336" s="48">
        <f>"RNCP"&amp;D1336</f>
        <v/>
      </c>
      <c r="F1336" s="48" t="inlineStr">
        <is>
          <t>BAC PRO - Installateur en Chauffage, Climatisation et Énergies Renouvelables</t>
        </is>
      </c>
      <c r="G1336" s="49">
        <f>E1336&amp;" - "&amp;F1336</f>
        <v/>
      </c>
      <c r="H1336" s="36" t="inlineStr">
        <is>
          <t>RAS</t>
        </is>
      </c>
      <c r="I1336" s="45" t="inlineStr"/>
      <c r="J1336" s="45" t="inlineStr">
        <is>
          <t>RNCP35845</t>
        </is>
      </c>
      <c r="K1336" s="45" t="inlineStr">
        <is>
          <t>BAC PRO - Installateur en Chauffage, Climatisation et Énergies Renouvelables</t>
        </is>
      </c>
      <c r="L1336" s="45" t="inlineStr">
        <is>
          <t>31/12/2030</t>
        </is>
      </c>
      <c r="M1336" s="45" t="inlineStr"/>
      <c r="N1336" s="50" t="inlineStr">
        <is>
          <t>NON</t>
        </is>
      </c>
      <c r="O1336" s="45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TP - Technicien d'études en chauffage, ventilation et climatisation</t>
        </is>
      </c>
      <c r="L1337" s="45" t="inlineStr">
        <is>
          <t>31/12/2030</t>
        </is>
      </c>
      <c r="M1337" s="45" t="inlineStr"/>
      <c r="N1337" s="50" t="inlineStr">
        <is>
          <t>NON</t>
        </is>
      </c>
      <c r="O1337" s="45" t="inlineStr"/>
    </row>
    <row r="1338" customFormat="1" s="3">
      <c r="A1338" s="45" t="n"/>
      <c r="B1338" s="46" t="inlineStr">
        <is>
          <t>22642</t>
        </is>
      </c>
      <c r="C1338" s="46">
        <f>LEFT(Tableau1[[#This Row],[Formacode]],3)</f>
        <v/>
      </c>
      <c r="D1338" s="47" t="n">
        <v>37919</v>
      </c>
      <c r="E1338" s="48">
        <f>"RNCP"&amp;D1338</f>
        <v/>
      </c>
      <c r="F1338" s="48" t="inlineStr">
        <is>
          <t>CS - Maintenance des équipements thermiques individuels</t>
        </is>
      </c>
      <c r="G1338" s="49">
        <f>E1338&amp;" - "&amp;F1338</f>
        <v/>
      </c>
      <c r="H1338" s="36" t="inlineStr">
        <is>
          <t>RAS</t>
        </is>
      </c>
      <c r="I1338" s="45" t="inlineStr"/>
      <c r="J1338" s="45" t="inlineStr">
        <is>
          <t>RNCP37919</t>
        </is>
      </c>
      <c r="K1338" s="45" t="inlineStr">
        <is>
          <t>CS - Maintenance des équipements thermiques individuels</t>
        </is>
      </c>
      <c r="L1338" s="45" t="inlineStr">
        <is>
          <t>31/12/2030</t>
        </is>
      </c>
      <c r="M1338" s="45" t="inlineStr"/>
      <c r="N1338" s="50" t="inlineStr">
        <is>
          <t>NON</t>
        </is>
      </c>
      <c r="O1338" s="45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TP - Agent de maintenance d'équipements de confort climatique</t>
        </is>
      </c>
      <c r="L1339" s="45" t="inlineStr">
        <is>
          <t>31/12/2030</t>
        </is>
      </c>
      <c r="M1339" s="45" t="inlineStr"/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TP - Technicien de maintenance d'équipements de confort climatique</t>
        </is>
      </c>
      <c r="L1340" s="45" t="inlineStr">
        <is>
          <t>31/12/2030</t>
        </is>
      </c>
      <c r="M1340" s="45" t="inlineStr"/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CAP - Monteur en installations sanitaires</t>
        </is>
      </c>
      <c r="L1341" s="45" t="inlineStr">
        <is>
          <t>31/12/2030</t>
        </is>
      </c>
      <c r="M1341" s="45" t="inlineStr"/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BTS - 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31/12/2030</t>
        </is>
      </c>
      <c r="M1342" s="45" t="inlineStr"/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TP - Agent de maintenance CVC</t>
        </is>
      </c>
      <c r="L1343" s="45" t="inlineStr">
        <is>
          <t>31/12/2030</t>
        </is>
      </c>
      <c r="M1343" s="45" t="inlineStr"/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TP - Technicien de maintenance CVC</t>
        </is>
      </c>
      <c r="L1344" s="45" t="inlineStr">
        <is>
          <t>31/12/2030</t>
        </is>
      </c>
      <c r="M1344" s="45" t="inlineStr"/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31/12/2030</t>
        </is>
      </c>
      <c r="M1345" s="45" t="inlineStr"/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31/12/2030</t>
        </is>
      </c>
      <c r="M1346" s="45" t="inlineStr"/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31/12/2030</t>
        </is>
      </c>
      <c r="M1347" s="45" t="inlineStr"/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31/12/2030</t>
        </is>
      </c>
      <c r="M1348" s="45" t="inlineStr"/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BAC PRO - Technicien en transport et distribution des gaz</t>
        </is>
      </c>
      <c r="L1349" s="45" t="inlineStr">
        <is>
          <t>31/12/2030</t>
        </is>
      </c>
      <c r="M1349" s="45" t="inlineStr"/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31/12/2030</t>
        </is>
      </c>
      <c r="M1350" s="45" t="inlineStr"/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TP - Technicien d'études en chauffage, ventilation et climatisation</t>
        </is>
      </c>
      <c r="L1351" s="45" t="inlineStr">
        <is>
          <t>31/12/2030</t>
        </is>
      </c>
      <c r="M1351" s="45" t="inlineStr"/>
      <c r="N1351" s="50" t="inlineStr">
        <is>
          <t>NON</t>
        </is>
      </c>
      <c r="O1351" s="45" t="inlineStr"/>
    </row>
    <row r="1352" customFormat="1" s="3">
      <c r="A1352" s="45" t="n"/>
      <c r="B1352" s="46" t="inlineStr">
        <is>
          <t>22657</t>
        </is>
      </c>
      <c r="C1352" s="46">
        <f>LEFT(Tableau1[[#This Row],[Formacode]],3)</f>
        <v/>
      </c>
      <c r="D1352" s="47" t="n">
        <v>37659</v>
      </c>
      <c r="E1352" s="48">
        <f>"RNCP"&amp;D1352</f>
        <v/>
      </c>
      <c r="F1352" s="48" t="inlineStr">
        <is>
          <t>Fumiste, option ramoneur, option poêlier-âtrier (CTM)</t>
        </is>
      </c>
      <c r="G1352" s="49">
        <f>E1352&amp;" - "&amp;F1352</f>
        <v/>
      </c>
      <c r="H1352" s="36" t="inlineStr">
        <is>
          <t>RAS</t>
        </is>
      </c>
      <c r="I1352" s="45" t="inlineStr"/>
      <c r="J1352" s="45" t="inlineStr">
        <is>
          <t>RNCP37659</t>
        </is>
      </c>
      <c r="K1352" s="45" t="inlineStr">
        <is>
          <t>Fumiste, option ramoneur, option poêlier-âtrier (CTM)</t>
        </is>
      </c>
      <c r="L1352" s="45" t="inlineStr">
        <is>
          <t>31/12/2030</t>
        </is>
      </c>
      <c r="M1352" s="45" t="inlineStr"/>
      <c r="N1352" s="50" t="inlineStr">
        <is>
          <t>NON</t>
        </is>
      </c>
      <c r="O1352" s="45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BTS - 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31/12/2030</t>
        </is>
      </c>
      <c r="M1353" s="45" t="inlineStr"/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31/12/2030</t>
        </is>
      </c>
      <c r="M1354" s="45" t="inlineStr"/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31/12/2030</t>
        </is>
      </c>
      <c r="M1355" s="45" t="inlineStr"/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31/12/2030</t>
        </is>
      </c>
      <c r="M1356" s="45" t="inlineStr"/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TP - Technicien d'études en chauffage, ventilation et climatisation</t>
        </is>
      </c>
      <c r="L1357" s="45" t="inlineStr">
        <is>
          <t>31/12/2030</t>
        </is>
      </c>
      <c r="M1357" s="45" t="inlineStr"/>
      <c r="N1357" s="50" t="inlineStr">
        <is>
          <t>NON</t>
        </is>
      </c>
      <c r="O1357" s="45" t="inlineStr"/>
    </row>
    <row r="1358" customFormat="1" s="3">
      <c r="A1358" s="45" t="n"/>
      <c r="B1358" s="46" t="inlineStr">
        <is>
          <t>22677</t>
        </is>
      </c>
      <c r="C1358" s="46">
        <f>LEFT(Tableau1[[#This Row],[Formacode]],3)</f>
        <v/>
      </c>
      <c r="D1358" s="47" t="n">
        <v>37919</v>
      </c>
      <c r="E1358" s="48">
        <f>"RNCP"&amp;D1358</f>
        <v/>
      </c>
      <c r="F1358" s="48" t="inlineStr">
        <is>
          <t>CS - Maintenance des équipements thermiques individuels</t>
        </is>
      </c>
      <c r="G1358" s="49">
        <f>E1358&amp;" - "&amp;F1358</f>
        <v/>
      </c>
      <c r="H1358" s="36" t="inlineStr">
        <is>
          <t>RAS</t>
        </is>
      </c>
      <c r="I1358" s="45" t="inlineStr"/>
      <c r="J1358" s="45" t="inlineStr">
        <is>
          <t>RNCP37919</t>
        </is>
      </c>
      <c r="K1358" s="45" t="inlineStr">
        <is>
          <t>CS - Maintenance des équipements thermiques individuels</t>
        </is>
      </c>
      <c r="L1358" s="45" t="inlineStr">
        <is>
          <t>31/12/2030</t>
        </is>
      </c>
      <c r="M1358" s="45" t="inlineStr"/>
      <c r="N1358" s="50" t="inlineStr">
        <is>
          <t>NON</t>
        </is>
      </c>
      <c r="O1358" s="45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CAP - Monteur en installations sanitaires</t>
        </is>
      </c>
      <c r="L1359" s="45" t="inlineStr">
        <is>
          <t>31/12/2030</t>
        </is>
      </c>
      <c r="M1359" s="45" t="inlineStr"/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BTS - 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31/12/2030</t>
        </is>
      </c>
      <c r="M1360" s="45" t="inlineStr"/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BP - Monteur en installations de génie climatique et sanitaire</t>
        </is>
      </c>
      <c r="L1361" s="45" t="inlineStr">
        <is>
          <t>31/12/2030</t>
        </is>
      </c>
      <c r="M1361" s="45" t="inlineStr"/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CAP - Constructeur de réseaux de canalisations de travaux publics</t>
        </is>
      </c>
      <c r="L1362" s="45" t="inlineStr">
        <is>
          <t>31/12/2030</t>
        </is>
      </c>
      <c r="M1362" s="45" t="inlineStr"/>
      <c r="N1362" s="50" t="inlineStr">
        <is>
          <t>NON</t>
        </is>
      </c>
      <c r="O1362" s="45" t="inlineStr"/>
    </row>
    <row r="1363" customFormat="1" s="3">
      <c r="A1363" s="45" t="n"/>
      <c r="B1363" s="46" t="inlineStr">
        <is>
          <t>22685</t>
        </is>
      </c>
      <c r="C1363" s="46">
        <f>LEFT(Tableau1[[#This Row],[Formacode]],3)</f>
        <v/>
      </c>
      <c r="D1363" s="47" t="n">
        <v>35189</v>
      </c>
      <c r="E1363" s="48">
        <f>"RNCP"&amp;D1363</f>
        <v/>
      </c>
      <c r="F1363" s="48" t="inlineStr">
        <is>
          <t>TP - Installateur thermique et sanitaire</t>
        </is>
      </c>
      <c r="G1363" s="49">
        <f>E1363&amp;" - "&amp;F1363</f>
        <v/>
      </c>
      <c r="H1363" s="36" t="inlineStr">
        <is>
          <t>RAS</t>
        </is>
      </c>
      <c r="I1363" s="45" t="inlineStr"/>
      <c r="J1363" s="45" t="inlineStr">
        <is>
          <t>RNCP35189</t>
        </is>
      </c>
      <c r="K1363" s="45" t="inlineStr">
        <is>
          <t>TP - Installateur thermique et sanitaire</t>
        </is>
      </c>
      <c r="L1363" s="45" t="inlineStr">
        <is>
          <t>31/12/2030</t>
        </is>
      </c>
      <c r="M1363" s="45" t="inlineStr"/>
      <c r="N1363" s="50" t="inlineStr">
        <is>
          <t>NON</t>
        </is>
      </c>
      <c r="O1363" s="45" t="inlineStr"/>
    </row>
    <row r="1364" customFormat="1" s="3">
      <c r="A1364" s="45" t="n"/>
      <c r="B1364" s="46" t="inlineStr">
        <is>
          <t>22685</t>
        </is>
      </c>
      <c r="C1364" s="46">
        <f>LEFT(Tableau1[[#This Row],[Formacode]],3)</f>
        <v/>
      </c>
      <c r="D1364" s="47" t="n">
        <v>35231</v>
      </c>
      <c r="E1364" s="48">
        <f>"RNCP"&amp;D1364</f>
        <v/>
      </c>
      <c r="F1364" s="48" t="inlineStr">
        <is>
          <t>TP - Technicien d'installation en équipements de confort climatique</t>
        </is>
      </c>
      <c r="G1364" s="49">
        <f>E1364&amp;" - "&amp;F1364</f>
        <v/>
      </c>
      <c r="H1364" s="36" t="inlineStr">
        <is>
          <t>RAS</t>
        </is>
      </c>
      <c r="I1364" s="45" t="inlineStr"/>
      <c r="J1364" s="45" t="inlineStr">
        <is>
          <t>RNCP35231</t>
        </is>
      </c>
      <c r="K1364" s="45" t="inlineStr">
        <is>
          <t>TP - Technicien d'installation en équipements de confort climatique</t>
        </is>
      </c>
      <c r="L1364" s="45" t="inlineStr">
        <is>
          <t>31/12/2030</t>
        </is>
      </c>
      <c r="M1364" s="45" t="inlineStr"/>
      <c r="N1364" s="50" t="inlineStr">
        <is>
          <t>NON</t>
        </is>
      </c>
      <c r="O1364" s="45" t="inlineStr"/>
    </row>
    <row r="1365" customFormat="1" s="3">
      <c r="A1365" s="45" t="n"/>
      <c r="B1365" s="46" t="inlineStr">
        <is>
          <t>22685</t>
        </is>
      </c>
      <c r="C1365" s="46">
        <f>LEFT(Tableau1[[#This Row],[Formacode]],3)</f>
        <v/>
      </c>
      <c r="D1365" s="47" t="n">
        <v>35845</v>
      </c>
      <c r="E1365" s="48">
        <f>"RNCP"&amp;D1365</f>
        <v/>
      </c>
      <c r="F1365" s="48" t="inlineStr">
        <is>
          <t>BAC PRO - Installateur en Chauffage, Climatisation et Énergies Renouvelables</t>
        </is>
      </c>
      <c r="G1365" s="49">
        <f>E1365&amp;" - "&amp;F1365</f>
        <v/>
      </c>
      <c r="H1365" s="36" t="inlineStr">
        <is>
          <t>RAS</t>
        </is>
      </c>
      <c r="I1365" s="45" t="inlineStr"/>
      <c r="J1365" s="45" t="inlineStr">
        <is>
          <t>RNCP35845</t>
        </is>
      </c>
      <c r="K1365" s="45" t="inlineStr">
        <is>
          <t>BAC PRO - Installateur en Chauffage, Climatisation et Énergies Renouvelables</t>
        </is>
      </c>
      <c r="L1365" s="45" t="inlineStr">
        <is>
          <t>31/12/2030</t>
        </is>
      </c>
      <c r="M1365" s="45" t="inlineStr"/>
      <c r="N1365" s="50" t="inlineStr">
        <is>
          <t>NON</t>
        </is>
      </c>
      <c r="O1365" s="45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TP - Technicien d'études en chauffage, ventilation et climatisation</t>
        </is>
      </c>
      <c r="L1366" s="45" t="inlineStr">
        <is>
          <t>31/12/2030</t>
        </is>
      </c>
      <c r="M1366" s="45" t="inlineStr"/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TP - Technicien de maintenance d'équipements de confort climatique</t>
        </is>
      </c>
      <c r="L1367" s="45" t="inlineStr">
        <is>
          <t>31/12/2030</t>
        </is>
      </c>
      <c r="M1367" s="45" t="inlineStr"/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CAP - Monteur en installations thermiques</t>
        </is>
      </c>
      <c r="L1368" s="45" t="inlineStr">
        <is>
          <t>31/12/2030</t>
        </is>
      </c>
      <c r="M1368" s="45" t="inlineStr"/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BTS - 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31/12/2030</t>
        </is>
      </c>
      <c r="M1369" s="45" t="inlineStr"/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31/12/2030</t>
        </is>
      </c>
      <c r="M1370" s="45" t="inlineStr"/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31/12/2030</t>
        </is>
      </c>
      <c r="M1371" s="45" t="inlineStr"/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TP - Technicien d'études en chauffage, ventilation et climatisation</t>
        </is>
      </c>
      <c r="L1372" s="45" t="inlineStr">
        <is>
          <t>31/12/2030</t>
        </is>
      </c>
      <c r="M1372" s="45" t="inlineStr"/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BTS - 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31/12/2030</t>
        </is>
      </c>
      <c r="M1373" s="45" t="inlineStr"/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BAC PRO - Technicien en transport et distribution des gaz</t>
        </is>
      </c>
      <c r="L1374" s="45" t="inlineStr">
        <is>
          <t>31/12/2030</t>
        </is>
      </c>
      <c r="M1374" s="45" t="inlineStr"/>
      <c r="N1374" s="50" t="inlineStr">
        <is>
          <t>NON</t>
        </is>
      </c>
      <c r="O1374" s="45" t="inlineStr"/>
    </row>
    <row r="1375" customFormat="1" s="3">
      <c r="A1375" s="45" t="n"/>
      <c r="B1375" s="46" t="inlineStr">
        <is>
          <t>22820</t>
        </is>
      </c>
      <c r="C1375" s="46">
        <f>LEFT(Tableau1[[#This Row],[Formacode]],3)</f>
        <v/>
      </c>
      <c r="D1375" s="47" t="n">
        <v>39191</v>
      </c>
      <c r="E1375" s="48">
        <f>"RNCP"&amp;D1375</f>
        <v/>
      </c>
      <c r="F1375" s="48" t="inlineStr">
        <is>
          <t>CS - Conducteur de machines de verrerie</t>
        </is>
      </c>
      <c r="G1375" s="49">
        <f>E1375&amp;" - "&amp;F1375</f>
        <v/>
      </c>
      <c r="H1375" s="36" t="inlineStr">
        <is>
          <t>RAS</t>
        </is>
      </c>
      <c r="I1375" s="45" t="inlineStr"/>
      <c r="J1375" s="45" t="inlineStr">
        <is>
          <t>RNCP39191</t>
        </is>
      </c>
      <c r="K1375" s="45" t="inlineStr">
        <is>
          <t>CS - Conducteur de machines de verrerie</t>
        </is>
      </c>
      <c r="L1375" s="45" t="inlineStr">
        <is>
          <t>31/12/2030</t>
        </is>
      </c>
      <c r="M1375" s="45" t="inlineStr"/>
      <c r="N1375" s="50" t="inlineStr">
        <is>
          <t>NON</t>
        </is>
      </c>
      <c r="O1375" s="45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CAP - Souffleur de verre options Enseigne lumineuse et Verrerie scientifique</t>
        </is>
      </c>
      <c r="L1376" s="45" t="inlineStr">
        <is>
          <t>31/12/2030</t>
        </is>
      </c>
      <c r="M1376" s="45" t="inlineStr"/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BTS - Industries céramiques</t>
        </is>
      </c>
      <c r="L1377" s="45" t="inlineStr">
        <is>
          <t>31/12/2030</t>
        </is>
      </c>
      <c r="M1377" s="45" t="inlineStr"/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CAP - Modèles et moules céramiques</t>
        </is>
      </c>
      <c r="L1378" s="45" t="inlineStr">
        <is>
          <t>31/12/2030</t>
        </is>
      </c>
      <c r="M1378" s="45" t="inlineStr"/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BAC PRO - Technicien en chaudronnerie industrielle</t>
        </is>
      </c>
      <c r="L1379" s="45" t="inlineStr">
        <is>
          <t>31/12/2030</t>
        </is>
      </c>
      <c r="M1379" s="45" t="inlineStr"/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31/12/2030</t>
        </is>
      </c>
      <c r="M1380" s="45" t="inlineStr"/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31/12/2030</t>
        </is>
      </c>
      <c r="M1381" s="45" t="inlineStr"/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31/12/2030</t>
        </is>
      </c>
      <c r="M1382" s="45" t="inlineStr"/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31/12/2030</t>
        </is>
      </c>
      <c r="M1383" s="45" t="inlineStr"/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31/12/2030</t>
        </is>
      </c>
      <c r="M1384" s="45" t="inlineStr"/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31/12/2030</t>
        </is>
      </c>
      <c r="M1385" s="45" t="inlineStr"/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31/12/2030</t>
        </is>
      </c>
      <c r="M1386" s="45" t="inlineStr"/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CAP - Constructeur d'ouvrages en béton armé</t>
        </is>
      </c>
      <c r="L1387" s="45" t="inlineStr">
        <is>
          <t>31/12/2030</t>
        </is>
      </c>
      <c r="M1387" s="45" t="inlineStr"/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31/12/2030</t>
        </is>
      </c>
      <c r="M1388" s="45" t="inlineStr"/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31/12/2030</t>
        </is>
      </c>
      <c r="M1389" s="45" t="inlineStr"/>
      <c r="N1389" s="50" t="inlineStr">
        <is>
          <t>NON</t>
        </is>
      </c>
      <c r="O1389" s="45" t="inlineStr"/>
    </row>
    <row r="1390" customFormat="1" s="3">
      <c r="A1390" s="45" t="n"/>
      <c r="B1390" s="46" t="inlineStr">
        <is>
          <t>22867</t>
        </is>
      </c>
      <c r="C1390" s="46">
        <f>LEFT(Tableau1[[#This Row],[Formacode]],3)</f>
        <v/>
      </c>
      <c r="D1390" s="47" t="n">
        <v>35229</v>
      </c>
      <c r="E1390" s="48">
        <f>"RNCP"&amp;D1390</f>
        <v/>
      </c>
      <c r="F1390" s="48" t="inlineStr">
        <is>
          <t>TP - Stratifieur multiprocédés en matériaux composites</t>
        </is>
      </c>
      <c r="G1390" s="49">
        <f>E1390&amp;" - "&amp;F1390</f>
        <v/>
      </c>
      <c r="H1390" s="36" t="inlineStr">
        <is>
          <t>RAS</t>
        </is>
      </c>
      <c r="I1390" s="45" t="inlineStr"/>
      <c r="J1390" s="45" t="inlineStr">
        <is>
          <t>RNCP35229</t>
        </is>
      </c>
      <c r="K1390" s="45" t="inlineStr">
        <is>
          <t>TP - Stratifieur multiprocédés en matériaux composites</t>
        </is>
      </c>
      <c r="L1390" s="45" t="inlineStr">
        <is>
          <t>31/12/2030</t>
        </is>
      </c>
      <c r="M1390" s="45" t="inlineStr"/>
      <c r="N1390" s="50" t="inlineStr">
        <is>
          <t>NON</t>
        </is>
      </c>
      <c r="O1390" s="45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Brevet de technicien supérieur - Métiers de l’esthétique, de la cosmétique et de la parfumerie</t>
        </is>
      </c>
      <c r="L1391" s="45" t="inlineStr">
        <is>
          <t>31/12/2030</t>
        </is>
      </c>
      <c r="M1391" s="45" t="inlineStr"/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BTS - Métiers de la chimie</t>
        </is>
      </c>
      <c r="L1392" s="45" t="inlineStr">
        <is>
          <t>31/12/2030</t>
        </is>
      </c>
      <c r="M1392" s="45" t="inlineStr"/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31/12/2030</t>
        </is>
      </c>
      <c r="M1393" s="45" t="inlineStr"/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TP - Technicien des matériaux composites</t>
        </is>
      </c>
      <c r="L1394" s="45" t="inlineStr">
        <is>
          <t>31/12/2030</t>
        </is>
      </c>
      <c r="M1394" s="45" t="inlineStr"/>
      <c r="N1394" s="50" t="inlineStr">
        <is>
          <t>NON</t>
        </is>
      </c>
      <c r="O1394" s="45" t="inlineStr"/>
    </row>
    <row r="1395" customFormat="1" s="3">
      <c r="A1395" s="45" t="n"/>
      <c r="B1395" s="46" t="inlineStr">
        <is>
          <t>22867</t>
        </is>
      </c>
      <c r="C1395" s="46">
        <f>LEFT(Tableau1[[#This Row],[Formacode]],3)</f>
        <v/>
      </c>
      <c r="D1395" s="47" t="n">
        <v>39995</v>
      </c>
      <c r="E1395" s="48">
        <f>"RNCP"&amp;D1395</f>
        <v/>
      </c>
      <c r="F1395" s="48" t="inlineStr">
        <is>
          <t>CQP Conducteur d'équipement industriel caoutchouc</t>
        </is>
      </c>
      <c r="G1395" s="49">
        <f>E1395&amp;" - "&amp;F1395</f>
        <v/>
      </c>
      <c r="H1395" s="36" t="inlineStr">
        <is>
          <t>RAS</t>
        </is>
      </c>
      <c r="I1395" s="45" t="inlineStr"/>
      <c r="J1395" s="45" t="inlineStr">
        <is>
          <t>RNCP39995</t>
        </is>
      </c>
      <c r="K1395" s="45" t="inlineStr">
        <is>
          <t>CQP Conducteur d'équipement industriel caoutchouc</t>
        </is>
      </c>
      <c r="L1395" s="45" t="inlineStr">
        <is>
          <t>31/12/2030</t>
        </is>
      </c>
      <c r="M1395" s="45" t="inlineStr"/>
      <c r="N1395" s="50" t="inlineStr">
        <is>
          <t>NON</t>
        </is>
      </c>
      <c r="O1395" s="45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31/12/2030</t>
        </is>
      </c>
      <c r="M1396" s="45" t="inlineStr"/>
      <c r="N1396" s="50" t="inlineStr">
        <is>
          <t>NON</t>
        </is>
      </c>
      <c r="O1396" s="45" t="inlineStr"/>
    </row>
    <row r="1397" customFormat="1" s="3">
      <c r="A1397" s="45" t="n"/>
      <c r="B1397" s="46" t="inlineStr">
        <is>
          <t>22871</t>
        </is>
      </c>
      <c r="C1397" s="46">
        <f>LEFT(Tableau1[[#This Row],[Formacode]],3)</f>
        <v/>
      </c>
      <c r="D1397" s="47" t="n">
        <v>35229</v>
      </c>
      <c r="E1397" s="48">
        <f>"RNCP"&amp;D1397</f>
        <v/>
      </c>
      <c r="F1397" s="48" t="inlineStr">
        <is>
          <t>TP - Stratifieur multiprocédés en matériaux composites</t>
        </is>
      </c>
      <c r="G1397" s="49">
        <f>E1397&amp;" - "&amp;F1397</f>
        <v/>
      </c>
      <c r="H1397" s="36" t="inlineStr">
        <is>
          <t>RAS</t>
        </is>
      </c>
      <c r="I1397" s="45" t="inlineStr"/>
      <c r="J1397" s="45" t="inlineStr">
        <is>
          <t>RNCP35229</t>
        </is>
      </c>
      <c r="K1397" s="45" t="inlineStr">
        <is>
          <t>TP - Stratifieur multiprocédés en matériaux composites</t>
        </is>
      </c>
      <c r="L1397" s="45" t="inlineStr">
        <is>
          <t>31/12/2030</t>
        </is>
      </c>
      <c r="M1397" s="45" t="inlineStr"/>
      <c r="N1397" s="50" t="inlineStr">
        <is>
          <t>NON</t>
        </is>
      </c>
      <c r="O1397" s="45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CAP - composites, plastiques chaudronnés</t>
        </is>
      </c>
      <c r="L1398" s="45" t="inlineStr">
        <is>
          <t>31/12/2030</t>
        </is>
      </c>
      <c r="M1398" s="45" t="inlineStr"/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BAC PRO - Plastiques et composites</t>
        </is>
      </c>
      <c r="L1399" s="45" t="inlineStr">
        <is>
          <t>31/12/2030</t>
        </is>
      </c>
      <c r="M1399" s="45" t="inlineStr"/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TP - Technicien des matériaux composites</t>
        </is>
      </c>
      <c r="L1400" s="45" t="inlineStr">
        <is>
          <t>31/12/2030</t>
        </is>
      </c>
      <c r="M1400" s="45" t="inlineStr"/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TP - Constructeur aménageur nautique bois et composites</t>
        </is>
      </c>
      <c r="L1401" s="45" t="inlineStr">
        <is>
          <t>31/12/2030</t>
        </is>
      </c>
      <c r="M1401" s="45" t="inlineStr"/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31/12/2030</t>
        </is>
      </c>
      <c r="M1402" s="45" t="inlineStr"/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TP - Opérateur composites hautes performances</t>
        </is>
      </c>
      <c r="L1403" s="45" t="inlineStr">
        <is>
          <t>31/12/2030</t>
        </is>
      </c>
      <c r="M1403" s="45" t="inlineStr"/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BAC PRO - Technicien de scierie</t>
        </is>
      </c>
      <c r="L1404" s="45" t="inlineStr">
        <is>
          <t>31/12/2030</t>
        </is>
      </c>
      <c r="M1404" s="45" t="inlineStr"/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CAP - Charpentier de marine</t>
        </is>
      </c>
      <c r="L1405" s="45" t="inlineStr">
        <is>
          <t>31/12/2030</t>
        </is>
      </c>
      <c r="M1405" s="45" t="inlineStr"/>
      <c r="N1405" s="50" t="inlineStr">
        <is>
          <t>NON</t>
        </is>
      </c>
      <c r="O1405" s="45" t="inlineStr"/>
    </row>
    <row r="1406" customFormat="1" s="3">
      <c r="A1406" s="45" t="n"/>
      <c r="B1406" s="46" t="inlineStr">
        <is>
          <t>22881</t>
        </is>
      </c>
      <c r="C1406" s="46">
        <f>LEFT(Tableau1[[#This Row],[Formacode]],3)</f>
        <v/>
      </c>
      <c r="D1406" s="47" t="n">
        <v>38410</v>
      </c>
      <c r="E1406" s="48">
        <f>"RNCP"&amp;D1406</f>
        <v/>
      </c>
      <c r="F1406" s="48" t="inlineStr">
        <is>
          <t>BP - Charpentier de marine</t>
        </is>
      </c>
      <c r="G1406" s="49">
        <f>E1406&amp;" - "&amp;F1406</f>
        <v/>
      </c>
      <c r="H1406" s="36" t="inlineStr">
        <is>
          <t>RAS</t>
        </is>
      </c>
      <c r="I1406" s="45" t="inlineStr"/>
      <c r="J1406" s="45" t="inlineStr">
        <is>
          <t>RNCP38410</t>
        </is>
      </c>
      <c r="K1406" s="45" t="inlineStr">
        <is>
          <t>BP - Charpentier de marine</t>
        </is>
      </c>
      <c r="L1406" s="45" t="inlineStr">
        <is>
          <t>31/12/2030</t>
        </is>
      </c>
      <c r="M1406" s="45" t="inlineStr"/>
      <c r="N1406" s="50" t="inlineStr">
        <is>
          <t>NON</t>
        </is>
      </c>
      <c r="O1406" s="45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TP - Constructeur aménageur nautique bois et composites</t>
        </is>
      </c>
      <c r="L1407" s="45" t="inlineStr">
        <is>
          <t>31/12/2030</t>
        </is>
      </c>
      <c r="M1407" s="45" t="inlineStr"/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CAP - Menuisier en sièges</t>
        </is>
      </c>
      <c r="L1408" s="45" t="inlineStr">
        <is>
          <t>31/12/2030</t>
        </is>
      </c>
      <c r="M1408" s="45" t="inlineStr"/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BAC PRO - Procédés de la chimie, de l'eau et des papiers cartons</t>
        </is>
      </c>
      <c r="L1409" s="45" t="inlineStr">
        <is>
          <t>31/12/2030</t>
        </is>
      </c>
      <c r="M1409" s="45" t="inlineStr"/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31/12/2030</t>
        </is>
      </c>
      <c r="M1410" s="45" t="inlineStr"/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31/12/2030</t>
        </is>
      </c>
      <c r="M1411" s="45" t="inlineStr"/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31/12/2030</t>
        </is>
      </c>
      <c r="M1412" s="45" t="inlineStr"/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31/12/2030</t>
        </is>
      </c>
      <c r="M1413" s="45" t="inlineStr"/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31/12/2030</t>
        </is>
      </c>
      <c r="M1414" s="45" t="inlineStr"/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TP - Conducteur de machines de plasturgie</t>
        </is>
      </c>
      <c r="L1415" s="45" t="inlineStr">
        <is>
          <t>31/12/2030</t>
        </is>
      </c>
      <c r="M1415" s="45" t="inlineStr"/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BTS - EuroPlastics et Composites - Option CO: Conception Outillage - Option POP : Pilotage et Optimisation de la Production</t>
        </is>
      </c>
      <c r="L1416" s="45" t="inlineStr">
        <is>
          <t>31/12/2030</t>
        </is>
      </c>
      <c r="M1416" s="45" t="inlineStr"/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CAP - composites, plastiques chaudronnés</t>
        </is>
      </c>
      <c r="L1417" s="45" t="inlineStr">
        <is>
          <t>31/12/2030</t>
        </is>
      </c>
      <c r="M1417" s="45" t="inlineStr"/>
      <c r="N1417" s="50" t="inlineStr">
        <is>
          <t>NON</t>
        </is>
      </c>
      <c r="O1417" s="45" t="inlineStr"/>
    </row>
    <row r="1418" customFormat="1" s="3">
      <c r="A1418" s="45" t="n"/>
      <c r="B1418" s="46" t="inlineStr">
        <is>
          <t>23021</t>
        </is>
      </c>
      <c r="C1418" s="46">
        <f>LEFT(Tableau1[[#This Row],[Formacode]],3)</f>
        <v/>
      </c>
      <c r="D1418" s="47" t="n">
        <v>38471</v>
      </c>
      <c r="E1418" s="48">
        <f>"RNCP"&amp;D1418</f>
        <v/>
      </c>
      <c r="F1418" s="48" t="inlineStr">
        <is>
          <t>CQP Polisseur</t>
        </is>
      </c>
      <c r="G1418" s="49">
        <f>E1418&amp;" - "&amp;F1418</f>
        <v/>
      </c>
      <c r="H1418" s="36" t="inlineStr">
        <is>
          <t>RAS</t>
        </is>
      </c>
      <c r="I1418" s="45" t="inlineStr"/>
      <c r="J1418" s="45" t="inlineStr">
        <is>
          <t>RNCP38471</t>
        </is>
      </c>
      <c r="K1418" s="45" t="inlineStr">
        <is>
          <t>CQP Polisseur</t>
        </is>
      </c>
      <c r="L1418" s="45" t="inlineStr">
        <is>
          <t>31/12/2030</t>
        </is>
      </c>
      <c r="M1418" s="45" t="inlineStr"/>
      <c r="N1418" s="50" t="inlineStr">
        <is>
          <t>NON</t>
        </is>
      </c>
      <c r="O1418" s="45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BAC PRO - Plastiques et composites</t>
        </is>
      </c>
      <c r="L1419" s="45" t="inlineStr">
        <is>
          <t>31/12/2030</t>
        </is>
      </c>
      <c r="M1419" s="45" t="inlineStr"/>
      <c r="N1419" s="50" t="inlineStr">
        <is>
          <t>NON</t>
        </is>
      </c>
      <c r="O1419" s="45" t="inlineStr"/>
    </row>
    <row r="1420" customFormat="1" s="3">
      <c r="A1420" s="45" t="n"/>
      <c r="B1420" s="46" t="inlineStr">
        <is>
          <t>23021</t>
        </is>
      </c>
      <c r="C1420" s="46">
        <f>LEFT(Tableau1[[#This Row],[Formacode]],3)</f>
        <v/>
      </c>
      <c r="D1420" s="47" t="n">
        <v>38784</v>
      </c>
      <c r="E1420" s="48">
        <f>"RNCP"&amp;D1420</f>
        <v/>
      </c>
      <c r="F1420" s="48" t="inlineStr">
        <is>
          <t>CQP Assembleur-monteur de menuiseries extérieures en plasturgie</t>
        </is>
      </c>
      <c r="G1420" s="49">
        <f>E1420&amp;" - "&amp;F1420</f>
        <v/>
      </c>
      <c r="H1420" s="36" t="inlineStr">
        <is>
          <t>RAS</t>
        </is>
      </c>
      <c r="I1420" s="45" t="inlineStr"/>
      <c r="J1420" s="45" t="inlineStr">
        <is>
          <t>RNCP38784</t>
        </is>
      </c>
      <c r="K1420" s="45" t="inlineStr">
        <is>
          <t>CQP Assembleur-monteur de menuiseries extérieures en plasturgie</t>
        </is>
      </c>
      <c r="L1420" s="45" t="inlineStr">
        <is>
          <t>31/12/2030</t>
        </is>
      </c>
      <c r="M1420" s="45" t="inlineStr"/>
      <c r="N1420" s="50" t="inlineStr">
        <is>
          <t>NON</t>
        </is>
      </c>
      <c r="O1420" s="45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31/12/2030</t>
        </is>
      </c>
      <c r="M1421" s="45" t="inlineStr"/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31/12/2030</t>
        </is>
      </c>
      <c r="M1422" s="45" t="inlineStr"/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31/12/2030</t>
        </is>
      </c>
      <c r="M1423" s="45" t="inlineStr"/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31/12/2030</t>
        </is>
      </c>
      <c r="M1424" s="45" t="inlineStr"/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31/12/2030</t>
        </is>
      </c>
      <c r="M1425" s="45" t="inlineStr"/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31/12/2030</t>
        </is>
      </c>
      <c r="M1426" s="45" t="inlineStr"/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31/12/2030</t>
        </is>
      </c>
      <c r="M1427" s="45" t="inlineStr"/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31/12/2030</t>
        </is>
      </c>
      <c r="M1428" s="45" t="inlineStr"/>
      <c r="N1428" s="50" t="inlineStr">
        <is>
          <t>NON</t>
        </is>
      </c>
      <c r="O1428" s="45" t="inlineStr"/>
    </row>
    <row r="1429" customFormat="1" s="3">
      <c r="A1429" s="45" t="n"/>
      <c r="B1429" s="46" t="inlineStr">
        <is>
          <t>23035</t>
        </is>
      </c>
      <c r="C1429" s="46">
        <f>LEFT(Tableau1[[#This Row],[Formacode]],3)</f>
        <v/>
      </c>
      <c r="D1429" s="47" t="n">
        <v>35229</v>
      </c>
      <c r="E1429" s="48">
        <f>"RNCP"&amp;D1429</f>
        <v/>
      </c>
      <c r="F1429" s="48" t="inlineStr">
        <is>
          <t>TP - Stratifieur multiprocédés en matériaux composites</t>
        </is>
      </c>
      <c r="G1429" s="49">
        <f>E1429&amp;" - "&amp;F1429</f>
        <v/>
      </c>
      <c r="H1429" s="36" t="inlineStr">
        <is>
          <t>RAS</t>
        </is>
      </c>
      <c r="I1429" s="45" t="inlineStr"/>
      <c r="J1429" s="45" t="inlineStr">
        <is>
          <t>RNCP35229</t>
        </is>
      </c>
      <c r="K1429" s="45" t="inlineStr">
        <is>
          <t>TP - Stratifieur multiprocédés en matériaux composites</t>
        </is>
      </c>
      <c r="L1429" s="45" t="inlineStr">
        <is>
          <t>31/12/2030</t>
        </is>
      </c>
      <c r="M1429" s="45" t="inlineStr"/>
      <c r="N1429" s="50" t="inlineStr">
        <is>
          <t>NON</t>
        </is>
      </c>
      <c r="O1429" s="45" t="inlineStr"/>
    </row>
    <row r="1430" customFormat="1" s="3">
      <c r="A1430" s="45" t="n"/>
      <c r="B1430" s="46" t="inlineStr">
        <is>
          <t>23035</t>
        </is>
      </c>
      <c r="C1430" s="46">
        <f>LEFT(Tableau1[[#This Row],[Formacode]],3)</f>
        <v/>
      </c>
      <c r="D1430" s="47" t="n">
        <v>35937</v>
      </c>
      <c r="E1430" s="48">
        <f>"RNCP"&amp;D1430</f>
        <v/>
      </c>
      <c r="F1430" s="48" t="inlineStr">
        <is>
          <t>TP - Agent de fabrication et montage en chaudronnerie</t>
        </is>
      </c>
      <c r="G1430" s="49">
        <f>E1430&amp;" - "&amp;F1430</f>
        <v/>
      </c>
      <c r="H1430" s="36" t="inlineStr">
        <is>
          <t>RAS</t>
        </is>
      </c>
      <c r="I1430" s="45" t="inlineStr"/>
      <c r="J1430" s="45" t="inlineStr">
        <is>
          <t>RNCP35937</t>
        </is>
      </c>
      <c r="K1430" s="45" t="inlineStr">
        <is>
          <t>TP - Agent de fabrication et montage en chaudronnerie</t>
        </is>
      </c>
      <c r="L1430" s="45" t="inlineStr">
        <is>
          <t>31/12/2030</t>
        </is>
      </c>
      <c r="M1430" s="45" t="inlineStr"/>
      <c r="N1430" s="50" t="inlineStr">
        <is>
          <t>NON</t>
        </is>
      </c>
      <c r="O1430" s="45" t="inlineStr"/>
    </row>
    <row r="1431" customFormat="1" s="3">
      <c r="A1431" s="45" t="n"/>
      <c r="B1431" s="46" t="inlineStr">
        <is>
          <t>23035</t>
        </is>
      </c>
      <c r="C1431" s="46">
        <f>LEFT(Tableau1[[#This Row],[Formacode]],3)</f>
        <v/>
      </c>
      <c r="D1431" s="47" t="n">
        <v>36086</v>
      </c>
      <c r="E1431" s="48">
        <f>"RNCP"&amp;D1431</f>
        <v/>
      </c>
      <c r="F1431" s="48" t="inlineStr">
        <is>
          <t>CQP Ajusteur assembleur de structures aéronefs</t>
        </is>
      </c>
      <c r="G1431" s="49">
        <f>E1431&amp;" - "&amp;F1431</f>
        <v/>
      </c>
      <c r="H1431" s="36" t="inlineStr">
        <is>
          <t>RAS</t>
        </is>
      </c>
      <c r="I1431" s="45" t="inlineStr"/>
      <c r="J1431" s="45" t="inlineStr">
        <is>
          <t>RNCP36086</t>
        </is>
      </c>
      <c r="K1431" s="45" t="inlineStr">
        <is>
          <t>CQP Ajusteur assembleur de structures aéronefs</t>
        </is>
      </c>
      <c r="L1431" s="45" t="inlineStr">
        <is>
          <t>31/12/2030</t>
        </is>
      </c>
      <c r="M1431" s="45" t="inlineStr"/>
      <c r="N1431" s="50" t="inlineStr">
        <is>
          <t>NON</t>
        </is>
      </c>
      <c r="O1431" s="45" t="inlineStr"/>
    </row>
    <row r="1432" customFormat="1" s="3">
      <c r="A1432" s="45" t="n"/>
      <c r="B1432" s="46" t="inlineStr">
        <is>
          <t>23035</t>
        </is>
      </c>
      <c r="C1432" s="46">
        <f>LEFT(Tableau1[[#This Row],[Formacode]],3)</f>
        <v/>
      </c>
      <c r="D1432" s="47" t="n">
        <v>36169</v>
      </c>
      <c r="E1432" s="48">
        <f>"RNCP"&amp;D1432</f>
        <v/>
      </c>
      <c r="F1432" s="48" t="inlineStr">
        <is>
          <t>TP - Soudeur programmeur de cellules robotisées</t>
        </is>
      </c>
      <c r="G1432" s="49">
        <f>E1432&amp;" - "&amp;F1432</f>
        <v/>
      </c>
      <c r="H1432" s="36" t="inlineStr">
        <is>
          <t>RAS</t>
        </is>
      </c>
      <c r="I1432" s="45" t="inlineStr"/>
      <c r="J1432" s="45" t="inlineStr">
        <is>
          <t>RNCP36169</t>
        </is>
      </c>
      <c r="K1432" s="45" t="inlineStr">
        <is>
          <t>TP - Soudeur programmeur de cellules robotisées</t>
        </is>
      </c>
      <c r="L1432" s="45" t="inlineStr">
        <is>
          <t>31/12/2030</t>
        </is>
      </c>
      <c r="M1432" s="45" t="inlineStr"/>
      <c r="N1432" s="50" t="inlineStr">
        <is>
          <t>NON</t>
        </is>
      </c>
      <c r="O1432" s="45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TP - Agent de fabrication industrielle</t>
        </is>
      </c>
      <c r="L1433" s="45" t="inlineStr">
        <is>
          <t>31/12/2030</t>
        </is>
      </c>
      <c r="M1433" s="45" t="inlineStr"/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CS - Technicien en soudage</t>
        </is>
      </c>
      <c r="L1434" s="45" t="inlineStr">
        <is>
          <t>31/12/2030</t>
        </is>
      </c>
      <c r="M1434" s="45" t="inlineStr"/>
      <c r="N1434" s="50" t="inlineStr">
        <is>
          <t>NON</t>
        </is>
      </c>
      <c r="O1434" s="45" t="inlineStr"/>
    </row>
    <row r="1435" customFormat="1" s="3">
      <c r="A1435" s="45" t="n"/>
      <c r="B1435" s="46" t="inlineStr">
        <is>
          <t>23035</t>
        </is>
      </c>
      <c r="C1435" s="46">
        <f>LEFT(Tableau1[[#This Row],[Formacode]],3)</f>
        <v/>
      </c>
      <c r="D1435" s="47" t="n">
        <v>38471</v>
      </c>
      <c r="E1435" s="48">
        <f>"RNCP"&amp;D1435</f>
        <v/>
      </c>
      <c r="F1435" s="48" t="inlineStr">
        <is>
          <t>CQP Polisseur</t>
        </is>
      </c>
      <c r="G1435" s="49">
        <f>E1435&amp;" - "&amp;F1435</f>
        <v/>
      </c>
      <c r="H1435" s="36" t="inlineStr">
        <is>
          <t>RAS</t>
        </is>
      </c>
      <c r="I1435" s="45" t="inlineStr"/>
      <c r="J1435" s="45" t="inlineStr">
        <is>
          <t>RNCP38471</t>
        </is>
      </c>
      <c r="K1435" s="45" t="inlineStr">
        <is>
          <t>CQP Polisseur</t>
        </is>
      </c>
      <c r="L1435" s="45" t="inlineStr">
        <is>
          <t>31/12/2030</t>
        </is>
      </c>
      <c r="M1435" s="45" t="inlineStr"/>
      <c r="N1435" s="50" t="inlineStr">
        <is>
          <t>NON</t>
        </is>
      </c>
      <c r="O1435" s="45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CAP - Réalisations industrielles en chaudronnerie ou soudage, option A : chaudronnerie, option B : soudage</t>
        </is>
      </c>
      <c r="L1436" s="45" t="inlineStr">
        <is>
          <t>31/12/2030</t>
        </is>
      </c>
      <c r="M1436" s="45" t="inlineStr"/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TP - Technicien des matériaux composites</t>
        </is>
      </c>
      <c r="L1437" s="45" t="inlineStr">
        <is>
          <t>31/12/2030</t>
        </is>
      </c>
      <c r="M1437" s="45" t="inlineStr"/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31/12/2030</t>
        </is>
      </c>
      <c r="M1438" s="45" t="inlineStr"/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TP - Monteur qualifié d'équipements industriels</t>
        </is>
      </c>
      <c r="L1439" s="45" t="inlineStr">
        <is>
          <t>31/12/2030</t>
        </is>
      </c>
      <c r="M1439" s="45" t="inlineStr"/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31/12/2030</t>
        </is>
      </c>
      <c r="M1440" s="45" t="inlineStr"/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31/12/2030</t>
        </is>
      </c>
      <c r="M1441" s="45" t="inlineStr"/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31/12/2030</t>
        </is>
      </c>
      <c r="M1442" s="45" t="inlineStr"/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TP - Soudeur assembleur industriel</t>
        </is>
      </c>
      <c r="L1443" s="45" t="inlineStr">
        <is>
          <t>31/12/2030</t>
        </is>
      </c>
      <c r="M1443" s="45" t="inlineStr"/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TP - Ajusteur monteur aéronautique</t>
        </is>
      </c>
      <c r="L1444" s="45" t="inlineStr">
        <is>
          <t>31/12/2030</t>
        </is>
      </c>
      <c r="M1444" s="45" t="inlineStr"/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TP - Soudeur en tuyauterie industrielle</t>
        </is>
      </c>
      <c r="L1445" s="45" t="inlineStr">
        <is>
          <t>31/12/2030</t>
        </is>
      </c>
      <c r="M1445" s="45" t="inlineStr"/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31/12/2030</t>
        </is>
      </c>
      <c r="M1446" s="45" t="inlineStr"/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31/12/2030</t>
        </is>
      </c>
      <c r="M1447" s="45" t="inlineStr"/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31/12/2030</t>
        </is>
      </c>
      <c r="M1448" s="45" t="inlineStr"/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31/12/2030</t>
        </is>
      </c>
      <c r="M1449" s="45" t="inlineStr"/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31/12/2030</t>
        </is>
      </c>
      <c r="M1450" s="45" t="inlineStr"/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CS - Technicien en peinture aéronautique</t>
        </is>
      </c>
      <c r="L1451" s="45" t="inlineStr">
        <is>
          <t>31/12/2030</t>
        </is>
      </c>
      <c r="M1451" s="45" t="inlineStr"/>
      <c r="N1451" s="50" t="inlineStr">
        <is>
          <t>NON</t>
        </is>
      </c>
      <c r="O1451" s="45" t="inlineStr"/>
    </row>
    <row r="1452" customFormat="1" s="3">
      <c r="A1452" s="45" t="n"/>
      <c r="B1452" s="46" t="inlineStr">
        <is>
          <t>23042</t>
        </is>
      </c>
      <c r="C1452" s="46">
        <f>LEFT(Tableau1[[#This Row],[Formacode]],3)</f>
        <v/>
      </c>
      <c r="D1452" s="47" t="n">
        <v>38471</v>
      </c>
      <c r="E1452" s="48">
        <f>"RNCP"&amp;D1452</f>
        <v/>
      </c>
      <c r="F1452" s="48" t="inlineStr">
        <is>
          <t>CQP Polisseur</t>
        </is>
      </c>
      <c r="G1452" s="49">
        <f>E1452&amp;" - "&amp;F1452</f>
        <v/>
      </c>
      <c r="H1452" s="36" t="inlineStr">
        <is>
          <t>RAS</t>
        </is>
      </c>
      <c r="I1452" s="45" t="inlineStr"/>
      <c r="J1452" s="45" t="inlineStr">
        <is>
          <t>RNCP38471</t>
        </is>
      </c>
      <c r="K1452" s="45" t="inlineStr">
        <is>
          <t>CQP Polisseur</t>
        </is>
      </c>
      <c r="L1452" s="45" t="inlineStr">
        <is>
          <t>31/12/2030</t>
        </is>
      </c>
      <c r="M1452" s="45" t="inlineStr"/>
      <c r="N1452" s="50" t="inlineStr">
        <is>
          <t>NON</t>
        </is>
      </c>
      <c r="O1452" s="45" t="inlineStr"/>
    </row>
    <row r="1453" customFormat="1" s="3">
      <c r="A1453" s="45" t="n"/>
      <c r="B1453" s="46" t="inlineStr">
        <is>
          <t>23042</t>
        </is>
      </c>
      <c r="C1453" s="46">
        <f>LEFT(Tableau1[[#This Row],[Formacode]],3)</f>
        <v/>
      </c>
      <c r="D1453" s="47" t="n">
        <v>39516</v>
      </c>
      <c r="E1453" s="48">
        <f>"RNCP"&amp;D1453</f>
        <v/>
      </c>
      <c r="F1453" s="48" t="inlineStr">
        <is>
          <t>BAC PRO - Traitements des matériaux</t>
        </is>
      </c>
      <c r="G1453" s="49">
        <f>E1453&amp;" - "&amp;F1453</f>
        <v/>
      </c>
      <c r="H1453" s="36" t="inlineStr">
        <is>
          <t>RAS</t>
        </is>
      </c>
      <c r="I1453" s="45" t="inlineStr"/>
      <c r="J1453" s="45" t="inlineStr">
        <is>
          <t>RNCP39516</t>
        </is>
      </c>
      <c r="K1453" s="45" t="inlineStr">
        <is>
          <t>BAC PRO - Traitements des matériaux</t>
        </is>
      </c>
      <c r="L1453" s="45" t="inlineStr">
        <is>
          <t>31/12/2030</t>
        </is>
      </c>
      <c r="M1453" s="45" t="inlineStr"/>
      <c r="N1453" s="50" t="inlineStr">
        <is>
          <t>NON</t>
        </is>
      </c>
      <c r="O1453" s="45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BTS - Traitements des matériaux : Option A "Traitements thermiques", Option B "Traitements de surfaces"</t>
        </is>
      </c>
      <c r="L1454" s="45" t="inlineStr">
        <is>
          <t>31/12/2030</t>
        </is>
      </c>
      <c r="M1454" s="45" t="inlineStr"/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31/12/2030</t>
        </is>
      </c>
      <c r="M1455" s="45" t="inlineStr"/>
      <c r="N1455" s="50" t="inlineStr">
        <is>
          <t>NON</t>
        </is>
      </c>
      <c r="O1455" s="45" t="inlineStr"/>
    </row>
    <row r="1456" customFormat="1" s="3">
      <c r="A1456" s="45" t="n"/>
      <c r="B1456" s="46" t="inlineStr">
        <is>
          <t>23042</t>
        </is>
      </c>
      <c r="C1456" s="46">
        <f>LEFT(Tableau1[[#This Row],[Formacode]],3)</f>
        <v/>
      </c>
      <c r="D1456" s="47" t="n">
        <v>41106</v>
      </c>
      <c r="E1456" s="48">
        <f>"RNCP"&amp;D1456</f>
        <v/>
      </c>
      <c r="F1456" s="48" t="inlineStr">
        <is>
          <t>Peintre industriel option anticorrosion, option aéronautique</t>
        </is>
      </c>
      <c r="G1456" s="49">
        <f>E1456&amp;" - "&amp;F1456</f>
        <v/>
      </c>
      <c r="H1456" s="36" t="inlineStr">
        <is>
          <t>RAS</t>
        </is>
      </c>
      <c r="I1456" s="45" t="inlineStr"/>
      <c r="J1456" s="45" t="inlineStr">
        <is>
          <t>RNCP41106</t>
        </is>
      </c>
      <c r="K1456" s="45" t="inlineStr">
        <is>
          <t>Peintre industriel option anticorrosion, option aéronautique</t>
        </is>
      </c>
      <c r="L1456" s="45" t="inlineStr">
        <is>
          <t>31/12/2030</t>
        </is>
      </c>
      <c r="M1456" s="45" t="inlineStr"/>
      <c r="N1456" s="50" t="inlineStr">
        <is>
          <t>NON</t>
        </is>
      </c>
      <c r="O1456" s="45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TP - Peintre en carrosserie</t>
        </is>
      </c>
      <c r="L1457" s="45" t="inlineStr">
        <is>
          <t>31/12/2030</t>
        </is>
      </c>
      <c r="M1457" s="45" t="inlineStr"/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31/12/2030</t>
        </is>
      </c>
      <c r="M1458" s="45" t="inlineStr"/>
      <c r="N1458" s="50" t="inlineStr">
        <is>
          <t>NON</t>
        </is>
      </c>
      <c r="O1458" s="45" t="inlineStr"/>
    </row>
    <row r="1459" customFormat="1" s="3">
      <c r="A1459" s="45" t="n"/>
      <c r="B1459" s="46" t="inlineStr">
        <is>
          <t>23044</t>
        </is>
      </c>
      <c r="C1459" s="46">
        <f>LEFT(Tableau1[[#This Row],[Formacode]],3)</f>
        <v/>
      </c>
      <c r="D1459" s="47" t="n">
        <v>38471</v>
      </c>
      <c r="E1459" s="48">
        <f>"RNCP"&amp;D1459</f>
        <v/>
      </c>
      <c r="F1459" s="48" t="inlineStr">
        <is>
          <t>CQP Polisseur</t>
        </is>
      </c>
      <c r="G1459" s="49">
        <f>E1459&amp;" - "&amp;F1459</f>
        <v/>
      </c>
      <c r="H1459" s="36" t="inlineStr">
        <is>
          <t>RAS</t>
        </is>
      </c>
      <c r="I1459" s="45" t="inlineStr"/>
      <c r="J1459" s="45" t="inlineStr">
        <is>
          <t>RNCP38471</t>
        </is>
      </c>
      <c r="K1459" s="45" t="inlineStr">
        <is>
          <t>CQP Polisseur</t>
        </is>
      </c>
      <c r="L1459" s="45" t="inlineStr">
        <is>
          <t>31/12/2030</t>
        </is>
      </c>
      <c r="M1459" s="45" t="inlineStr"/>
      <c r="N1459" s="50" t="inlineStr">
        <is>
          <t>NON</t>
        </is>
      </c>
      <c r="O1459" s="45" t="inlineStr"/>
    </row>
    <row r="1460" customFormat="1" s="3">
      <c r="A1460" s="45" t="n"/>
      <c r="B1460" s="46" t="inlineStr">
        <is>
          <t>23048</t>
        </is>
      </c>
      <c r="C1460" s="46">
        <f>LEFT(Tableau1[[#This Row],[Formacode]],3)</f>
        <v/>
      </c>
      <c r="D1460" s="47" t="n">
        <v>37378</v>
      </c>
      <c r="E1460" s="48">
        <f>"RNCP"&amp;D1460</f>
        <v/>
      </c>
      <c r="F1460" s="48" t="inlineStr">
        <is>
          <t>BTS - Conception des processus de découpe et d’emboutissage</t>
        </is>
      </c>
      <c r="G1460" s="49">
        <f>E1460&amp;" - "&amp;F1460</f>
        <v/>
      </c>
      <c r="H1460" s="36" t="inlineStr">
        <is>
          <t>RAS</t>
        </is>
      </c>
      <c r="I1460" s="45" t="inlineStr"/>
      <c r="J1460" s="45" t="inlineStr">
        <is>
          <t>RNCP37378</t>
        </is>
      </c>
      <c r="K1460" s="45" t="inlineStr">
        <is>
          <t>BTS - Conception des processus de découpe et d’emboutissage</t>
        </is>
      </c>
      <c r="L1460" s="45" t="inlineStr">
        <is>
          <t>31/12/2030</t>
        </is>
      </c>
      <c r="M1460" s="45" t="inlineStr"/>
      <c r="N1460" s="50" t="inlineStr">
        <is>
          <t>NON</t>
        </is>
      </c>
      <c r="O1460" s="45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BTS - Forge</t>
        </is>
      </c>
      <c r="L1461" s="45" t="inlineStr">
        <is>
          <t>31/12/2030</t>
        </is>
      </c>
      <c r="M1461" s="45" t="inlineStr"/>
      <c r="N1461" s="50" t="inlineStr">
        <is>
          <t>NON</t>
        </is>
      </c>
      <c r="O1461" s="45" t="inlineStr"/>
    </row>
    <row r="1462" customFormat="1" s="3">
      <c r="A1462" s="45" t="n"/>
      <c r="B1462" s="46" t="inlineStr">
        <is>
          <t>23048</t>
        </is>
      </c>
      <c r="C1462" s="46">
        <f>LEFT(Tableau1[[#This Row],[Formacode]],3)</f>
        <v/>
      </c>
      <c r="D1462" s="47" t="n">
        <v>38471</v>
      </c>
      <c r="E1462" s="48">
        <f>"RNCP"&amp;D1462</f>
        <v/>
      </c>
      <c r="F1462" s="48" t="inlineStr">
        <is>
          <t>CQP Polisseur</t>
        </is>
      </c>
      <c r="G1462" s="49">
        <f>E1462&amp;" - "&amp;F1462</f>
        <v/>
      </c>
      <c r="H1462" s="36" t="inlineStr">
        <is>
          <t>RAS</t>
        </is>
      </c>
      <c r="I1462" s="45" t="inlineStr"/>
      <c r="J1462" s="45" t="inlineStr">
        <is>
          <t>RNCP38471</t>
        </is>
      </c>
      <c r="K1462" s="45" t="inlineStr">
        <is>
          <t>CQP Polisseur</t>
        </is>
      </c>
      <c r="L1462" s="45" t="inlineStr">
        <is>
          <t>31/12/2030</t>
        </is>
      </c>
      <c r="M1462" s="45" t="inlineStr"/>
      <c r="N1462" s="50" t="inlineStr">
        <is>
          <t>NON</t>
        </is>
      </c>
      <c r="O1462" s="45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31/12/2030</t>
        </is>
      </c>
      <c r="M1463" s="45" t="inlineStr"/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31/12/2030</t>
        </is>
      </c>
      <c r="M1464" s="45" t="inlineStr"/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TP - Chaudronnier formeur aéronautique</t>
        </is>
      </c>
      <c r="L1465" s="45" t="inlineStr">
        <is>
          <t>31/12/2030</t>
        </is>
      </c>
      <c r="M1465" s="45" t="inlineStr"/>
      <c r="N1465" s="50" t="inlineStr">
        <is>
          <t>NON</t>
        </is>
      </c>
      <c r="O1465" s="45" t="inlineStr"/>
    </row>
    <row r="1466" customFormat="1" s="3">
      <c r="A1466" s="45" t="n"/>
      <c r="B1466" s="46" t="inlineStr">
        <is>
          <t>23048</t>
        </is>
      </c>
      <c r="C1466" s="46">
        <f>LEFT(Tableau1[[#This Row],[Formacode]],3)</f>
        <v/>
      </c>
      <c r="D1466" s="47" t="n">
        <v>39491</v>
      </c>
      <c r="E1466" s="48">
        <f>"RNCP"&amp;D1466</f>
        <v/>
      </c>
      <c r="F1466" s="48" t="inlineStr">
        <is>
          <t>CAP - Outillages en outils à découper et à emboutir</t>
        </is>
      </c>
      <c r="G1466" s="49">
        <f>E1466&amp;" - "&amp;F1466</f>
        <v/>
      </c>
      <c r="H1466" s="36" t="inlineStr">
        <is>
          <t>RAS</t>
        </is>
      </c>
      <c r="I1466" s="45" t="inlineStr"/>
      <c r="J1466" s="45" t="inlineStr">
        <is>
          <t>RNCP39491</t>
        </is>
      </c>
      <c r="K1466" s="45" t="inlineStr">
        <is>
          <t>CAP - Outillages en outils à découper et à emboutir</t>
        </is>
      </c>
      <c r="L1466" s="45" t="inlineStr">
        <is>
          <t>31/12/2030</t>
        </is>
      </c>
      <c r="M1466" s="45" t="inlineStr"/>
      <c r="N1466" s="50" t="inlineStr">
        <is>
          <t>NON</t>
        </is>
      </c>
      <c r="O1466" s="45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BTS - Forge</t>
        </is>
      </c>
      <c r="L1467" s="45" t="inlineStr">
        <is>
          <t>31/12/2030</t>
        </is>
      </c>
      <c r="M1467" s="45" t="inlineStr"/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CAP - Métiers de la fonderie</t>
        </is>
      </c>
      <c r="L1468" s="45" t="inlineStr">
        <is>
          <t>31/12/2030</t>
        </is>
      </c>
      <c r="M1468" s="45" t="inlineStr"/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BTS - Fonderie</t>
        </is>
      </c>
      <c r="L1469" s="45" t="inlineStr">
        <is>
          <t>31/12/2030</t>
        </is>
      </c>
      <c r="M1469" s="45" t="inlineStr"/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TP - Encadrant technique d'une opération de traitement de l'amiante ou d'autres polluants particulaires</t>
        </is>
      </c>
      <c r="L1470" s="45" t="inlineStr">
        <is>
          <t>31/12/2030</t>
        </is>
      </c>
      <c r="M1470" s="45" t="inlineStr"/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TP - Opérateur de chantier de traitement de l'amiante ou d'autres polluants particulaires</t>
        </is>
      </c>
      <c r="L1471" s="45" t="inlineStr">
        <is>
          <t>31/12/2030</t>
        </is>
      </c>
      <c r="M1471" s="45" t="inlineStr"/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TP - Encadrant de chantier de traitement de l'amiante ou d'autres polluants particulaires</t>
        </is>
      </c>
      <c r="L1472" s="45" t="inlineStr">
        <is>
          <t>31/12/2030</t>
        </is>
      </c>
      <c r="M1472" s="45" t="inlineStr"/>
      <c r="N1472" s="50" t="inlineStr">
        <is>
          <t>NON</t>
        </is>
      </c>
      <c r="O1472" s="45" t="inlineStr"/>
    </row>
    <row r="1473" customFormat="1" s="3">
      <c r="A1473" s="45" t="n"/>
      <c r="B1473" s="46" t="inlineStr">
        <is>
          <t>23062</t>
        </is>
      </c>
      <c r="C1473" s="46">
        <f>LEFT(Tableau1[[#This Row],[Formacode]],3)</f>
        <v/>
      </c>
      <c r="D1473" s="47" t="n">
        <v>38471</v>
      </c>
      <c r="E1473" s="48">
        <f>"RNCP"&amp;D1473</f>
        <v/>
      </c>
      <c r="F1473" s="48" t="inlineStr">
        <is>
          <t>CQP Polisseur</t>
        </is>
      </c>
      <c r="G1473" s="49">
        <f>E1473&amp;" - "&amp;F1473</f>
        <v/>
      </c>
      <c r="H1473" s="36" t="inlineStr">
        <is>
          <t>RAS</t>
        </is>
      </c>
      <c r="I1473" s="45" t="inlineStr"/>
      <c r="J1473" s="45" t="inlineStr">
        <is>
          <t>RNCP38471</t>
        </is>
      </c>
      <c r="K1473" s="45" t="inlineStr">
        <is>
          <t>CQP Polisseur</t>
        </is>
      </c>
      <c r="L1473" s="45" t="inlineStr">
        <is>
          <t>31/12/2030</t>
        </is>
      </c>
      <c r="M1473" s="45" t="inlineStr"/>
      <c r="N1473" s="50" t="inlineStr">
        <is>
          <t>NON</t>
        </is>
      </c>
      <c r="O1473" s="45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31/12/2030</t>
        </is>
      </c>
      <c r="M1474" s="45" t="inlineStr"/>
      <c r="N1474" s="50" t="inlineStr">
        <is>
          <t>NON</t>
        </is>
      </c>
      <c r="O1474" s="45" t="inlineStr"/>
    </row>
    <row r="1475" customFormat="1" s="3">
      <c r="A1475" s="45" t="n"/>
      <c r="B1475" s="46" t="inlineStr">
        <is>
          <t>23062</t>
        </is>
      </c>
      <c r="C1475" s="46">
        <f>LEFT(Tableau1[[#This Row],[Formacode]],3)</f>
        <v/>
      </c>
      <c r="D1475" s="47" t="n">
        <v>39296</v>
      </c>
      <c r="E1475" s="48">
        <f>"RNCP"&amp;D1475</f>
        <v/>
      </c>
      <c r="F1475" s="48" t="inlineStr">
        <is>
          <t>CAP - Mouleur noyauteur : cuivre et bronze</t>
        </is>
      </c>
      <c r="G1475" s="49">
        <f>E1475&amp;" - "&amp;F1475</f>
        <v/>
      </c>
      <c r="H1475" s="36" t="inlineStr">
        <is>
          <t>RAS</t>
        </is>
      </c>
      <c r="I1475" s="45" t="inlineStr"/>
      <c r="J1475" s="45" t="inlineStr">
        <is>
          <t>RNCP39296</t>
        </is>
      </c>
      <c r="K1475" s="45" t="inlineStr">
        <is>
          <t>CAP - Mouleur noyauteur : cuivre et bronze</t>
        </is>
      </c>
      <c r="L1475" s="45" t="inlineStr">
        <is>
          <t>31/12/2030</t>
        </is>
      </c>
      <c r="M1475" s="45" t="inlineStr"/>
      <c r="N1475" s="50" t="inlineStr">
        <is>
          <t>NON</t>
        </is>
      </c>
      <c r="O1475" s="45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BTS - Traitements des matériaux : Option A "Traitements thermiques", Option B "Traitements de surfaces"</t>
        </is>
      </c>
      <c r="L1476" s="45" t="inlineStr">
        <is>
          <t>31/12/2030</t>
        </is>
      </c>
      <c r="M1476" s="45" t="inlineStr"/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CAP - Modèles et moules céramiques</t>
        </is>
      </c>
      <c r="L1477" s="45" t="inlineStr">
        <is>
          <t>31/12/2030</t>
        </is>
      </c>
      <c r="M1477" s="45" t="inlineStr"/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31/12/2030</t>
        </is>
      </c>
      <c r="M1478" s="45" t="inlineStr"/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CAP - Instruments coupants et de chirurgie</t>
        </is>
      </c>
      <c r="L1479" s="45" t="inlineStr">
        <is>
          <t>31/12/2030</t>
        </is>
      </c>
      <c r="M1479" s="45" t="inlineStr"/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BAC PRO - Fonderie</t>
        </is>
      </c>
      <c r="L1480" s="45" t="inlineStr">
        <is>
          <t>31/12/2030</t>
        </is>
      </c>
      <c r="M1480" s="45" t="inlineStr"/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31/12/2030</t>
        </is>
      </c>
      <c r="M1481" s="45" t="inlineStr"/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BTS - Forge</t>
        </is>
      </c>
      <c r="L1482" s="45" t="inlineStr">
        <is>
          <t>31/12/2030</t>
        </is>
      </c>
      <c r="M1482" s="45" t="inlineStr"/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BTS - EuroPlastics et Composites - Option CO: Conception Outillage - Option POP : Pilotage et Optimisation de la Production</t>
        </is>
      </c>
      <c r="L1483" s="45" t="inlineStr">
        <is>
          <t>31/12/2030</t>
        </is>
      </c>
      <c r="M1483" s="45" t="inlineStr"/>
      <c r="N1483" s="50" t="inlineStr">
        <is>
          <t>NON</t>
        </is>
      </c>
      <c r="O1483" s="45" t="inlineStr"/>
    </row>
    <row r="1484" customFormat="1" s="3">
      <c r="A1484" s="45" t="n"/>
      <c r="B1484" s="46" t="inlineStr">
        <is>
          <t>23064</t>
        </is>
      </c>
      <c r="C1484" s="46">
        <f>LEFT(Tableau1[[#This Row],[Formacode]],3)</f>
        <v/>
      </c>
      <c r="D1484" s="47" t="n">
        <v>38471</v>
      </c>
      <c r="E1484" s="48">
        <f>"RNCP"&amp;D1484</f>
        <v/>
      </c>
      <c r="F1484" s="48" t="inlineStr">
        <is>
          <t>CQP Polisseur</t>
        </is>
      </c>
      <c r="G1484" s="49">
        <f>E1484&amp;" - "&amp;F1484</f>
        <v/>
      </c>
      <c r="H1484" s="36" t="inlineStr">
        <is>
          <t>RAS</t>
        </is>
      </c>
      <c r="I1484" s="45" t="inlineStr"/>
      <c r="J1484" s="45" t="inlineStr">
        <is>
          <t>RNCP38471</t>
        </is>
      </c>
      <c r="K1484" s="45" t="inlineStr">
        <is>
          <t>CQP Polisseur</t>
        </is>
      </c>
      <c r="L1484" s="45" t="inlineStr">
        <is>
          <t>31/12/2030</t>
        </is>
      </c>
      <c r="M1484" s="45" t="inlineStr"/>
      <c r="N1484" s="50" t="inlineStr">
        <is>
          <t>NON</t>
        </is>
      </c>
      <c r="O1484" s="45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31/12/2030</t>
        </is>
      </c>
      <c r="M1485" s="45" t="inlineStr"/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TP - Tourneur en réalisation de pièces mécaniques</t>
        </is>
      </c>
      <c r="L1486" s="45" t="inlineStr">
        <is>
          <t>31/12/2030</t>
        </is>
      </c>
      <c r="M1486" s="45" t="inlineStr"/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TP - Fraiseur en réalisation de pièces mécaniques</t>
        </is>
      </c>
      <c r="L1487" s="45" t="inlineStr">
        <is>
          <t>31/12/2030</t>
        </is>
      </c>
      <c r="M1487" s="45" t="inlineStr"/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TP - Régleur décolleteur</t>
        </is>
      </c>
      <c r="L1488" s="45" t="inlineStr">
        <is>
          <t>31/12/2030</t>
        </is>
      </c>
      <c r="M1488" s="45" t="inlineStr"/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31/12/2030</t>
        </is>
      </c>
      <c r="M1489" s="45" t="inlineStr"/>
      <c r="N1489" s="50" t="inlineStr">
        <is>
          <t>NON</t>
        </is>
      </c>
      <c r="O1489" s="45" t="inlineStr"/>
    </row>
    <row r="1490" customFormat="1" s="3">
      <c r="A1490" s="45" t="n"/>
      <c r="B1490" s="46" t="inlineStr">
        <is>
          <t>23076</t>
        </is>
      </c>
      <c r="C1490" s="46">
        <f>LEFT(Tableau1[[#This Row],[Formacode]],3)</f>
        <v/>
      </c>
      <c r="D1490" s="47" t="n">
        <v>37734</v>
      </c>
      <c r="E1490" s="48">
        <f>"RNCP"&amp;D1490</f>
        <v/>
      </c>
      <c r="F1490" s="48" t="inlineStr">
        <is>
          <t>CQP Rectifieur sur machine conventionnelle et/ou numérique</t>
        </is>
      </c>
      <c r="G1490" s="49">
        <f>E1490&amp;" - "&amp;F1490</f>
        <v/>
      </c>
      <c r="H1490" s="36" t="inlineStr">
        <is>
          <t>RAS</t>
        </is>
      </c>
      <c r="I1490" s="45" t="inlineStr"/>
      <c r="J1490" s="45" t="inlineStr">
        <is>
          <t>RNCP37734</t>
        </is>
      </c>
      <c r="K1490" s="45" t="inlineStr">
        <is>
          <t>CQP Rectifieur sur machine conventionnelle et/ou numérique</t>
        </is>
      </c>
      <c r="L1490" s="45" t="inlineStr">
        <is>
          <t>31/12/2030</t>
        </is>
      </c>
      <c r="M1490" s="45" t="inlineStr"/>
      <c r="N1490" s="50" t="inlineStr">
        <is>
          <t>NON</t>
        </is>
      </c>
      <c r="O1490" s="45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BAC PRO - Technicien modeleur</t>
        </is>
      </c>
      <c r="L1491" s="45" t="inlineStr">
        <is>
          <t>31/12/2030</t>
        </is>
      </c>
      <c r="M1491" s="45" t="inlineStr"/>
      <c r="N1491" s="50" t="inlineStr">
        <is>
          <t>NON</t>
        </is>
      </c>
      <c r="O1491" s="45" t="inlineStr"/>
    </row>
    <row r="1492" customFormat="1" s="3">
      <c r="A1492" s="45" t="n"/>
      <c r="B1492" s="46" t="inlineStr">
        <is>
          <t>23076</t>
        </is>
      </c>
      <c r="C1492" s="46">
        <f>LEFT(Tableau1[[#This Row],[Formacode]],3)</f>
        <v/>
      </c>
      <c r="D1492" s="47" t="n">
        <v>38471</v>
      </c>
      <c r="E1492" s="48">
        <f>"RNCP"&amp;D1492</f>
        <v/>
      </c>
      <c r="F1492" s="48" t="inlineStr">
        <is>
          <t>CQP Polisseur</t>
        </is>
      </c>
      <c r="G1492" s="49">
        <f>E1492&amp;" - "&amp;F1492</f>
        <v/>
      </c>
      <c r="H1492" s="36" t="inlineStr">
        <is>
          <t>RAS</t>
        </is>
      </c>
      <c r="I1492" s="45" t="inlineStr"/>
      <c r="J1492" s="45" t="inlineStr">
        <is>
          <t>RNCP38471</t>
        </is>
      </c>
      <c r="K1492" s="45" t="inlineStr">
        <is>
          <t>CQP Polisseur</t>
        </is>
      </c>
      <c r="L1492" s="45" t="inlineStr">
        <is>
          <t>31/12/2030</t>
        </is>
      </c>
      <c r="M1492" s="45" t="inlineStr"/>
      <c r="N1492" s="50" t="inlineStr">
        <is>
          <t>NON</t>
        </is>
      </c>
      <c r="O1492" s="45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31/12/2030</t>
        </is>
      </c>
      <c r="M1493" s="45" t="inlineStr"/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TP - Fraiseur d'outillages en usinage conventionnel et numérique</t>
        </is>
      </c>
      <c r="L1494" s="45" t="inlineStr">
        <is>
          <t>31/12/2030</t>
        </is>
      </c>
      <c r="M1494" s="45" t="inlineStr"/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31/12/2030</t>
        </is>
      </c>
      <c r="M1495" s="45" t="inlineStr"/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31/12/2030</t>
        </is>
      </c>
      <c r="M1496" s="45" t="inlineStr"/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CAP - Décolletage : opérateur régleur en décolletage</t>
        </is>
      </c>
      <c r="L1497" s="45" t="inlineStr">
        <is>
          <t>31/12/2030</t>
        </is>
      </c>
      <c r="M1497" s="45" t="inlineStr"/>
      <c r="N1497" s="50" t="inlineStr">
        <is>
          <t>NON</t>
        </is>
      </c>
      <c r="O1497" s="45" t="inlineStr"/>
    </row>
    <row r="1498" customFormat="1" s="3">
      <c r="A1498" s="45" t="n"/>
      <c r="B1498" s="46" t="inlineStr">
        <is>
          <t>23076</t>
        </is>
      </c>
      <c r="C1498" s="46">
        <f>LEFT(Tableau1[[#This Row],[Formacode]],3)</f>
        <v/>
      </c>
      <c r="D1498" s="47" t="n">
        <v>39491</v>
      </c>
      <c r="E1498" s="48">
        <f>"RNCP"&amp;D1498</f>
        <v/>
      </c>
      <c r="F1498" s="48" t="inlineStr">
        <is>
          <t>CAP - Outillages en outils à découper et à emboutir</t>
        </is>
      </c>
      <c r="G1498" s="49">
        <f>E1498&amp;" - "&amp;F1498</f>
        <v/>
      </c>
      <c r="H1498" s="36" t="inlineStr">
        <is>
          <t>RAS</t>
        </is>
      </c>
      <c r="I1498" s="45" t="inlineStr"/>
      <c r="J1498" s="45" t="inlineStr">
        <is>
          <t>RNCP39491</t>
        </is>
      </c>
      <c r="K1498" s="45" t="inlineStr">
        <is>
          <t>CAP - Outillages en outils à découper et à emboutir</t>
        </is>
      </c>
      <c r="L1498" s="45" t="inlineStr">
        <is>
          <t>31/12/2030</t>
        </is>
      </c>
      <c r="M1498" s="45" t="inlineStr"/>
      <c r="N1498" s="50" t="inlineStr">
        <is>
          <t>NON</t>
        </is>
      </c>
      <c r="O1498" s="45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31/12/2030</t>
        </is>
      </c>
      <c r="M1499" s="45" t="inlineStr"/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31/12/2030</t>
        </is>
      </c>
      <c r="M1500" s="45" t="inlineStr"/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31/12/2030</t>
        </is>
      </c>
      <c r="M1501" s="45" t="inlineStr"/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TP - Opérateur régleur en usinage assisté par ordinateur</t>
        </is>
      </c>
      <c r="L1502" s="45" t="inlineStr">
        <is>
          <t>31/12/2030</t>
        </is>
      </c>
      <c r="M1502" s="45" t="inlineStr"/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BAC PRO - Technicien en réalisation de produits mécaniques, option réalisation et suivi de productions, option réalisation et maintenance des outillages</t>
        </is>
      </c>
      <c r="L1503" s="45" t="inlineStr">
        <is>
          <t>31/12/2030</t>
        </is>
      </c>
      <c r="M1503" s="45" t="inlineStr"/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31/12/2030</t>
        </is>
      </c>
      <c r="M1504" s="45" t="inlineStr"/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TP - Technicien en usinage assisté par ordinateur</t>
        </is>
      </c>
      <c r="L1505" s="45" t="inlineStr">
        <is>
          <t>31/12/2030</t>
        </is>
      </c>
      <c r="M1505" s="45" t="inlineStr"/>
      <c r="N1505" s="50" t="inlineStr">
        <is>
          <t>NON</t>
        </is>
      </c>
      <c r="O1505" s="45" t="inlineStr"/>
    </row>
    <row r="1506" customFormat="1" s="3">
      <c r="A1506" s="45" t="n"/>
      <c r="B1506" s="46" t="inlineStr">
        <is>
          <t>23083</t>
        </is>
      </c>
      <c r="C1506" s="46">
        <f>LEFT(Tableau1[[#This Row],[Formacode]],3)</f>
        <v/>
      </c>
      <c r="D1506" s="47" t="n">
        <v>35937</v>
      </c>
      <c r="E1506" s="48">
        <f>"RNCP"&amp;D1506</f>
        <v/>
      </c>
      <c r="F1506" s="48" t="inlineStr">
        <is>
          <t>TP - Agent de fabrication et montage en chaudronnerie</t>
        </is>
      </c>
      <c r="G1506" s="49">
        <f>E1506&amp;" - "&amp;F1506</f>
        <v/>
      </c>
      <c r="H1506" s="36" t="inlineStr">
        <is>
          <t>RAS</t>
        </is>
      </c>
      <c r="I1506" s="45" t="inlineStr"/>
      <c r="J1506" s="45" t="inlineStr">
        <is>
          <t>RNCP35937</t>
        </is>
      </c>
      <c r="K1506" s="45" t="inlineStr">
        <is>
          <t>TP - Agent de fabrication et montage en chaudronnerie</t>
        </is>
      </c>
      <c r="L1506" s="45" t="inlineStr">
        <is>
          <t>31/12/2030</t>
        </is>
      </c>
      <c r="M1506" s="45" t="inlineStr"/>
      <c r="N1506" s="50" t="inlineStr">
        <is>
          <t>NON</t>
        </is>
      </c>
      <c r="O1506" s="45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31/12/2030</t>
        </is>
      </c>
      <c r="M1507" s="45" t="inlineStr"/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BTS - Conception et réalisation en chaudronnerie industrielle</t>
        </is>
      </c>
      <c r="L1508" s="45" t="inlineStr">
        <is>
          <t>31/12/2030</t>
        </is>
      </c>
      <c r="M1508" s="45" t="inlineStr"/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CS - Technicien en chaudronnerie aéronautique et spatiale</t>
        </is>
      </c>
      <c r="L1509" s="45" t="inlineStr">
        <is>
          <t>31/12/2030</t>
        </is>
      </c>
      <c r="M1509" s="45" t="inlineStr"/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CS - Technicien en tuyauterie</t>
        </is>
      </c>
      <c r="L1510" s="45" t="inlineStr">
        <is>
          <t>31/12/2030</t>
        </is>
      </c>
      <c r="M1510" s="45" t="inlineStr"/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BAC PRO - Technicien en chaudronnerie industrielle</t>
        </is>
      </c>
      <c r="L1511" s="45" t="inlineStr">
        <is>
          <t>31/12/2030</t>
        </is>
      </c>
      <c r="M1511" s="45" t="inlineStr"/>
      <c r="N1511" s="50" t="inlineStr">
        <is>
          <t>NON</t>
        </is>
      </c>
      <c r="O1511" s="45" t="inlineStr"/>
    </row>
    <row r="1512" customFormat="1" s="3">
      <c r="A1512" s="45" t="n"/>
      <c r="B1512" s="46" t="inlineStr">
        <is>
          <t>23083</t>
        </is>
      </c>
      <c r="C1512" s="46">
        <f>LEFT(Tableau1[[#This Row],[Formacode]],3)</f>
        <v/>
      </c>
      <c r="D1512" s="47" t="n">
        <v>38471</v>
      </c>
      <c r="E1512" s="48">
        <f>"RNCP"&amp;D1512</f>
        <v/>
      </c>
      <c r="F1512" s="48" t="inlineStr">
        <is>
          <t>CQP Polisseur</t>
        </is>
      </c>
      <c r="G1512" s="49">
        <f>E1512&amp;" - "&amp;F1512</f>
        <v/>
      </c>
      <c r="H1512" s="36" t="inlineStr">
        <is>
          <t>RAS</t>
        </is>
      </c>
      <c r="I1512" s="45" t="inlineStr"/>
      <c r="J1512" s="45" t="inlineStr">
        <is>
          <t>RNCP38471</t>
        </is>
      </c>
      <c r="K1512" s="45" t="inlineStr">
        <is>
          <t>CQP Polisseur</t>
        </is>
      </c>
      <c r="L1512" s="45" t="inlineStr">
        <is>
          <t>31/12/2030</t>
        </is>
      </c>
      <c r="M1512" s="45" t="inlineStr"/>
      <c r="N1512" s="50" t="inlineStr">
        <is>
          <t>NON</t>
        </is>
      </c>
      <c r="O1512" s="45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CAP - Réalisations industrielles en chaudronnerie ou soudage, option A : chaudronnerie, option B : soudage</t>
        </is>
      </c>
      <c r="L1513" s="45" t="inlineStr">
        <is>
          <t>31/12/2030</t>
        </is>
      </c>
      <c r="M1513" s="45" t="inlineStr"/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31/12/2030</t>
        </is>
      </c>
      <c r="M1514" s="45" t="inlineStr"/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TP - Chaudronnier formeur aéronautique</t>
        </is>
      </c>
      <c r="L1515" s="45" t="inlineStr">
        <is>
          <t>31/12/2030</t>
        </is>
      </c>
      <c r="M1515" s="45" t="inlineStr"/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31/12/2030</t>
        </is>
      </c>
      <c r="M1516" s="45" t="inlineStr"/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31/12/2030</t>
        </is>
      </c>
      <c r="M1517" s="45" t="inlineStr"/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TP - Tuyauteur industriel</t>
        </is>
      </c>
      <c r="L1518" s="45" t="inlineStr">
        <is>
          <t>31/12/2030</t>
        </is>
      </c>
      <c r="M1518" s="45" t="inlineStr"/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TP - Technicien en chaudronnerie</t>
        </is>
      </c>
      <c r="L1519" s="45" t="inlineStr">
        <is>
          <t>31/12/2030</t>
        </is>
      </c>
      <c r="M1519" s="45" t="inlineStr"/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31/12/2030</t>
        </is>
      </c>
      <c r="M1520" s="45" t="inlineStr"/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31/12/2030</t>
        </is>
      </c>
      <c r="M1521" s="45" t="inlineStr"/>
      <c r="N1521" s="50" t="inlineStr">
        <is>
          <t>NON</t>
        </is>
      </c>
      <c r="O1521" s="45" t="inlineStr"/>
    </row>
    <row r="1522" customFormat="1" s="4">
      <c r="A1522" s="45" t="n"/>
      <c r="B1522" s="46" t="inlineStr">
        <is>
          <t>23542</t>
        </is>
      </c>
      <c r="C1522" s="46">
        <f>LEFT(Tableau1[[#This Row],[Formacode]],3)</f>
        <v/>
      </c>
      <c r="D1522" s="47" t="n">
        <v>36332</v>
      </c>
      <c r="E1522" s="48">
        <f>"RNCP"&amp;D1522</f>
        <v/>
      </c>
      <c r="F1522" s="48" t="inlineStr">
        <is>
          <t>CS - Maintenance des installations oléohydrauliques et pneumatiques</t>
        </is>
      </c>
      <c r="G1522" s="49">
        <f>E1522&amp;" - "&amp;F1522</f>
        <v/>
      </c>
      <c r="H1522" s="36" t="inlineStr">
        <is>
          <t>RAS</t>
        </is>
      </c>
      <c r="I1522" s="45" t="inlineStr"/>
      <c r="J1522" s="45" t="inlineStr">
        <is>
          <t>RNCP36332</t>
        </is>
      </c>
      <c r="K1522" s="45" t="inlineStr">
        <is>
          <t>CS - Maintenance des installations oléohydrauliques et pneumatiques</t>
        </is>
      </c>
      <c r="L1522" s="45" t="inlineStr">
        <is>
          <t>31/12/2030</t>
        </is>
      </c>
      <c r="M1522" s="45" t="inlineStr"/>
      <c r="N1522" s="50" t="inlineStr">
        <is>
          <t>NON</t>
        </is>
      </c>
      <c r="O1522" s="45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TP - Technicien de maintenance d'engins et de matériels de chantier et de manutention</t>
        </is>
      </c>
      <c r="L1523" s="45" t="inlineStr">
        <is>
          <t>31/12/2030</t>
        </is>
      </c>
      <c r="M1523" s="45" t="inlineStr"/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TP - Mécanicien réparateur de matériels de chantier et de manutention</t>
        </is>
      </c>
      <c r="L1524" s="45" t="inlineStr">
        <is>
          <t>31/12/2030</t>
        </is>
      </c>
      <c r="M1524" s="45" t="inlineStr"/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31/12/2030</t>
        </is>
      </c>
      <c r="M1525" s="45" t="inlineStr"/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TP - Technicien de contrôle et de métrologie industrielle</t>
        </is>
      </c>
      <c r="L1526" s="45" t="inlineStr">
        <is>
          <t>31/12/2030</t>
        </is>
      </c>
      <c r="M1526" s="45" t="inlineStr"/>
      <c r="N1526" s="50" t="inlineStr">
        <is>
          <t>NON</t>
        </is>
      </c>
      <c r="O1526" s="45" t="inlineStr"/>
    </row>
    <row r="1527" customFormat="1" s="4">
      <c r="A1527" s="45" t="n"/>
      <c r="B1527" s="46" t="inlineStr">
        <is>
          <t>23583</t>
        </is>
      </c>
      <c r="C1527" s="46">
        <f>LEFT(Tableau1[[#This Row],[Formacode]],3)</f>
        <v/>
      </c>
      <c r="D1527" s="47" t="n">
        <v>38471</v>
      </c>
      <c r="E1527" s="48">
        <f>"RNCP"&amp;D1527</f>
        <v/>
      </c>
      <c r="F1527" s="48" t="inlineStr">
        <is>
          <t>CQP Polisseur</t>
        </is>
      </c>
      <c r="G1527" s="49">
        <f>E1527&amp;" - "&amp;F1527</f>
        <v/>
      </c>
      <c r="H1527" s="36" t="inlineStr">
        <is>
          <t>RAS</t>
        </is>
      </c>
      <c r="I1527" s="45" t="inlineStr"/>
      <c r="J1527" s="45" t="inlineStr">
        <is>
          <t>RNCP38471</t>
        </is>
      </c>
      <c r="K1527" s="45" t="inlineStr">
        <is>
          <t>CQP Polisseur</t>
        </is>
      </c>
      <c r="L1527" s="45" t="inlineStr">
        <is>
          <t>31/12/2030</t>
        </is>
      </c>
      <c r="M1527" s="45" t="inlineStr"/>
      <c r="N1527" s="50" t="inlineStr">
        <is>
          <t>NON</t>
        </is>
      </c>
      <c r="O1527" s="45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31/12/2030</t>
        </is>
      </c>
      <c r="M1528" s="45" t="inlineStr"/>
      <c r="N1528" s="50" t="inlineStr">
        <is>
          <t>NON</t>
        </is>
      </c>
      <c r="O1528" s="45" t="inlineStr"/>
    </row>
    <row r="1529" customFormat="1" s="3">
      <c r="A1529" s="45" t="n"/>
      <c r="B1529" s="46" t="inlineStr">
        <is>
          <t>23613</t>
        </is>
      </c>
      <c r="C1529" s="46">
        <f>LEFT(Tableau1[[#This Row],[Formacode]],3)</f>
        <v/>
      </c>
      <c r="D1529" s="47" t="n">
        <v>36332</v>
      </c>
      <c r="E1529" s="48">
        <f>"RNCP"&amp;D1529</f>
        <v/>
      </c>
      <c r="F1529" s="48" t="inlineStr">
        <is>
          <t>CS - Maintenance des installations oléohydrauliques et pneumatiques</t>
        </is>
      </c>
      <c r="G1529" s="49">
        <f>E1529&amp;" - "&amp;F1529</f>
        <v/>
      </c>
      <c r="H1529" s="36" t="inlineStr">
        <is>
          <t>RAS</t>
        </is>
      </c>
      <c r="I1529" s="45" t="inlineStr"/>
      <c r="J1529" s="45" t="inlineStr">
        <is>
          <t>RNCP36332</t>
        </is>
      </c>
      <c r="K1529" s="45" t="inlineStr">
        <is>
          <t>CS - Maintenance des installations oléohydrauliques et pneumatiques</t>
        </is>
      </c>
      <c r="L1529" s="45" t="inlineStr">
        <is>
          <t>31/12/2030</t>
        </is>
      </c>
      <c r="M1529" s="45" t="inlineStr"/>
      <c r="N1529" s="50" t="inlineStr">
        <is>
          <t>NON</t>
        </is>
      </c>
      <c r="O1529" s="45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31/12/2030</t>
        </is>
      </c>
      <c r="M1530" s="45" t="inlineStr"/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TP - Inspecteur qualité aéronautique et spatiale</t>
        </is>
      </c>
      <c r="L1531" s="45" t="inlineStr">
        <is>
          <t>31/12/2030</t>
        </is>
      </c>
      <c r="M1531" s="45" t="inlineStr"/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CAP - Aéronautique options Avionique, Structure et Systèmes</t>
        </is>
      </c>
      <c r="L1532" s="45" t="inlineStr">
        <is>
          <t>31/12/2030</t>
        </is>
      </c>
      <c r="M1532" s="45" t="inlineStr"/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BAC PRO - Aviation générale</t>
        </is>
      </c>
      <c r="L1533" s="45" t="inlineStr">
        <is>
          <t>31/12/2030</t>
        </is>
      </c>
      <c r="M1533" s="45" t="inlineStr"/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CS - Technicien en peinture aéronautique</t>
        </is>
      </c>
      <c r="L1534" s="45" t="inlineStr">
        <is>
          <t>31/12/2030</t>
        </is>
      </c>
      <c r="M1534" s="45" t="inlineStr"/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CS - Aéronautique options Avionique, Avions à moteurs à pistons, Avions à moteurs à turbines, Hélicoptères à moteurs à pistons, Hélicoptères à moteurs à turbines</t>
        </is>
      </c>
      <c r="L1535" s="45" t="inlineStr">
        <is>
          <t>31/12/2030</t>
        </is>
      </c>
      <c r="M1535" s="45" t="inlineStr"/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BAC PRO - Aéronautique options Avionique,  Structure, Systèmes</t>
        </is>
      </c>
      <c r="L1536" s="45" t="inlineStr">
        <is>
          <t>31/12/2030</t>
        </is>
      </c>
      <c r="M1536" s="45" t="inlineStr"/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BTS - Aéronautique</t>
        </is>
      </c>
      <c r="L1537" s="45" t="inlineStr">
        <is>
          <t>31/12/2030</t>
        </is>
      </c>
      <c r="M1537" s="45" t="inlineStr"/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31/12/2030</t>
        </is>
      </c>
      <c r="M1538" s="45" t="inlineStr"/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TP - Ajusteur monteur aéronautique</t>
        </is>
      </c>
      <c r="L1539" s="45" t="inlineStr">
        <is>
          <t>31/12/2030</t>
        </is>
      </c>
      <c r="M1539" s="45" t="inlineStr"/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31/12/2030</t>
        </is>
      </c>
      <c r="M1540" s="45" t="inlineStr"/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31/12/2030</t>
        </is>
      </c>
      <c r="M1541" s="45" t="inlineStr"/>
      <c r="N1541" s="50" t="inlineStr">
        <is>
          <t>NON</t>
        </is>
      </c>
      <c r="O1541" s="45" t="inlineStr"/>
    </row>
    <row r="1542" customFormat="1" s="3">
      <c r="A1542" s="45" t="n"/>
      <c r="B1542" s="46" t="inlineStr">
        <is>
          <t>23622</t>
        </is>
      </c>
      <c r="C1542" s="46">
        <f>LEFT(Tableau1[[#This Row],[Formacode]],3)</f>
        <v/>
      </c>
      <c r="D1542" s="47" t="n">
        <v>36332</v>
      </c>
      <c r="E1542" s="48">
        <f>"RNCP"&amp;D1542</f>
        <v/>
      </c>
      <c r="F1542" s="48" t="inlineStr">
        <is>
          <t>CS - Maintenance des installations oléohydrauliques et pneumatiques</t>
        </is>
      </c>
      <c r="G1542" s="49">
        <f>E1542&amp;" - "&amp;F1542</f>
        <v/>
      </c>
      <c r="H1542" s="36" t="inlineStr">
        <is>
          <t>RAS</t>
        </is>
      </c>
      <c r="I1542" s="45" t="inlineStr"/>
      <c r="J1542" s="45" t="inlineStr">
        <is>
          <t>RNCP36332</t>
        </is>
      </c>
      <c r="K1542" s="45" t="inlineStr">
        <is>
          <t>CS - Maintenance des installations oléohydrauliques et pneumatiques</t>
        </is>
      </c>
      <c r="L1542" s="45" t="inlineStr">
        <is>
          <t>31/12/2030</t>
        </is>
      </c>
      <c r="M1542" s="45" t="inlineStr"/>
      <c r="N1542" s="50" t="inlineStr">
        <is>
          <t>NON</t>
        </is>
      </c>
      <c r="O1542" s="45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31/12/2030</t>
        </is>
      </c>
      <c r="M1543" s="45" t="inlineStr"/>
      <c r="N1543" s="50" t="inlineStr">
        <is>
          <t>NON</t>
        </is>
      </c>
      <c r="O1543" s="45" t="inlineStr"/>
    </row>
    <row r="1544" customFormat="1" s="3">
      <c r="A1544" s="45" t="n"/>
      <c r="B1544" s="46" t="inlineStr">
        <is>
          <t>23622</t>
        </is>
      </c>
      <c r="C1544" s="46">
        <f>LEFT(Tableau1[[#This Row],[Formacode]],3)</f>
        <v/>
      </c>
      <c r="D1544" s="47" t="n">
        <v>36969</v>
      </c>
      <c r="E1544" s="48">
        <f>"RNCP"&amp;D1544</f>
        <v/>
      </c>
      <c r="F1544" s="48" t="inlineStr">
        <is>
          <t>BTS - Mécatronique navale</t>
        </is>
      </c>
      <c r="G1544" s="49">
        <f>E1544&amp;" - "&amp;F1544</f>
        <v/>
      </c>
      <c r="H1544" s="36" t="inlineStr">
        <is>
          <t>RAS</t>
        </is>
      </c>
      <c r="I1544" s="45" t="inlineStr"/>
      <c r="J1544" s="45" t="inlineStr">
        <is>
          <t>RNCP36969</t>
        </is>
      </c>
      <c r="K1544" s="45" t="inlineStr">
        <is>
          <t>BTS - Mécatronique navale</t>
        </is>
      </c>
      <c r="L1544" s="45" t="inlineStr">
        <is>
          <t>31/12/2030</t>
        </is>
      </c>
      <c r="M1544" s="45" t="inlineStr"/>
      <c r="N1544" s="50" t="inlineStr">
        <is>
          <t>NON</t>
        </is>
      </c>
      <c r="O1544" s="45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CS - Mécatronique navale</t>
        </is>
      </c>
      <c r="L1545" s="45" t="inlineStr">
        <is>
          <t>31/12/2030</t>
        </is>
      </c>
      <c r="M1545" s="45" t="inlineStr"/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CAP - Maintenance nautique</t>
        </is>
      </c>
      <c r="L1546" s="45" t="inlineStr">
        <is>
          <t>31/12/2030</t>
        </is>
      </c>
      <c r="M1546" s="45" t="inlineStr"/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BAC PRO - Maintenance nautique</t>
        </is>
      </c>
      <c r="L1547" s="45" t="inlineStr">
        <is>
          <t>31/12/2030</t>
        </is>
      </c>
      <c r="M1547" s="45" t="inlineStr"/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Brevet de technicien supérieur - Conception et industrialisation en construction navale</t>
        </is>
      </c>
      <c r="L1548" s="45" t="inlineStr">
        <is>
          <t>31/12/2030</t>
        </is>
      </c>
      <c r="M1548" s="45" t="inlineStr"/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CAP - Charpentier de marine</t>
        </is>
      </c>
      <c r="L1549" s="45" t="inlineStr">
        <is>
          <t>31/12/2030</t>
        </is>
      </c>
      <c r="M1549" s="45" t="inlineStr"/>
      <c r="N1549" s="50" t="inlineStr">
        <is>
          <t>NON</t>
        </is>
      </c>
      <c r="O1549" s="45" t="inlineStr"/>
    </row>
    <row r="1550" customFormat="1" s="3">
      <c r="A1550" s="45" t="n"/>
      <c r="B1550" s="46" t="inlineStr">
        <is>
          <t>23622</t>
        </is>
      </c>
      <c r="C1550" s="46">
        <f>LEFT(Tableau1[[#This Row],[Formacode]],3)</f>
        <v/>
      </c>
      <c r="D1550" s="47" t="n">
        <v>38410</v>
      </c>
      <c r="E1550" s="48">
        <f>"RNCP"&amp;D1550</f>
        <v/>
      </c>
      <c r="F1550" s="48" t="inlineStr">
        <is>
          <t>BP - Charpentier de marine</t>
        </is>
      </c>
      <c r="G1550" s="49">
        <f>E1550&amp;" - "&amp;F1550</f>
        <v/>
      </c>
      <c r="H1550" s="36" t="inlineStr">
        <is>
          <t>RAS</t>
        </is>
      </c>
      <c r="I1550" s="45" t="inlineStr"/>
      <c r="J1550" s="45" t="inlineStr">
        <is>
          <t>RNCP38410</t>
        </is>
      </c>
      <c r="K1550" s="45" t="inlineStr">
        <is>
          <t>BP - Charpentier de marine</t>
        </is>
      </c>
      <c r="L1550" s="45" t="inlineStr">
        <is>
          <t>31/12/2030</t>
        </is>
      </c>
      <c r="M1550" s="45" t="inlineStr"/>
      <c r="N1550" s="50" t="inlineStr">
        <is>
          <t>NON</t>
        </is>
      </c>
      <c r="O1550" s="45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31/12/2030</t>
        </is>
      </c>
      <c r="M1551" s="45" t="inlineStr"/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31/12/2030</t>
        </is>
      </c>
      <c r="M1552" s="45" t="inlineStr"/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TP - Constructeur aménageur nautique bois et composites</t>
        </is>
      </c>
      <c r="L1553" s="45" t="inlineStr">
        <is>
          <t>31/12/2030</t>
        </is>
      </c>
      <c r="M1553" s="45" t="inlineStr"/>
      <c r="N1553" s="50" t="inlineStr">
        <is>
          <t>NON</t>
        </is>
      </c>
      <c r="O1553" s="45" t="inlineStr"/>
    </row>
    <row r="1554" customFormat="1" s="3">
      <c r="A1554" s="45" t="n"/>
      <c r="B1554" s="46" t="inlineStr">
        <is>
          <t>23622</t>
        </is>
      </c>
      <c r="C1554" s="46">
        <f>LEFT(Tableau1[[#This Row],[Formacode]],3)</f>
        <v/>
      </c>
      <c r="D1554" s="47" t="n">
        <v>39584</v>
      </c>
      <c r="E1554" s="48">
        <f>"RNCP"&amp;D1554</f>
        <v/>
      </c>
      <c r="F1554" s="48" t="inlineStr">
        <is>
          <t>Expert maritime et fluvial</t>
        </is>
      </c>
      <c r="G1554" s="49">
        <f>E1554&amp;" - "&amp;F1554</f>
        <v/>
      </c>
      <c r="H1554" s="36" t="inlineStr">
        <is>
          <t>RAS</t>
        </is>
      </c>
      <c r="I1554" s="45" t="inlineStr"/>
      <c r="J1554" s="45" t="inlineStr">
        <is>
          <t>RNCP39584</t>
        </is>
      </c>
      <c r="K1554" s="45" t="inlineStr">
        <is>
          <t>Expert maritime et fluvial</t>
        </is>
      </c>
      <c r="L1554" s="45" t="inlineStr">
        <is>
          <t>31/12/2030</t>
        </is>
      </c>
      <c r="M1554" s="45" t="inlineStr"/>
      <c r="N1554" s="50" t="inlineStr">
        <is>
          <t>NON</t>
        </is>
      </c>
      <c r="O1554" s="45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31/12/2030</t>
        </is>
      </c>
      <c r="M1555" s="45" t="inlineStr"/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31/12/2030</t>
        </is>
      </c>
      <c r="M1556" s="45" t="inlineStr"/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31/12/2030</t>
        </is>
      </c>
      <c r="M1557" s="45" t="inlineStr"/>
      <c r="N1557" s="50" t="inlineStr">
        <is>
          <t>NON</t>
        </is>
      </c>
      <c r="O1557" s="45" t="inlineStr"/>
    </row>
    <row r="1558" customFormat="1" s="3">
      <c r="A1558" s="45" t="n"/>
      <c r="B1558" s="46" t="inlineStr">
        <is>
          <t>23624</t>
        </is>
      </c>
      <c r="C1558" s="46">
        <f>LEFT(Tableau1[[#This Row],[Formacode]],3)</f>
        <v/>
      </c>
      <c r="D1558" s="47" t="n">
        <v>36332</v>
      </c>
      <c r="E1558" s="48">
        <f>"RNCP"&amp;D1558</f>
        <v/>
      </c>
      <c r="F1558" s="48" t="inlineStr">
        <is>
          <t>CS - Maintenance des installations oléohydrauliques et pneumatiques</t>
        </is>
      </c>
      <c r="G1558" s="49">
        <f>E1558&amp;" - "&amp;F1558</f>
        <v/>
      </c>
      <c r="H1558" s="36" t="inlineStr">
        <is>
          <t>RAS</t>
        </is>
      </c>
      <c r="I1558" s="45" t="inlineStr"/>
      <c r="J1558" s="45" t="inlineStr">
        <is>
          <t>RNCP36332</t>
        </is>
      </c>
      <c r="K1558" s="45" t="inlineStr">
        <is>
          <t>CS - Maintenance des installations oléohydrauliques et pneumatiques</t>
        </is>
      </c>
      <c r="L1558" s="45" t="inlineStr">
        <is>
          <t>31/12/2030</t>
        </is>
      </c>
      <c r="M1558" s="45" t="inlineStr"/>
      <c r="N1558" s="50" t="inlineStr">
        <is>
          <t>NON</t>
        </is>
      </c>
      <c r="O1558" s="45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BAC PRO - Aéronautique options Avionique,  Structure, Systèmes</t>
        </is>
      </c>
      <c r="L1559" s="45" t="inlineStr">
        <is>
          <t>31/12/2030</t>
        </is>
      </c>
      <c r="M1559" s="45" t="inlineStr"/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31/12/2030</t>
        </is>
      </c>
      <c r="M1560" s="45" t="inlineStr"/>
      <c r="N1560" s="50" t="inlineStr">
        <is>
          <t>NON</t>
        </is>
      </c>
      <c r="O1560" s="45" t="inlineStr"/>
    </row>
    <row r="1561" customFormat="1" s="3">
      <c r="A1561" s="45" t="n"/>
      <c r="B1561" s="46" t="inlineStr">
        <is>
          <t>23635</t>
        </is>
      </c>
      <c r="C1561" s="46">
        <f>LEFT(Tableau1[[#This Row],[Formacode]],3)</f>
        <v/>
      </c>
      <c r="D1561" s="47" t="n">
        <v>36332</v>
      </c>
      <c r="E1561" s="48">
        <f>"RNCP"&amp;D1561</f>
        <v/>
      </c>
      <c r="F1561" s="48" t="inlineStr">
        <is>
          <t>CS - Maintenance des installations oléohydrauliques et pneumatiques</t>
        </is>
      </c>
      <c r="G1561" s="49">
        <f>E1561&amp;" - "&amp;F1561</f>
        <v/>
      </c>
      <c r="H1561" s="36" t="inlineStr">
        <is>
          <t>RAS</t>
        </is>
      </c>
      <c r="I1561" s="45" t="inlineStr"/>
      <c r="J1561" s="45" t="inlineStr">
        <is>
          <t>RNCP36332</t>
        </is>
      </c>
      <c r="K1561" s="45" t="inlineStr">
        <is>
          <t>CS - Maintenance des installations oléohydrauliques et pneumatiques</t>
        </is>
      </c>
      <c r="L1561" s="45" t="inlineStr">
        <is>
          <t>31/12/2030</t>
        </is>
      </c>
      <c r="M1561" s="45" t="inlineStr"/>
      <c r="N1561" s="50" t="inlineStr">
        <is>
          <t>NON</t>
        </is>
      </c>
      <c r="O1561" s="45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31/12/2030</t>
        </is>
      </c>
      <c r="M1562" s="45" t="inlineStr"/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31/12/2030</t>
        </is>
      </c>
      <c r="M1563" s="45" t="inlineStr"/>
      <c r="N1563" s="50" t="inlineStr">
        <is>
          <t>NON</t>
        </is>
      </c>
      <c r="O1563" s="45" t="inlineStr"/>
    </row>
    <row r="1564" ht="28.8" customFormat="1" customHeight="1" s="3">
      <c r="A1564" s="45" t="n"/>
      <c r="B1564" s="46" t="inlineStr">
        <is>
          <t>23635</t>
        </is>
      </c>
      <c r="C1564" s="46">
        <f>LEFT(Tableau1[[#This Row],[Formacode]],3)</f>
        <v/>
      </c>
      <c r="D1564" s="47" t="n">
        <v>38367</v>
      </c>
      <c r="E1564" s="48">
        <f>"RNCP"&amp;D1564</f>
        <v/>
      </c>
      <c r="F1564" s="48" t="inlineStr">
        <is>
          <t>BTS - Maintenance des véhicules (Option A : Voitures particulières, Option B : Véhicules de transport routier, Option C : Motocycles)</t>
        </is>
      </c>
      <c r="G1564" s="49">
        <f>E1564&amp;" - "&amp;F1564</f>
        <v/>
      </c>
      <c r="H1564" s="36" t="inlineStr">
        <is>
          <t>RAS</t>
        </is>
      </c>
      <c r="I1564" s="45" t="inlineStr"/>
      <c r="J1564" s="45" t="inlineStr">
        <is>
          <t>RNCP38367</t>
        </is>
      </c>
      <c r="K1564" s="45" t="inlineStr">
        <is>
          <t>BTS - Maintenance des véhicules (Option A : Voitures particulières, Option B : Véhicules de transport routier, Option C : Motocycles)</t>
        </is>
      </c>
      <c r="L1564" s="45" t="inlineStr">
        <is>
          <t>31/12/2030</t>
        </is>
      </c>
      <c r="M1564" s="45" t="inlineStr"/>
      <c r="N1564" s="50" t="inlineStr">
        <is>
          <t>NON</t>
        </is>
      </c>
      <c r="O1564" s="45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TP - Mécanicien réparateur de motocycles</t>
        </is>
      </c>
      <c r="L1565" s="45" t="inlineStr">
        <is>
          <t>31/12/2030</t>
        </is>
      </c>
      <c r="M1565" s="45" t="inlineStr"/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31/12/2030</t>
        </is>
      </c>
      <c r="M1566" s="45" t="inlineStr"/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BAC PRO - Maintenance des véhicules : Option : véhicules légers Option : véhicules de transport routier Option : motocycles</t>
        </is>
      </c>
      <c r="L1567" s="45" t="inlineStr">
        <is>
          <t>31/12/2030</t>
        </is>
      </c>
      <c r="M1567" s="45" t="inlineStr"/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CAP - Maintenance des véhicules - Options : véhicules légers, véhicules de transport routier, motocycles</t>
        </is>
      </c>
      <c r="L1568" s="45" t="inlineStr">
        <is>
          <t>31/12/2030</t>
        </is>
      </c>
      <c r="M1568" s="45" t="inlineStr"/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31/12/2030</t>
        </is>
      </c>
      <c r="M1569" s="45" t="inlineStr"/>
      <c r="N1569" s="50" t="inlineStr">
        <is>
          <t>NON</t>
        </is>
      </c>
      <c r="O1569" s="45" t="inlineStr"/>
    </row>
    <row r="1570" customFormat="1" s="3">
      <c r="A1570" s="45" t="n"/>
      <c r="B1570" s="46" t="inlineStr">
        <is>
          <t>23641</t>
        </is>
      </c>
      <c r="C1570" s="46">
        <f>LEFT(Tableau1[[#This Row],[Formacode]],3)</f>
        <v/>
      </c>
      <c r="D1570" s="47" t="n">
        <v>36332</v>
      </c>
      <c r="E1570" s="48">
        <f>"RNCP"&amp;D1570</f>
        <v/>
      </c>
      <c r="F1570" s="48" t="inlineStr">
        <is>
          <t>CS - Maintenance des installations oléohydrauliques et pneumatiques</t>
        </is>
      </c>
      <c r="G1570" s="49">
        <f>E1570&amp;" - "&amp;F1570</f>
        <v/>
      </c>
      <c r="H1570" s="36" t="inlineStr">
        <is>
          <t>RAS</t>
        </is>
      </c>
      <c r="I1570" s="45" t="inlineStr"/>
      <c r="J1570" s="45" t="inlineStr">
        <is>
          <t>RNCP36332</t>
        </is>
      </c>
      <c r="K1570" s="45" t="inlineStr">
        <is>
          <t>CS - Maintenance des installations oléohydrauliques et pneumatiques</t>
        </is>
      </c>
      <c r="L1570" s="45" t="inlineStr">
        <is>
          <t>31/12/2030</t>
        </is>
      </c>
      <c r="M1570" s="45" t="inlineStr"/>
      <c r="N1570" s="50" t="inlineStr">
        <is>
          <t>NON</t>
        </is>
      </c>
      <c r="O1570" s="45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31/12/2030</t>
        </is>
      </c>
      <c r="M1571" s="45" t="inlineStr"/>
      <c r="N1571" s="50" t="inlineStr">
        <is>
          <t>NON</t>
        </is>
      </c>
      <c r="O1571" s="45" t="inlineStr"/>
    </row>
    <row r="1572" customFormat="1" s="3">
      <c r="A1572" s="45" t="n"/>
      <c r="B1572" s="46" t="inlineStr">
        <is>
          <t>23642</t>
        </is>
      </c>
      <c r="C1572" s="46">
        <f>LEFT(Tableau1[[#This Row],[Formacode]],3)</f>
        <v/>
      </c>
      <c r="D1572" s="47" t="n">
        <v>36332</v>
      </c>
      <c r="E1572" s="48">
        <f>"RNCP"&amp;D1572</f>
        <v/>
      </c>
      <c r="F1572" s="48" t="inlineStr">
        <is>
          <t>CS - Maintenance des installations oléohydrauliques et pneumatiques</t>
        </is>
      </c>
      <c r="G1572" s="49">
        <f>E1572&amp;" - "&amp;F1572</f>
        <v/>
      </c>
      <c r="H1572" s="36" t="inlineStr">
        <is>
          <t>RAS</t>
        </is>
      </c>
      <c r="I1572" s="45" t="inlineStr"/>
      <c r="J1572" s="45" t="inlineStr">
        <is>
          <t>RNCP36332</t>
        </is>
      </c>
      <c r="K1572" s="45" t="inlineStr">
        <is>
          <t>CS - Maintenance des installations oléohydrauliques et pneumatiques</t>
        </is>
      </c>
      <c r="L1572" s="45" t="inlineStr">
        <is>
          <t>31/12/2030</t>
        </is>
      </c>
      <c r="M1572" s="45" t="inlineStr"/>
      <c r="N1572" s="50" t="inlineStr">
        <is>
          <t>NON</t>
        </is>
      </c>
      <c r="O1572" s="45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31/12/2030</t>
        </is>
      </c>
      <c r="M1573" s="45" t="inlineStr"/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31/12/2030</t>
        </is>
      </c>
      <c r="M1574" s="45" t="inlineStr"/>
      <c r="N1574" s="50" t="inlineStr">
        <is>
          <t>NON</t>
        </is>
      </c>
      <c r="O1574" s="45" t="inlineStr"/>
    </row>
    <row r="1575" customFormat="1" s="3">
      <c r="A1575" s="45" t="n"/>
      <c r="B1575" s="46" t="inlineStr">
        <is>
          <t>23646</t>
        </is>
      </c>
      <c r="C1575" s="46">
        <f>LEFT(Tableau1[[#This Row],[Formacode]],3)</f>
        <v/>
      </c>
      <c r="D1575" s="47" t="n">
        <v>35227</v>
      </c>
      <c r="E1575" s="48">
        <f>"RNCP"&amp;D1575</f>
        <v/>
      </c>
      <c r="F1575" s="48" t="inlineStr">
        <is>
          <t>TP - Mécanicien réparateur de véhicules industriels</t>
        </is>
      </c>
      <c r="G1575" s="49">
        <f>E1575&amp;" - "&amp;F1575</f>
        <v/>
      </c>
      <c r="H1575" s="36" t="inlineStr">
        <is>
          <t>RAS</t>
        </is>
      </c>
      <c r="I1575" s="45" t="inlineStr"/>
      <c r="J1575" s="45" t="inlineStr">
        <is>
          <t>RNCP35227</t>
        </is>
      </c>
      <c r="K1575" s="45" t="inlineStr">
        <is>
          <t>TP - Mécanicien réparateur de véhicules industriels</t>
        </is>
      </c>
      <c r="L1575" s="45" t="inlineStr">
        <is>
          <t>31/12/2030</t>
        </is>
      </c>
      <c r="M1575" s="45" t="inlineStr"/>
      <c r="N1575" s="50" t="inlineStr">
        <is>
          <t>NON</t>
        </is>
      </c>
      <c r="O1575" s="45" t="inlineStr"/>
    </row>
    <row r="1576" customFormat="1" s="3">
      <c r="A1576" s="45" t="n"/>
      <c r="B1576" s="46" t="inlineStr">
        <is>
          <t>23646</t>
        </is>
      </c>
      <c r="C1576" s="46">
        <f>LEFT(Tableau1[[#This Row],[Formacode]],3)</f>
        <v/>
      </c>
      <c r="D1576" s="47" t="n">
        <v>36019</v>
      </c>
      <c r="E1576" s="48">
        <f>"RNCP"&amp;D1576</f>
        <v/>
      </c>
      <c r="F1576" s="48" t="inlineStr">
        <is>
          <t>CQP  Retoucheur tôle nue sur ligne de fabrication de véhicules</t>
        </is>
      </c>
      <c r="G1576" s="49">
        <f>E1576&amp;" - "&amp;F1576</f>
        <v/>
      </c>
      <c r="H1576" s="36" t="inlineStr">
        <is>
          <t>RAS</t>
        </is>
      </c>
      <c r="I1576" s="45" t="inlineStr"/>
      <c r="J1576" s="45" t="inlineStr">
        <is>
          <t>RNCP36019</t>
        </is>
      </c>
      <c r="K1576" s="45" t="inlineStr">
        <is>
          <t>CQP  Retoucheur tôle nue sur ligne de fabrication de véhicules</t>
        </is>
      </c>
      <c r="L1576" s="45" t="inlineStr">
        <is>
          <t>31/12/2030</t>
        </is>
      </c>
      <c r="M1576" s="45" t="inlineStr"/>
      <c r="N1576" s="50" t="inlineStr">
        <is>
          <t>NON</t>
        </is>
      </c>
      <c r="O1576" s="45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31/12/2030</t>
        </is>
      </c>
      <c r="M1577" s="45" t="inlineStr"/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31/12/2030</t>
        </is>
      </c>
      <c r="M1578" s="45" t="inlineStr"/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TP - Technicien froid embarqué routier</t>
        </is>
      </c>
      <c r="L1579" s="45" t="inlineStr">
        <is>
          <t>31/12/2030</t>
        </is>
      </c>
      <c r="M1579" s="45" t="inlineStr"/>
      <c r="N1579" s="50" t="inlineStr">
        <is>
          <t>NON</t>
        </is>
      </c>
      <c r="O1579" s="45" t="inlineStr"/>
    </row>
    <row r="1580" customFormat="1" s="3">
      <c r="A1580" s="45" t="n"/>
      <c r="B1580" s="46" t="inlineStr">
        <is>
          <t>23646</t>
        </is>
      </c>
      <c r="C1580" s="46">
        <f>LEFT(Tableau1[[#This Row],[Formacode]],3)</f>
        <v/>
      </c>
      <c r="D1580" s="47" t="n">
        <v>36332</v>
      </c>
      <c r="E1580" s="48">
        <f>"RNCP"&amp;D1580</f>
        <v/>
      </c>
      <c r="F1580" s="48" t="inlineStr">
        <is>
          <t>CS - Maintenance des installations oléohydrauliques et pneumatiques</t>
        </is>
      </c>
      <c r="G1580" s="49">
        <f>E1580&amp;" - "&amp;F1580</f>
        <v/>
      </c>
      <c r="H1580" s="36" t="inlineStr">
        <is>
          <t>RAS</t>
        </is>
      </c>
      <c r="I1580" s="45" t="inlineStr"/>
      <c r="J1580" s="45" t="inlineStr">
        <is>
          <t>RNCP36332</t>
        </is>
      </c>
      <c r="K1580" s="45" t="inlineStr">
        <is>
          <t>CS - Maintenance des installations oléohydrauliques et pneumatiques</t>
        </is>
      </c>
      <c r="L1580" s="45" t="inlineStr">
        <is>
          <t>31/12/2030</t>
        </is>
      </c>
      <c r="M1580" s="45" t="inlineStr"/>
      <c r="N1580" s="50" t="inlineStr">
        <is>
          <t>NON</t>
        </is>
      </c>
      <c r="O1580" s="45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31/12/2030</t>
        </is>
      </c>
      <c r="M1581" s="45" t="inlineStr"/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31/12/2030</t>
        </is>
      </c>
      <c r="M1582" s="45" t="inlineStr"/>
      <c r="N1582" s="50" t="inlineStr">
        <is>
          <t>NON</t>
        </is>
      </c>
      <c r="O1582" s="45" t="inlineStr"/>
    </row>
    <row r="1583" customFormat="1" s="3">
      <c r="A1583" s="45" t="n"/>
      <c r="B1583" s="46" t="inlineStr">
        <is>
          <t>23646</t>
        </is>
      </c>
      <c r="C1583" s="46">
        <f>LEFT(Tableau1[[#This Row],[Formacode]],3)</f>
        <v/>
      </c>
      <c r="D1583" s="47" t="n">
        <v>37071</v>
      </c>
      <c r="E1583" s="48">
        <f>"RNCP"&amp;D1583</f>
        <v/>
      </c>
      <c r="F1583" s="48" t="inlineStr">
        <is>
          <t>Technicien expert après-vente véhicules utilitaires et industriels</t>
        </is>
      </c>
      <c r="G1583" s="49">
        <f>E1583&amp;" - "&amp;F1583</f>
        <v/>
      </c>
      <c r="H1583" s="36" t="inlineStr">
        <is>
          <t>RAS</t>
        </is>
      </c>
      <c r="I1583" s="45" t="inlineStr"/>
      <c r="J1583" s="45" t="inlineStr">
        <is>
          <t>RNCP37071</t>
        </is>
      </c>
      <c r="K1583" s="45" t="inlineStr">
        <is>
          <t>Technicien expert après-vente véhicules utilitaires et industriels</t>
        </is>
      </c>
      <c r="L1583" s="45" t="inlineStr">
        <is>
          <t>31/12/2030</t>
        </is>
      </c>
      <c r="M1583" s="45" t="inlineStr"/>
      <c r="N1583" s="50" t="inlineStr">
        <is>
          <t>NON</t>
        </is>
      </c>
      <c r="O1583" s="45" t="inlineStr"/>
    </row>
    <row r="1584" customFormat="1" s="3">
      <c r="A1584" s="45" t="n"/>
      <c r="B1584" s="46" t="inlineStr">
        <is>
          <t>23646</t>
        </is>
      </c>
      <c r="C1584" s="46">
        <f>LEFT(Tableau1[[#This Row],[Formacode]],3)</f>
        <v/>
      </c>
      <c r="D1584" s="47" t="n">
        <v>37134</v>
      </c>
      <c r="E1584" s="48">
        <f>"RNCP"&amp;D1584</f>
        <v/>
      </c>
      <c r="F1584" s="48" t="inlineStr">
        <is>
          <t>CQP Mécanicien véhicules utilitaires et industriels</t>
        </is>
      </c>
      <c r="G1584" s="49">
        <f>E1584&amp;" - "&amp;F1584</f>
        <v/>
      </c>
      <c r="H1584" s="36" t="inlineStr">
        <is>
          <t>RAS</t>
        </is>
      </c>
      <c r="I1584" s="45" t="inlineStr"/>
      <c r="J1584" s="45" t="inlineStr">
        <is>
          <t>RNCP37134</t>
        </is>
      </c>
      <c r="K1584" s="45" t="inlineStr">
        <is>
          <t>CQP Mécanicien véhicules utilitaires et industriels</t>
        </is>
      </c>
      <c r="L1584" s="45" t="inlineStr">
        <is>
          <t>31/12/2030</t>
        </is>
      </c>
      <c r="M1584" s="45" t="inlineStr"/>
      <c r="N1584" s="50" t="inlineStr">
        <is>
          <t>NON</t>
        </is>
      </c>
      <c r="O1584" s="45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TP - Contrôleur technique de véhicules légers</t>
        </is>
      </c>
      <c r="L1585" s="45" t="inlineStr">
        <is>
          <t>31/12/2030</t>
        </is>
      </c>
      <c r="M1585" s="45" t="inlineStr"/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CAP - Peintre automobile</t>
        </is>
      </c>
      <c r="L1586" s="45" t="inlineStr">
        <is>
          <t>31/12/2030</t>
        </is>
      </c>
      <c r="M1586" s="45" t="inlineStr"/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CAP - Carrossier automobile</t>
        </is>
      </c>
      <c r="L1587" s="45" t="inlineStr">
        <is>
          <t>31/12/2030</t>
        </is>
      </c>
      <c r="M1587" s="45" t="inlineStr"/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BAC PRO - Carrossier peintre automobile</t>
        </is>
      </c>
      <c r="L1588" s="45" t="inlineStr">
        <is>
          <t>31/12/2030</t>
        </is>
      </c>
      <c r="M1588" s="45" t="inlineStr"/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TP - Mécanicien de maintenance automobile</t>
        </is>
      </c>
      <c r="L1589" s="45" t="inlineStr">
        <is>
          <t>31/12/2030</t>
        </is>
      </c>
      <c r="M1589" s="45" t="inlineStr"/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TP - Mécanicien automobile</t>
        </is>
      </c>
      <c r="L1590" s="45" t="inlineStr">
        <is>
          <t>31/12/2030</t>
        </is>
      </c>
      <c r="M1590" s="45" t="inlineStr"/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31/12/2030</t>
        </is>
      </c>
      <c r="M1591" s="45" t="inlineStr"/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TP - Technicien électromécanicien automobile</t>
        </is>
      </c>
      <c r="L1592" s="45" t="inlineStr">
        <is>
          <t>31/12/2030</t>
        </is>
      </c>
      <c r="M1592" s="45" t="inlineStr"/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CS - Maquettes et prototypes</t>
        </is>
      </c>
      <c r="L1593" s="45" t="inlineStr">
        <is>
          <t>31/12/2030</t>
        </is>
      </c>
      <c r="M1593" s="45" t="inlineStr"/>
      <c r="N1593" s="50" t="inlineStr">
        <is>
          <t>NON</t>
        </is>
      </c>
      <c r="O1593" s="45" t="inlineStr"/>
    </row>
    <row r="1594" ht="28.8" customFormat="1" customHeight="1" s="3">
      <c r="A1594" s="45" t="n"/>
      <c r="B1594" s="46" t="inlineStr">
        <is>
          <t>23646</t>
        </is>
      </c>
      <c r="C1594" s="46">
        <f>LEFT(Tableau1[[#This Row],[Formacode]],3)</f>
        <v/>
      </c>
      <c r="D1594" s="47" t="n">
        <v>38367</v>
      </c>
      <c r="E1594" s="48">
        <f>"RNCP"&amp;D1594</f>
        <v/>
      </c>
      <c r="F1594" s="48" t="inlineStr">
        <is>
          <t>BTS - Maintenance des véhicules (Option A : Voitures particulières, Option B : Véhicules de transport routier, Option C : Motocycles)</t>
        </is>
      </c>
      <c r="G1594" s="49">
        <f>E1594&amp;" - "&amp;F1594</f>
        <v/>
      </c>
      <c r="H1594" s="36" t="inlineStr">
        <is>
          <t>RAS</t>
        </is>
      </c>
      <c r="I1594" s="45" t="inlineStr"/>
      <c r="J1594" s="45" t="inlineStr">
        <is>
          <t>RNCP38367</t>
        </is>
      </c>
      <c r="K1594" s="45" t="inlineStr">
        <is>
          <t>BTS - Maintenance des véhicules (Option A : Voitures particulières, Option B : Véhicules de transport routier, Option C : Motocycles)</t>
        </is>
      </c>
      <c r="L1594" s="45" t="inlineStr">
        <is>
          <t>31/12/2030</t>
        </is>
      </c>
      <c r="M1594" s="45" t="inlineStr"/>
      <c r="N1594" s="50" t="inlineStr">
        <is>
          <t>NON</t>
        </is>
      </c>
      <c r="O1594" s="45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31/12/2030</t>
        </is>
      </c>
      <c r="M1595" s="45" t="inlineStr"/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31/12/2030</t>
        </is>
      </c>
      <c r="M1596" s="45" t="inlineStr"/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31/12/2030</t>
        </is>
      </c>
      <c r="M1597" s="45" t="inlineStr"/>
      <c r="N1597" s="50" t="inlineStr">
        <is>
          <t>NON</t>
        </is>
      </c>
      <c r="O1597" s="45" t="inlineStr"/>
    </row>
    <row r="1598" customFormat="1" s="3">
      <c r="A1598" s="45" t="n"/>
      <c r="B1598" s="46" t="inlineStr">
        <is>
          <t>23646</t>
        </is>
      </c>
      <c r="C1598" s="46">
        <f>LEFT(Tableau1[[#This Row],[Formacode]],3)</f>
        <v/>
      </c>
      <c r="D1598" s="47" t="n">
        <v>39634</v>
      </c>
      <c r="E1598" s="48">
        <f>"RNCP"&amp;D1598</f>
        <v/>
      </c>
      <c r="F1598" s="48" t="inlineStr">
        <is>
          <t>CQP Peintre en carrosserie</t>
        </is>
      </c>
      <c r="G1598" s="49">
        <f>E1598&amp;" - "&amp;F1598</f>
        <v/>
      </c>
      <c r="H1598" s="36" t="inlineStr">
        <is>
          <t>RAS</t>
        </is>
      </c>
      <c r="I1598" s="45" t="inlineStr"/>
      <c r="J1598" s="45" t="inlineStr">
        <is>
          <t>RNCP39634</t>
        </is>
      </c>
      <c r="K1598" s="45" t="inlineStr">
        <is>
          <t>CQP Peintre en carrosserie</t>
        </is>
      </c>
      <c r="L1598" s="45" t="inlineStr">
        <is>
          <t>31/12/2030</t>
        </is>
      </c>
      <c r="M1598" s="45" t="inlineStr"/>
      <c r="N1598" s="50" t="inlineStr">
        <is>
          <t>NON</t>
        </is>
      </c>
      <c r="O1598" s="45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31/12/2030</t>
        </is>
      </c>
      <c r="M1599" s="45" t="inlineStr"/>
      <c r="N1599" s="50" t="inlineStr">
        <is>
          <t>NON</t>
        </is>
      </c>
      <c r="O1599" s="45" t="inlineStr"/>
    </row>
    <row r="1600" customFormat="1" s="3">
      <c r="A1600" s="45" t="n"/>
      <c r="B1600" s="46" t="inlineStr">
        <is>
          <t>23646</t>
        </is>
      </c>
      <c r="C1600" s="46">
        <f>LEFT(Tableau1[[#This Row],[Formacode]],3)</f>
        <v/>
      </c>
      <c r="D1600" s="47" t="n">
        <v>39847</v>
      </c>
      <c r="E1600" s="48">
        <f>"RNCP"&amp;D1600</f>
        <v/>
      </c>
      <c r="F1600" s="48" t="inlineStr">
        <is>
          <t>CQP Opérateur maintenance pneumatiques véhicules industriels, agricoles et génie civil</t>
        </is>
      </c>
      <c r="G1600" s="49">
        <f>E1600&amp;" - "&amp;F1600</f>
        <v/>
      </c>
      <c r="H1600" s="36" t="inlineStr">
        <is>
          <t>RAS</t>
        </is>
      </c>
      <c r="I1600" s="45" t="inlineStr"/>
      <c r="J1600" s="45" t="inlineStr">
        <is>
          <t>RNCP39847</t>
        </is>
      </c>
      <c r="K1600" s="45" t="inlineStr">
        <is>
          <t>CQP Opérateur maintenance pneumatiques véhicules industriels, agricoles et génie civil</t>
        </is>
      </c>
      <c r="L1600" s="45" t="inlineStr">
        <is>
          <t>31/12/2030</t>
        </is>
      </c>
      <c r="M1600" s="45" t="inlineStr"/>
      <c r="N1600" s="50" t="inlineStr">
        <is>
          <t>NON</t>
        </is>
      </c>
      <c r="O1600" s="45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31/12/2030</t>
        </is>
      </c>
      <c r="M1601" s="45" t="inlineStr"/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31/12/2030</t>
        </is>
      </c>
      <c r="M1602" s="45" t="inlineStr"/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31/12/2030</t>
        </is>
      </c>
      <c r="M1603" s="45" t="inlineStr"/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BAC PRO - Construction et aménagement de véhicules</t>
        </is>
      </c>
      <c r="L1604" s="45" t="inlineStr">
        <is>
          <t>31/12/2030</t>
        </is>
      </c>
      <c r="M1604" s="45" t="inlineStr"/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CAP - Construction et aménagement de véhicules</t>
        </is>
      </c>
      <c r="L1605" s="45" t="inlineStr">
        <is>
          <t>31/12/2030</t>
        </is>
      </c>
      <c r="M1605" s="45" t="inlineStr"/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BTS - Construction et aménagement de véhicules</t>
        </is>
      </c>
      <c r="L1606" s="45" t="inlineStr">
        <is>
          <t>31/12/2030</t>
        </is>
      </c>
      <c r="M1606" s="45" t="inlineStr"/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31/12/2030</t>
        </is>
      </c>
      <c r="M1607" s="45" t="inlineStr"/>
      <c r="N1607" s="50" t="inlineStr">
        <is>
          <t>NON</t>
        </is>
      </c>
      <c r="O1607" s="45" t="inlineStr"/>
    </row>
    <row r="1608" customFormat="1" s="3">
      <c r="A1608" s="45" t="n"/>
      <c r="B1608" s="46" t="inlineStr">
        <is>
          <t>23646</t>
        </is>
      </c>
      <c r="C1608" s="46">
        <f>LEFT(Tableau1[[#This Row],[Formacode]],3)</f>
        <v/>
      </c>
      <c r="D1608" s="47" t="n">
        <v>40839</v>
      </c>
      <c r="E1608" s="48">
        <f>"RNCP"&amp;D1608</f>
        <v/>
      </c>
      <c r="F1608" s="48" t="inlineStr">
        <is>
          <t>CQP Technicien après-vente automobile</t>
        </is>
      </c>
      <c r="G1608" s="49">
        <f>E1608&amp;" - "&amp;F1608</f>
        <v/>
      </c>
      <c r="H1608" s="36" t="inlineStr">
        <is>
          <t>RAS</t>
        </is>
      </c>
      <c r="I1608" s="45" t="inlineStr"/>
      <c r="J1608" s="45" t="inlineStr">
        <is>
          <t>RNCP40839</t>
        </is>
      </c>
      <c r="K1608" s="45" t="inlineStr">
        <is>
          <t>CQP Technicien après-vente automobile</t>
        </is>
      </c>
      <c r="L1608" s="45" t="inlineStr">
        <is>
          <t>31/12/2030</t>
        </is>
      </c>
      <c r="M1608" s="45" t="inlineStr"/>
      <c r="N1608" s="50" t="inlineStr">
        <is>
          <t>NON</t>
        </is>
      </c>
      <c r="O1608" s="45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31/12/2030</t>
        </is>
      </c>
      <c r="M1609" s="45" t="inlineStr"/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BAC PRO - Maintenance des véhicules : Option : véhicules légers Option : véhicules de transport routier Option : motocycles</t>
        </is>
      </c>
      <c r="L1610" s="45" t="inlineStr">
        <is>
          <t>31/12/2030</t>
        </is>
      </c>
      <c r="M1610" s="45" t="inlineStr"/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CAP - Maintenance des véhicules - Options : véhicules légers, véhicules de transport routier, motocycles</t>
        </is>
      </c>
      <c r="L1611" s="45" t="inlineStr">
        <is>
          <t>31/12/2030</t>
        </is>
      </c>
      <c r="M1611" s="45" t="inlineStr"/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31/12/2030</t>
        </is>
      </c>
      <c r="M1612" s="45" t="inlineStr"/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31/12/2030</t>
        </is>
      </c>
      <c r="M1613" s="45" t="inlineStr"/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31/12/2030</t>
        </is>
      </c>
      <c r="M1614" s="45" t="inlineStr"/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TP - Carrossier réparateur</t>
        </is>
      </c>
      <c r="L1615" s="45" t="inlineStr">
        <is>
          <t>31/12/2030</t>
        </is>
      </c>
      <c r="M1615" s="45" t="inlineStr"/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TP - Peintre en carrosserie</t>
        </is>
      </c>
      <c r="L1616" s="45" t="inlineStr">
        <is>
          <t>31/12/2030</t>
        </is>
      </c>
      <c r="M1616" s="45" t="inlineStr"/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31/12/2030</t>
        </is>
      </c>
      <c r="M1617" s="45" t="inlineStr"/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31/12/2030</t>
        </is>
      </c>
      <c r="M1618" s="45" t="inlineStr"/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31/12/2030</t>
        </is>
      </c>
      <c r="M1619" s="45" t="inlineStr"/>
      <c r="N1619" s="50" t="inlineStr">
        <is>
          <t>NON</t>
        </is>
      </c>
      <c r="O1619" s="45" t="inlineStr"/>
    </row>
    <row r="1620" customFormat="1" s="3">
      <c r="A1620" s="45" t="n"/>
      <c r="B1620" s="46" t="inlineStr">
        <is>
          <t>23651</t>
        </is>
      </c>
      <c r="C1620" s="46">
        <f>LEFT(Tableau1[[#This Row],[Formacode]],3)</f>
        <v/>
      </c>
      <c r="D1620" s="47" t="n">
        <v>36332</v>
      </c>
      <c r="E1620" s="48">
        <f>"RNCP"&amp;D1620</f>
        <v/>
      </c>
      <c r="F1620" s="48" t="inlineStr">
        <is>
          <t>CS - Maintenance des installations oléohydrauliques et pneumatiques</t>
        </is>
      </c>
      <c r="G1620" s="49">
        <f>E1620&amp;" - "&amp;F1620</f>
        <v/>
      </c>
      <c r="H1620" s="36" t="inlineStr">
        <is>
          <t>RAS</t>
        </is>
      </c>
      <c r="I1620" s="45" t="inlineStr"/>
      <c r="J1620" s="45" t="inlineStr">
        <is>
          <t>RNCP36332</t>
        </is>
      </c>
      <c r="K1620" s="45" t="inlineStr">
        <is>
          <t>CS - Maintenance des installations oléohydrauliques et pneumatiques</t>
        </is>
      </c>
      <c r="L1620" s="45" t="inlineStr">
        <is>
          <t>31/12/2030</t>
        </is>
      </c>
      <c r="M1620" s="45" t="inlineStr"/>
      <c r="N1620" s="50" t="inlineStr">
        <is>
          <t>NON</t>
        </is>
      </c>
      <c r="O1620" s="45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31/12/2030</t>
        </is>
      </c>
      <c r="M1621" s="45" t="inlineStr"/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31/12/2030</t>
        </is>
      </c>
      <c r="M1622" s="45" t="inlineStr"/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31/12/2030</t>
        </is>
      </c>
      <c r="M1623" s="45" t="inlineStr"/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31/12/2030</t>
        </is>
      </c>
      <c r="M1624" s="45" t="inlineStr"/>
      <c r="N1624" s="50" t="inlineStr">
        <is>
          <t>NON</t>
        </is>
      </c>
      <c r="O1624" s="45" t="inlineStr"/>
    </row>
    <row r="1625" customFormat="1" s="3">
      <c r="A1625" s="45" t="n"/>
      <c r="B1625" s="46" t="inlineStr">
        <is>
          <t>23653</t>
        </is>
      </c>
      <c r="C1625" s="46">
        <f>LEFT(Tableau1[[#This Row],[Formacode]],3)</f>
        <v/>
      </c>
      <c r="D1625" s="47" t="n">
        <v>36332</v>
      </c>
      <c r="E1625" s="48">
        <f>"RNCP"&amp;D1625</f>
        <v/>
      </c>
      <c r="F1625" s="48" t="inlineStr">
        <is>
          <t>CS - Maintenance des installations oléohydrauliques et pneumatiques</t>
        </is>
      </c>
      <c r="G1625" s="49">
        <f>E1625&amp;" - "&amp;F1625</f>
        <v/>
      </c>
      <c r="H1625" s="36" t="inlineStr">
        <is>
          <t>RAS</t>
        </is>
      </c>
      <c r="I1625" s="45" t="inlineStr"/>
      <c r="J1625" s="45" t="inlineStr">
        <is>
          <t>RNCP36332</t>
        </is>
      </c>
      <c r="K1625" s="45" t="inlineStr">
        <is>
          <t>CS - Maintenance des installations oléohydrauliques et pneumatiques</t>
        </is>
      </c>
      <c r="L1625" s="45" t="inlineStr">
        <is>
          <t>31/12/2030</t>
        </is>
      </c>
      <c r="M1625" s="45" t="inlineStr"/>
      <c r="N1625" s="50" t="inlineStr">
        <is>
          <t>NON</t>
        </is>
      </c>
      <c r="O1625" s="45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31/12/2030</t>
        </is>
      </c>
      <c r="M1626" s="45" t="inlineStr"/>
      <c r="N1626" s="50" t="inlineStr">
        <is>
          <t>NON</t>
        </is>
      </c>
      <c r="O1626" s="45" t="inlineStr"/>
    </row>
    <row r="1627" customFormat="1" s="3">
      <c r="A1627" s="45" t="n"/>
      <c r="B1627" s="46" t="inlineStr">
        <is>
          <t>23662</t>
        </is>
      </c>
      <c r="C1627" s="46">
        <f>LEFT(Tableau1[[#This Row],[Formacode]],3)</f>
        <v/>
      </c>
      <c r="D1627" s="47" t="n">
        <v>36332</v>
      </c>
      <c r="E1627" s="48">
        <f>"RNCP"&amp;D1627</f>
        <v/>
      </c>
      <c r="F1627" s="48" t="inlineStr">
        <is>
          <t>CS - Maintenance des installations oléohydrauliques et pneumatiques</t>
        </is>
      </c>
      <c r="G1627" s="49">
        <f>E1627&amp;" - "&amp;F1627</f>
        <v/>
      </c>
      <c r="H1627" s="36" t="inlineStr">
        <is>
          <t>RAS</t>
        </is>
      </c>
      <c r="I1627" s="45" t="inlineStr"/>
      <c r="J1627" s="45" t="inlineStr">
        <is>
          <t>RNCP36332</t>
        </is>
      </c>
      <c r="K1627" s="45" t="inlineStr">
        <is>
          <t>CS - Maintenance des installations oléohydrauliques et pneumatiques</t>
        </is>
      </c>
      <c r="L1627" s="45" t="inlineStr">
        <is>
          <t>31/12/2030</t>
        </is>
      </c>
      <c r="M1627" s="45" t="inlineStr"/>
      <c r="N1627" s="50" t="inlineStr">
        <is>
          <t>NON</t>
        </is>
      </c>
      <c r="O1627" s="45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CAP - Horlogerie</t>
        </is>
      </c>
      <c r="L1628" s="45" t="inlineStr">
        <is>
          <t>31/12/2030</t>
        </is>
      </c>
      <c r="M1628" s="45" t="inlineStr"/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CS - Maquettes et prototypes</t>
        </is>
      </c>
      <c r="L1629" s="45" t="inlineStr">
        <is>
          <t>31/12/2030</t>
        </is>
      </c>
      <c r="M1629" s="45" t="inlineStr"/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CAP - Armurerie (fabrication et réparation)</t>
        </is>
      </c>
      <c r="L1630" s="45" t="inlineStr">
        <is>
          <t>31/12/2030</t>
        </is>
      </c>
      <c r="M1630" s="45" t="inlineStr"/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BAC PRO - Microtechniques</t>
        </is>
      </c>
      <c r="L1631" s="45" t="inlineStr">
        <is>
          <t>31/12/2030</t>
        </is>
      </c>
      <c r="M1631" s="45" t="inlineStr"/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BTS - Conception et industrialisation en microtechniques</t>
        </is>
      </c>
      <c r="L1632" s="45" t="inlineStr">
        <is>
          <t>31/12/2030</t>
        </is>
      </c>
      <c r="M1632" s="45" t="inlineStr"/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31/12/2030</t>
        </is>
      </c>
      <c r="M1633" s="45" t="inlineStr"/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TP - Technicien de maintenance d'engins et de matériels de chantier et de manutention</t>
        </is>
      </c>
      <c r="L1634" s="45" t="inlineStr">
        <is>
          <t>31/12/2030</t>
        </is>
      </c>
      <c r="M1634" s="45" t="inlineStr"/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TP - Monteur qualifié d'équipements industriels</t>
        </is>
      </c>
      <c r="L1635" s="45" t="inlineStr">
        <is>
          <t>31/12/2030</t>
        </is>
      </c>
      <c r="M1635" s="45" t="inlineStr"/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TP - Horloger</t>
        </is>
      </c>
      <c r="L1636" s="45" t="inlineStr">
        <is>
          <t>31/12/2030</t>
        </is>
      </c>
      <c r="M1636" s="45" t="inlineStr"/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31/12/2030</t>
        </is>
      </c>
      <c r="M1637" s="45" t="inlineStr"/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CAP - Instruments coupants et de chirurgie</t>
        </is>
      </c>
      <c r="L1638" s="45" t="inlineStr">
        <is>
          <t>31/12/2030</t>
        </is>
      </c>
      <c r="M1638" s="45" t="inlineStr"/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BAC PRO - Technicien en réalisation de produits mécaniques, option réalisation et suivi de productions, option réalisation et maintenance des outillages</t>
        </is>
      </c>
      <c r="L1639" s="45" t="inlineStr">
        <is>
          <t>31/12/2030</t>
        </is>
      </c>
      <c r="M1639" s="45" t="inlineStr"/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31/12/2030</t>
        </is>
      </c>
      <c r="M1640" s="45" t="inlineStr"/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31/12/2030</t>
        </is>
      </c>
      <c r="M1641" s="45" t="inlineStr"/>
      <c r="N1641" s="50" t="inlineStr">
        <is>
          <t>NON</t>
        </is>
      </c>
      <c r="O1641" s="45" t="inlineStr"/>
    </row>
    <row r="1642" customFormat="1" s="3">
      <c r="A1642" s="45" t="n"/>
      <c r="B1642" s="46" t="inlineStr">
        <is>
          <t>23663</t>
        </is>
      </c>
      <c r="C1642" s="46">
        <f>LEFT(Tableau1[[#This Row],[Formacode]],3)</f>
        <v/>
      </c>
      <c r="D1642" s="47" t="n">
        <v>36332</v>
      </c>
      <c r="E1642" s="48">
        <f>"RNCP"&amp;D1642</f>
        <v/>
      </c>
      <c r="F1642" s="48" t="inlineStr">
        <is>
          <t>CS - Maintenance des installations oléohydrauliques et pneumatiques</t>
        </is>
      </c>
      <c r="G1642" s="49">
        <f>E1642&amp;" - "&amp;F1642</f>
        <v/>
      </c>
      <c r="H1642" s="36" t="inlineStr">
        <is>
          <t>RAS</t>
        </is>
      </c>
      <c r="I1642" s="45" t="inlineStr"/>
      <c r="J1642" s="45" t="inlineStr">
        <is>
          <t>RNCP36332</t>
        </is>
      </c>
      <c r="K1642" s="45" t="inlineStr">
        <is>
          <t>CS - Maintenance des installations oléohydrauliques et pneumatiques</t>
        </is>
      </c>
      <c r="L1642" s="45" t="inlineStr">
        <is>
          <t>31/12/2030</t>
        </is>
      </c>
      <c r="M1642" s="45" t="inlineStr"/>
      <c r="N1642" s="50" t="inlineStr">
        <is>
          <t>NON</t>
        </is>
      </c>
      <c r="O1642" s="45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31/12/2030</t>
        </is>
      </c>
      <c r="M1643" s="45" t="inlineStr"/>
      <c r="N1643" s="50" t="inlineStr">
        <is>
          <t>NON</t>
        </is>
      </c>
      <c r="O1643" s="45" t="inlineStr"/>
    </row>
    <row r="1644" customFormat="1" s="3">
      <c r="A1644" s="45" t="n"/>
      <c r="B1644" s="46" t="inlineStr">
        <is>
          <t>23675</t>
        </is>
      </c>
      <c r="C1644" s="46">
        <f>LEFT(Tableau1[[#This Row],[Formacode]],3)</f>
        <v/>
      </c>
      <c r="D1644" s="47" t="n">
        <v>36332</v>
      </c>
      <c r="E1644" s="48">
        <f>"RNCP"&amp;D1644</f>
        <v/>
      </c>
      <c r="F1644" s="48" t="inlineStr">
        <is>
          <t>CS - Maintenance des installations oléohydrauliques et pneumatiques</t>
        </is>
      </c>
      <c r="G1644" s="49">
        <f>E1644&amp;" - "&amp;F1644</f>
        <v/>
      </c>
      <c r="H1644" s="36" t="inlineStr">
        <is>
          <t>RAS</t>
        </is>
      </c>
      <c r="I1644" s="45" t="inlineStr"/>
      <c r="J1644" s="45" t="inlineStr">
        <is>
          <t>RNCP36332</t>
        </is>
      </c>
      <c r="K1644" s="45" t="inlineStr">
        <is>
          <t>CS - Maintenance des installations oléohydrauliques et pneumatiques</t>
        </is>
      </c>
      <c r="L1644" s="45" t="inlineStr">
        <is>
          <t>31/12/2030</t>
        </is>
      </c>
      <c r="M1644" s="45" t="inlineStr"/>
      <c r="N1644" s="50" t="inlineStr">
        <is>
          <t>NON</t>
        </is>
      </c>
      <c r="O1644" s="45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31/12/2030</t>
        </is>
      </c>
      <c r="M1645" s="45" t="inlineStr"/>
      <c r="N1645" s="50" t="inlineStr">
        <is>
          <t>NON</t>
        </is>
      </c>
      <c r="O1645" s="45" t="inlineStr"/>
    </row>
    <row r="1646" customFormat="1" s="3">
      <c r="A1646" s="45" t="n"/>
      <c r="B1646" s="46" t="inlineStr">
        <is>
          <t>23677</t>
        </is>
      </c>
      <c r="C1646" s="46">
        <f>LEFT(Tableau1[[#This Row],[Formacode]],3)</f>
        <v/>
      </c>
      <c r="D1646" s="47" t="n">
        <v>36332</v>
      </c>
      <c r="E1646" s="48">
        <f>"RNCP"&amp;D1646</f>
        <v/>
      </c>
      <c r="F1646" s="48" t="inlineStr">
        <is>
          <t>CS - Maintenance des installations oléohydrauliques et pneumatiques</t>
        </is>
      </c>
      <c r="G1646" s="49">
        <f>E1646&amp;" - "&amp;F1646</f>
        <v/>
      </c>
      <c r="H1646" s="36" t="inlineStr">
        <is>
          <t>RAS</t>
        </is>
      </c>
      <c r="I1646" s="45" t="inlineStr"/>
      <c r="J1646" s="45" t="inlineStr">
        <is>
          <t>RNCP36332</t>
        </is>
      </c>
      <c r="K1646" s="45" t="inlineStr">
        <is>
          <t>CS - Maintenance des installations oléohydrauliques et pneumatiques</t>
        </is>
      </c>
      <c r="L1646" s="45" t="inlineStr">
        <is>
          <t>31/12/2030</t>
        </is>
      </c>
      <c r="M1646" s="45" t="inlineStr"/>
      <c r="N1646" s="50" t="inlineStr">
        <is>
          <t>NON</t>
        </is>
      </c>
      <c r="O1646" s="45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BTS - Motorisations toutes énergies</t>
        </is>
      </c>
      <c r="L1647" s="45" t="inlineStr">
        <is>
          <t>31/12/2030</t>
        </is>
      </c>
      <c r="M1647" s="45" t="inlineStr"/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31/12/2030</t>
        </is>
      </c>
      <c r="M1648" s="45" t="inlineStr"/>
      <c r="N1648" s="50" t="inlineStr">
        <is>
          <t>NON</t>
        </is>
      </c>
      <c r="O1648" s="45" t="inlineStr"/>
    </row>
    <row r="1649" customFormat="1" s="3">
      <c r="A1649" s="45" t="n"/>
      <c r="B1649" s="46" t="inlineStr">
        <is>
          <t>23684</t>
        </is>
      </c>
      <c r="C1649" s="46">
        <f>LEFT(Tableau1[[#This Row],[Formacode]],3)</f>
        <v/>
      </c>
      <c r="D1649" s="47" t="n">
        <v>36332</v>
      </c>
      <c r="E1649" s="48">
        <f>"RNCP"&amp;D1649</f>
        <v/>
      </c>
      <c r="F1649" s="48" t="inlineStr">
        <is>
          <t>CS - Maintenance des installations oléohydrauliques et pneumatiques</t>
        </is>
      </c>
      <c r="G1649" s="49">
        <f>E1649&amp;" - "&amp;F1649</f>
        <v/>
      </c>
      <c r="H1649" s="36" t="inlineStr">
        <is>
          <t>RAS</t>
        </is>
      </c>
      <c r="I1649" s="45" t="inlineStr"/>
      <c r="J1649" s="45" t="inlineStr">
        <is>
          <t>RNCP36332</t>
        </is>
      </c>
      <c r="K1649" s="45" t="inlineStr">
        <is>
          <t>CS - Maintenance des installations oléohydrauliques et pneumatiques</t>
        </is>
      </c>
      <c r="L1649" s="45" t="inlineStr">
        <is>
          <t>31/12/2030</t>
        </is>
      </c>
      <c r="M1649" s="45" t="inlineStr"/>
      <c r="N1649" s="50" t="inlineStr">
        <is>
          <t>NON</t>
        </is>
      </c>
      <c r="O1649" s="45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TP - Electromécanicien de maintenance industrielle</t>
        </is>
      </c>
      <c r="L1650" s="45" t="inlineStr">
        <is>
          <t>31/12/2030</t>
        </is>
      </c>
      <c r="M1650" s="45" t="inlineStr"/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31/12/2030</t>
        </is>
      </c>
      <c r="M1651" s="45" t="inlineStr"/>
      <c r="N1651" s="50" t="inlineStr">
        <is>
          <t>NON</t>
        </is>
      </c>
      <c r="O1651" s="45" t="inlineStr"/>
    </row>
    <row r="1652" customFormat="1" s="3">
      <c r="A1652" s="45" t="n"/>
      <c r="B1652" s="46" t="inlineStr">
        <is>
          <t>23692</t>
        </is>
      </c>
      <c r="C1652" s="46">
        <f>LEFT(Tableau1[[#This Row],[Formacode]],3)</f>
        <v/>
      </c>
      <c r="D1652" s="47" t="n">
        <v>36332</v>
      </c>
      <c r="E1652" s="48">
        <f>"RNCP"&amp;D1652</f>
        <v/>
      </c>
      <c r="F1652" s="48" t="inlineStr">
        <is>
          <t>CS - Maintenance des installations oléohydrauliques et pneumatiques</t>
        </is>
      </c>
      <c r="G1652" s="49">
        <f>E1652&amp;" - "&amp;F1652</f>
        <v/>
      </c>
      <c r="H1652" s="36" t="inlineStr">
        <is>
          <t>RAS</t>
        </is>
      </c>
      <c r="I1652" s="45" t="inlineStr"/>
      <c r="J1652" s="45" t="inlineStr">
        <is>
          <t>RNCP36332</t>
        </is>
      </c>
      <c r="K1652" s="45" t="inlineStr">
        <is>
          <t>CS - Maintenance des installations oléohydrauliques et pneumatiques</t>
        </is>
      </c>
      <c r="L1652" s="45" t="inlineStr">
        <is>
          <t>31/12/2030</t>
        </is>
      </c>
      <c r="M1652" s="45" t="inlineStr"/>
      <c r="N1652" s="50" t="inlineStr">
        <is>
          <t>NON</t>
        </is>
      </c>
      <c r="O1652" s="45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TP - Technicien supérieur en conception industrielle de systèmes mécaniques</t>
        </is>
      </c>
      <c r="L1653" s="45" t="inlineStr">
        <is>
          <t>31/12/2030</t>
        </is>
      </c>
      <c r="M1653" s="45" t="inlineStr"/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TP - Technicien d'études en mécanique</t>
        </is>
      </c>
      <c r="L1654" s="45" t="inlineStr">
        <is>
          <t>31/12/2030</t>
        </is>
      </c>
      <c r="M1654" s="45" t="inlineStr"/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31/12/2030</t>
        </is>
      </c>
      <c r="M1655" s="45" t="inlineStr"/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31/12/2030</t>
        </is>
      </c>
      <c r="M1656" s="45" t="inlineStr"/>
      <c r="N1656" s="50" t="inlineStr">
        <is>
          <t>NON</t>
        </is>
      </c>
      <c r="O1656" s="45" t="inlineStr"/>
    </row>
    <row r="1657" customFormat="1" s="3">
      <c r="A1657" s="45" t="n"/>
      <c r="B1657" s="46" t="inlineStr">
        <is>
          <t>24016</t>
        </is>
      </c>
      <c r="C1657" s="46">
        <f>LEFT(Tableau1[[#This Row],[Formacode]],3)</f>
        <v/>
      </c>
      <c r="D1657" s="47" t="n">
        <v>36171</v>
      </c>
      <c r="E1657" s="48">
        <f>"RNCP"&amp;D1657</f>
        <v/>
      </c>
      <c r="F1657" s="48" t="inlineStr">
        <is>
          <t>TP - Agent d'assemblage et de maintenance de batteries d'accumulateurs</t>
        </is>
      </c>
      <c r="G1657" s="49">
        <f>E1657&amp;" - "&amp;F1657</f>
        <v/>
      </c>
      <c r="H1657" s="36" t="inlineStr">
        <is>
          <t>RAS</t>
        </is>
      </c>
      <c r="I1657" s="45" t="inlineStr"/>
      <c r="J1657" s="45" t="inlineStr">
        <is>
          <t>RNCP36171</t>
        </is>
      </c>
      <c r="K1657" s="45" t="inlineStr">
        <is>
          <t>TP - Agent d'assemblage et de maintenance de batteries d'accumulateurs</t>
        </is>
      </c>
      <c r="L1657" s="45" t="inlineStr">
        <is>
          <t>31/12/2030</t>
        </is>
      </c>
      <c r="M1657" s="45" t="inlineStr"/>
      <c r="N1657" s="50" t="inlineStr">
        <is>
          <t>NON</t>
        </is>
      </c>
      <c r="O1657" s="45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31/12/2030</t>
        </is>
      </c>
      <c r="M1658" s="45" t="inlineStr"/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TP - Monteur câbleur en aéronautique</t>
        </is>
      </c>
      <c r="L1659" s="45" t="inlineStr">
        <is>
          <t>31/12/2030</t>
        </is>
      </c>
      <c r="M1659" s="45" t="inlineStr"/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31/12/2030</t>
        </is>
      </c>
      <c r="M1660" s="45" t="inlineStr"/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BAC PRO - Métiers de l'électricité et de ses environnements connectés</t>
        </is>
      </c>
      <c r="L1661" s="45" t="inlineStr">
        <is>
          <t>31/12/2030</t>
        </is>
      </c>
      <c r="M1661" s="45" t="inlineStr"/>
      <c r="N1661" s="50" t="inlineStr">
        <is>
          <t>NON</t>
        </is>
      </c>
      <c r="O1661" s="45" t="inlineStr"/>
    </row>
    <row r="1662" customFormat="1" s="3">
      <c r="A1662" s="45" t="n"/>
      <c r="B1662" s="46" t="inlineStr">
        <is>
          <t>24016</t>
        </is>
      </c>
      <c r="C1662" s="46">
        <f>LEFT(Tableau1[[#This Row],[Formacode]],3)</f>
        <v/>
      </c>
      <c r="D1662" s="47" t="n">
        <v>39192</v>
      </c>
      <c r="E1662" s="48">
        <f>"RNCP"&amp;D1662</f>
        <v/>
      </c>
      <c r="F1662" s="48" t="inlineStr">
        <is>
          <t>CS - Technicien ascensoriste (service et modernisation)</t>
        </is>
      </c>
      <c r="G1662" s="49">
        <f>E1662&amp;" - "&amp;F1662</f>
        <v/>
      </c>
      <c r="H1662" s="36" t="inlineStr">
        <is>
          <t>RAS</t>
        </is>
      </c>
      <c r="I1662" s="45" t="inlineStr"/>
      <c r="J1662" s="45" t="inlineStr">
        <is>
          <t>RNCP39192</t>
        </is>
      </c>
      <c r="K1662" s="45" t="inlineStr">
        <is>
          <t>CS - Technicien ascensoriste (service et modernisation)</t>
        </is>
      </c>
      <c r="L1662" s="45" t="inlineStr">
        <is>
          <t>31/12/2030</t>
        </is>
      </c>
      <c r="M1662" s="45" t="inlineStr"/>
      <c r="N1662" s="50" t="inlineStr">
        <is>
          <t>NON</t>
        </is>
      </c>
      <c r="O1662" s="45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31/12/2030</t>
        </is>
      </c>
      <c r="M1663" s="45" t="inlineStr"/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BTS - Electrotechnique</t>
        </is>
      </c>
      <c r="L1664" s="45" t="inlineStr">
        <is>
          <t>31/12/2030</t>
        </is>
      </c>
      <c r="M1664" s="45" t="inlineStr"/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31/12/2030</t>
        </is>
      </c>
      <c r="M1665" s="45" t="inlineStr"/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BAC PRO - Métiers de l'électricité et de ses environnements connectés</t>
        </is>
      </c>
      <c r="L1666" s="45" t="inlineStr">
        <is>
          <t>31/12/2030</t>
        </is>
      </c>
      <c r="M1666" s="45" t="inlineStr"/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TP - Technicien d'après-vente en électroménager et audiovisuel</t>
        </is>
      </c>
      <c r="L1667" s="45" t="inlineStr">
        <is>
          <t>31/12/2030</t>
        </is>
      </c>
      <c r="M1667" s="45" t="inlineStr"/>
      <c r="N1667" s="50" t="inlineStr">
        <is>
          <t>NON</t>
        </is>
      </c>
      <c r="O1667" s="45" t="inlineStr"/>
    </row>
    <row r="1668" customFormat="1" s="3">
      <c r="A1668" s="45" t="n"/>
      <c r="B1668" s="46" t="inlineStr">
        <is>
          <t>24021</t>
        </is>
      </c>
      <c r="C1668" s="46">
        <f>LEFT(Tableau1[[#This Row],[Formacode]],3)</f>
        <v/>
      </c>
      <c r="D1668" s="47" t="n">
        <v>39192</v>
      </c>
      <c r="E1668" s="48">
        <f>"RNCP"&amp;D1668</f>
        <v/>
      </c>
      <c r="F1668" s="48" t="inlineStr">
        <is>
          <t>CS - Technicien ascensoriste (service et modernisation)</t>
        </is>
      </c>
      <c r="G1668" s="49">
        <f>E1668&amp;" - "&amp;F1668</f>
        <v/>
      </c>
      <c r="H1668" s="36" t="inlineStr">
        <is>
          <t>RAS</t>
        </is>
      </c>
      <c r="I1668" s="45" t="inlineStr"/>
      <c r="J1668" s="45" t="inlineStr">
        <is>
          <t>RNCP39192</t>
        </is>
      </c>
      <c r="K1668" s="45" t="inlineStr">
        <is>
          <t>CS - Technicien ascensoriste (service et modernisation)</t>
        </is>
      </c>
      <c r="L1668" s="45" t="inlineStr">
        <is>
          <t>31/12/2030</t>
        </is>
      </c>
      <c r="M1668" s="45" t="inlineStr"/>
      <c r="N1668" s="50" t="inlineStr">
        <is>
          <t>NON</t>
        </is>
      </c>
      <c r="O1668" s="45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BTS - Electrotechnique</t>
        </is>
      </c>
      <c r="L1669" s="45" t="inlineStr">
        <is>
          <t>31/12/2030</t>
        </is>
      </c>
      <c r="M1669" s="45" t="inlineStr"/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BAC PRO - Métiers de l'électricité et de ses environnements connectés</t>
        </is>
      </c>
      <c r="L1670" s="45" t="inlineStr">
        <is>
          <t>31/12/2030</t>
        </is>
      </c>
      <c r="M1670" s="45" t="inlineStr"/>
      <c r="N1670" s="50" t="inlineStr">
        <is>
          <t>NON</t>
        </is>
      </c>
      <c r="O1670" s="45" t="inlineStr"/>
    </row>
    <row r="1671" customFormat="1" s="3">
      <c r="A1671" s="45" t="n"/>
      <c r="B1671" s="46" t="inlineStr">
        <is>
          <t>24024</t>
        </is>
      </c>
      <c r="C1671" s="46">
        <f>LEFT(Tableau1[[#This Row],[Formacode]],3)</f>
        <v/>
      </c>
      <c r="D1671" s="47" t="n">
        <v>39192</v>
      </c>
      <c r="E1671" s="48">
        <f>"RNCP"&amp;D1671</f>
        <v/>
      </c>
      <c r="F1671" s="48" t="inlineStr">
        <is>
          <t>CS - Technicien ascensoriste (service et modernisation)</t>
        </is>
      </c>
      <c r="G1671" s="49">
        <f>E1671&amp;" - "&amp;F1671</f>
        <v/>
      </c>
      <c r="H1671" s="36" t="inlineStr">
        <is>
          <t>RAS</t>
        </is>
      </c>
      <c r="I1671" s="45" t="inlineStr"/>
      <c r="J1671" s="45" t="inlineStr">
        <is>
          <t>RNCP39192</t>
        </is>
      </c>
      <c r="K1671" s="45" t="inlineStr">
        <is>
          <t>CS - Technicien ascensoriste (service et modernisation)</t>
        </is>
      </c>
      <c r="L1671" s="45" t="inlineStr">
        <is>
          <t>31/12/2030</t>
        </is>
      </c>
      <c r="M1671" s="45" t="inlineStr"/>
      <c r="N1671" s="50" t="inlineStr">
        <is>
          <t>NON</t>
        </is>
      </c>
      <c r="O1671" s="45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BTS - Electrotechnique</t>
        </is>
      </c>
      <c r="L1672" s="45" t="inlineStr">
        <is>
          <t>31/12/2030</t>
        </is>
      </c>
      <c r="M1672" s="45" t="inlineStr"/>
      <c r="N1672" s="50" t="inlineStr">
        <is>
          <t>NON</t>
        </is>
      </c>
      <c r="O1672" s="45" t="inlineStr"/>
    </row>
    <row r="1673" customFormat="1" s="3">
      <c r="A1673" s="45" t="n"/>
      <c r="B1673" s="46" t="inlineStr">
        <is>
          <t>24027</t>
        </is>
      </c>
      <c r="C1673" s="46">
        <f>LEFT(Tableau1[[#This Row],[Formacode]],3)</f>
        <v/>
      </c>
      <c r="D1673" s="47" t="n">
        <v>35530</v>
      </c>
      <c r="E1673" s="48">
        <f>"RNCP"&amp;D1673</f>
        <v/>
      </c>
      <c r="F1673" s="48" t="inlineStr">
        <is>
          <t>TP - Technicien de bureau d'études en électricité des bâtiments</t>
        </is>
      </c>
      <c r="G1673" s="49">
        <f>E1673&amp;" - "&amp;F1673</f>
        <v/>
      </c>
      <c r="H1673" s="36" t="inlineStr">
        <is>
          <t>RAS</t>
        </is>
      </c>
      <c r="I1673" s="45" t="inlineStr"/>
      <c r="J1673" s="45" t="inlineStr">
        <is>
          <t>RNCP35530</t>
        </is>
      </c>
      <c r="K1673" s="45" t="inlineStr">
        <is>
          <t>TP - Technicien de bureau d'études en électricité des bâtiments</t>
        </is>
      </c>
      <c r="L1673" s="45" t="inlineStr">
        <is>
          <t>31/12/2030</t>
        </is>
      </c>
      <c r="M1673" s="45" t="inlineStr"/>
      <c r="N1673" s="50" t="inlineStr">
        <is>
          <t>NON</t>
        </is>
      </c>
      <c r="O1673" s="45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BAC PRO - Métiers de l'électricité et de ses environnements connectés</t>
        </is>
      </c>
      <c r="L1674" s="45" t="inlineStr">
        <is>
          <t>31/12/2030</t>
        </is>
      </c>
      <c r="M1674" s="45" t="inlineStr"/>
      <c r="N1674" s="50" t="inlineStr">
        <is>
          <t>NON</t>
        </is>
      </c>
      <c r="O1674" s="45" t="inlineStr"/>
    </row>
    <row r="1675" customFormat="1" s="3">
      <c r="A1675" s="45" t="n"/>
      <c r="B1675" s="46" t="inlineStr">
        <is>
          <t>24027</t>
        </is>
      </c>
      <c r="C1675" s="46">
        <f>LEFT(Tableau1[[#This Row],[Formacode]],3)</f>
        <v/>
      </c>
      <c r="D1675" s="47" t="n">
        <v>39192</v>
      </c>
      <c r="E1675" s="48">
        <f>"RNCP"&amp;D1675</f>
        <v/>
      </c>
      <c r="F1675" s="48" t="inlineStr">
        <is>
          <t>CS - Technicien ascensoriste (service et modernisation)</t>
        </is>
      </c>
      <c r="G1675" s="49">
        <f>E1675&amp;" - "&amp;F1675</f>
        <v/>
      </c>
      <c r="H1675" s="36" t="inlineStr">
        <is>
          <t>RAS</t>
        </is>
      </c>
      <c r="I1675" s="45" t="inlineStr"/>
      <c r="J1675" s="45" t="inlineStr">
        <is>
          <t>RNCP39192</t>
        </is>
      </c>
      <c r="K1675" s="45" t="inlineStr">
        <is>
          <t>CS - Technicien ascensoriste (service et modernisation)</t>
        </is>
      </c>
      <c r="L1675" s="45" t="inlineStr">
        <is>
          <t>31/12/2030</t>
        </is>
      </c>
      <c r="M1675" s="45" t="inlineStr"/>
      <c r="N1675" s="50" t="inlineStr">
        <is>
          <t>NON</t>
        </is>
      </c>
      <c r="O1675" s="45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BTS - Electrotechnique</t>
        </is>
      </c>
      <c r="L1676" s="45" t="inlineStr">
        <is>
          <t>31/12/2030</t>
        </is>
      </c>
      <c r="M1676" s="45" t="inlineStr"/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TP - Electromécanicien de maintenance industrielle</t>
        </is>
      </c>
      <c r="L1677" s="45" t="inlineStr">
        <is>
          <t>31/12/2030</t>
        </is>
      </c>
      <c r="M1677" s="45" t="inlineStr"/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BAC PRO - Métiers de l'électricité et de ses environnements connectés</t>
        </is>
      </c>
      <c r="L1678" s="45" t="inlineStr">
        <is>
          <t>31/12/2030</t>
        </is>
      </c>
      <c r="M1678" s="45" t="inlineStr"/>
      <c r="N1678" s="50" t="inlineStr">
        <is>
          <t>NON</t>
        </is>
      </c>
      <c r="O1678" s="45" t="inlineStr"/>
    </row>
    <row r="1679" customFormat="1" s="3">
      <c r="A1679" s="45" t="n"/>
      <c r="B1679" s="46" t="inlineStr">
        <is>
          <t>24052</t>
        </is>
      </c>
      <c r="C1679" s="46">
        <f>LEFT(Tableau1[[#This Row],[Formacode]],3)</f>
        <v/>
      </c>
      <c r="D1679" s="47" t="n">
        <v>39192</v>
      </c>
      <c r="E1679" s="48">
        <f>"RNCP"&amp;D1679</f>
        <v/>
      </c>
      <c r="F1679" s="48" t="inlineStr">
        <is>
          <t>CS - Technicien ascensoriste (service et modernisation)</t>
        </is>
      </c>
      <c r="G1679" s="49">
        <f>E1679&amp;" - "&amp;F1679</f>
        <v/>
      </c>
      <c r="H1679" s="36" t="inlineStr">
        <is>
          <t>RAS</t>
        </is>
      </c>
      <c r="I1679" s="45" t="inlineStr"/>
      <c r="J1679" s="45" t="inlineStr">
        <is>
          <t>RNCP39192</t>
        </is>
      </c>
      <c r="K1679" s="45" t="inlineStr">
        <is>
          <t>CS - Technicien ascensoriste (service et modernisation)</t>
        </is>
      </c>
      <c r="L1679" s="45" t="inlineStr">
        <is>
          <t>31/12/2030</t>
        </is>
      </c>
      <c r="M1679" s="45" t="inlineStr"/>
      <c r="N1679" s="50" t="inlineStr">
        <is>
          <t>NON</t>
        </is>
      </c>
      <c r="O1679" s="45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31/12/2030</t>
        </is>
      </c>
      <c r="M1680" s="45" t="inlineStr"/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31/12/2030</t>
        </is>
      </c>
      <c r="M1681" s="45" t="inlineStr"/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31/12/2030</t>
        </is>
      </c>
      <c r="M1682" s="45" t="inlineStr"/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31/12/2030</t>
        </is>
      </c>
      <c r="M1683" s="45" t="inlineStr"/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BTS - Electrotechnique</t>
        </is>
      </c>
      <c r="L1684" s="45" t="inlineStr">
        <is>
          <t>31/12/2030</t>
        </is>
      </c>
      <c r="M1684" s="45" t="inlineStr"/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31/12/2030</t>
        </is>
      </c>
      <c r="M1685" s="45" t="inlineStr"/>
      <c r="N1685" s="50" t="inlineStr">
        <is>
          <t>NON</t>
        </is>
      </c>
      <c r="O1685" s="45" t="inlineStr"/>
    </row>
    <row r="1686" customFormat="1" s="3">
      <c r="A1686" s="45" t="n"/>
      <c r="B1686" s="46" t="inlineStr">
        <is>
          <t>24066</t>
        </is>
      </c>
      <c r="C1686" s="46">
        <f>LEFT(Tableau1[[#This Row],[Formacode]],3)</f>
        <v/>
      </c>
      <c r="D1686" s="47" t="n">
        <v>35330</v>
      </c>
      <c r="E1686" s="48">
        <f>"RNCP"&amp;D1686</f>
        <v/>
      </c>
      <c r="F1686" s="48" t="inlineStr">
        <is>
          <t>TP - Technicien du bâtiment communicant et connecté</t>
        </is>
      </c>
      <c r="G1686" s="49">
        <f>E1686&amp;" - "&amp;F1686</f>
        <v/>
      </c>
      <c r="H1686" s="36" t="inlineStr">
        <is>
          <t>RAS</t>
        </is>
      </c>
      <c r="I1686" s="45" t="inlineStr"/>
      <c r="J1686" s="45" t="inlineStr">
        <is>
          <t>RNCP35330</t>
        </is>
      </c>
      <c r="K1686" s="45" t="inlineStr">
        <is>
          <t>TP - Technicien du bâtiment communicant et connecté</t>
        </is>
      </c>
      <c r="L1686" s="45" t="inlineStr">
        <is>
          <t>31/12/2030</t>
        </is>
      </c>
      <c r="M1686" s="45" t="inlineStr"/>
      <c r="N1686" s="50" t="inlineStr">
        <is>
          <t>NON</t>
        </is>
      </c>
      <c r="O1686" s="45" t="inlineStr"/>
    </row>
    <row r="1687" customFormat="1" s="3">
      <c r="A1687" s="45" t="n"/>
      <c r="B1687" s="46" t="inlineStr">
        <is>
          <t>24066</t>
        </is>
      </c>
      <c r="C1687" s="46">
        <f>LEFT(Tableau1[[#This Row],[Formacode]],3)</f>
        <v/>
      </c>
      <c r="D1687" s="47" t="n">
        <v>35530</v>
      </c>
      <c r="E1687" s="48">
        <f>"RNCP"&amp;D1687</f>
        <v/>
      </c>
      <c r="F1687" s="48" t="inlineStr">
        <is>
          <t>TP - Technicien de bureau d'études en électricité des bâtiments</t>
        </is>
      </c>
      <c r="G1687" s="49">
        <f>E1687&amp;" - "&amp;F1687</f>
        <v/>
      </c>
      <c r="H1687" s="36" t="inlineStr">
        <is>
          <t>RAS</t>
        </is>
      </c>
      <c r="I1687" s="45" t="inlineStr"/>
      <c r="J1687" s="45" t="inlineStr">
        <is>
          <t>RNCP35530</t>
        </is>
      </c>
      <c r="K1687" s="45" t="inlineStr">
        <is>
          <t>TP - Technicien de bureau d'études en électricité des bâtiments</t>
        </is>
      </c>
      <c r="L1687" s="45" t="inlineStr">
        <is>
          <t>31/12/2030</t>
        </is>
      </c>
      <c r="M1687" s="45" t="inlineStr"/>
      <c r="N1687" s="50" t="inlineStr">
        <is>
          <t>NON</t>
        </is>
      </c>
      <c r="O1687" s="45" t="inlineStr"/>
    </row>
    <row r="1688" customFormat="1" s="3">
      <c r="A1688" s="45" t="n"/>
      <c r="B1688" s="46" t="inlineStr">
        <is>
          <t>24066</t>
        </is>
      </c>
      <c r="C1688" s="46">
        <f>LEFT(Tableau1[[#This Row],[Formacode]],3)</f>
        <v/>
      </c>
      <c r="D1688" s="47" t="n">
        <v>35825</v>
      </c>
      <c r="E1688" s="48">
        <f>"RNCP"&amp;D1688</f>
        <v/>
      </c>
      <c r="F1688" s="48" t="inlineStr">
        <is>
          <t>TP - Chargé de travaux en réseaux électriques aériens et souterrains</t>
        </is>
      </c>
      <c r="G1688" s="49">
        <f>E1688&amp;" - "&amp;F1688</f>
        <v/>
      </c>
      <c r="H1688" s="36" t="inlineStr">
        <is>
          <t>RAS</t>
        </is>
      </c>
      <c r="I1688" s="45" t="inlineStr"/>
      <c r="J1688" s="45" t="inlineStr">
        <is>
          <t>RNCP35825</t>
        </is>
      </c>
      <c r="K1688" s="45" t="inlineStr">
        <is>
          <t>TP - Chargé de travaux en réseaux électriques aériens et souterrains</t>
        </is>
      </c>
      <c r="L1688" s="45" t="inlineStr">
        <is>
          <t>31/12/2030</t>
        </is>
      </c>
      <c r="M1688" s="45" t="inlineStr"/>
      <c r="N1688" s="50" t="inlineStr">
        <is>
          <t>NON</t>
        </is>
      </c>
      <c r="O1688" s="45" t="inlineStr"/>
    </row>
    <row r="1689" customFormat="1" s="3">
      <c r="A1689" s="45" t="n"/>
      <c r="B1689" s="46" t="inlineStr">
        <is>
          <t>24066</t>
        </is>
      </c>
      <c r="C1689" s="46">
        <f>LEFT(Tableau1[[#This Row],[Formacode]],3)</f>
        <v/>
      </c>
      <c r="D1689" s="47" t="n">
        <v>35828</v>
      </c>
      <c r="E1689" s="48">
        <f>"RNCP"&amp;D1689</f>
        <v/>
      </c>
      <c r="F1689" s="48" t="inlineStr">
        <is>
          <t>TP - Monteur de réseaux électriques aéro-souterrains</t>
        </is>
      </c>
      <c r="G1689" s="49">
        <f>E1689&amp;" - "&amp;F1689</f>
        <v/>
      </c>
      <c r="H1689" s="36" t="inlineStr">
        <is>
          <t>RAS</t>
        </is>
      </c>
      <c r="I1689" s="45" t="inlineStr"/>
      <c r="J1689" s="45" t="inlineStr">
        <is>
          <t>RNCP35828</t>
        </is>
      </c>
      <c r="K1689" s="45" t="inlineStr">
        <is>
          <t>TP - Monteur de réseaux électriques aéro-souterrains</t>
        </is>
      </c>
      <c r="L1689" s="45" t="inlineStr">
        <is>
          <t>31/12/2030</t>
        </is>
      </c>
      <c r="M1689" s="45" t="inlineStr"/>
      <c r="N1689" s="50" t="inlineStr">
        <is>
          <t>NON</t>
        </is>
      </c>
      <c r="O1689" s="45" t="inlineStr"/>
    </row>
    <row r="1690" customFormat="1" s="3">
      <c r="A1690" s="45" t="n"/>
      <c r="B1690" s="46" t="inlineStr">
        <is>
          <t>24066</t>
        </is>
      </c>
      <c r="C1690" s="46">
        <f>LEFT(Tableau1[[#This Row],[Formacode]],3)</f>
        <v/>
      </c>
      <c r="D1690" s="47" t="n">
        <v>36171</v>
      </c>
      <c r="E1690" s="48">
        <f>"RNCP"&amp;D1690</f>
        <v/>
      </c>
      <c r="F1690" s="48" t="inlineStr">
        <is>
          <t>TP - Agent d'assemblage et de maintenance de batteries d'accumulateurs</t>
        </is>
      </c>
      <c r="G1690" s="49">
        <f>E1690&amp;" - "&amp;F1690</f>
        <v/>
      </c>
      <c r="H1690" s="36" t="inlineStr">
        <is>
          <t>RAS</t>
        </is>
      </c>
      <c r="I1690" s="45" t="inlineStr"/>
      <c r="J1690" s="45" t="inlineStr">
        <is>
          <t>RNCP36171</t>
        </is>
      </c>
      <c r="K1690" s="45" t="inlineStr">
        <is>
          <t>TP - Agent d'assemblage et de maintenance de batteries d'accumulateurs</t>
        </is>
      </c>
      <c r="L1690" s="45" t="inlineStr">
        <is>
          <t>31/12/2030</t>
        </is>
      </c>
      <c r="M1690" s="45" t="inlineStr"/>
      <c r="N1690" s="50" t="inlineStr">
        <is>
          <t>NON</t>
        </is>
      </c>
      <c r="O1690" s="45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CS - Technicien en réseaux électriques</t>
        </is>
      </c>
      <c r="L1691" s="45" t="inlineStr">
        <is>
          <t>31/12/2030</t>
        </is>
      </c>
      <c r="M1691" s="45" t="inlineStr"/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TP - Electromécanicien de maintenance industrielle</t>
        </is>
      </c>
      <c r="L1692" s="45" t="inlineStr">
        <is>
          <t>31/12/2030</t>
        </is>
      </c>
      <c r="M1692" s="45" t="inlineStr"/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TP - Electricien d'équipement du bâtiment</t>
        </is>
      </c>
      <c r="L1693" s="45" t="inlineStr">
        <is>
          <t>31/12/2030</t>
        </is>
      </c>
      <c r="M1693" s="45" t="inlineStr"/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TP - Technicien d'équipement et d'exploitation en électricité</t>
        </is>
      </c>
      <c r="L1694" s="45" t="inlineStr">
        <is>
          <t>31/12/2030</t>
        </is>
      </c>
      <c r="M1694" s="45" t="inlineStr"/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31/12/2030</t>
        </is>
      </c>
      <c r="M1695" s="45" t="inlineStr"/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31/12/2030</t>
        </is>
      </c>
      <c r="M1696" s="45" t="inlineStr"/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CAP - Electricien</t>
        </is>
      </c>
      <c r="L1697" s="45" t="inlineStr">
        <is>
          <t>31/12/2030</t>
        </is>
      </c>
      <c r="M1697" s="45" t="inlineStr"/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BAC PRO - Métiers de l'électricité et de ses environnements connectés</t>
        </is>
      </c>
      <c r="L1698" s="45" t="inlineStr">
        <is>
          <t>31/12/2030</t>
        </is>
      </c>
      <c r="M1698" s="45" t="inlineStr"/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BP - Electricien</t>
        </is>
      </c>
      <c r="L1699" s="45" t="inlineStr">
        <is>
          <t>31/12/2030</t>
        </is>
      </c>
      <c r="M1699" s="45" t="inlineStr"/>
      <c r="N1699" s="50" t="inlineStr">
        <is>
          <t>NON</t>
        </is>
      </c>
      <c r="O1699" s="45" t="inlineStr"/>
    </row>
    <row r="1700" customFormat="1" s="3">
      <c r="A1700" s="45" t="n"/>
      <c r="B1700" s="46" t="inlineStr">
        <is>
          <t>24066</t>
        </is>
      </c>
      <c r="C1700" s="46">
        <f>LEFT(Tableau1[[#This Row],[Formacode]],3)</f>
        <v/>
      </c>
      <c r="D1700" s="47" t="n">
        <v>39192</v>
      </c>
      <c r="E1700" s="48">
        <f>"RNCP"&amp;D1700</f>
        <v/>
      </c>
      <c r="F1700" s="48" t="inlineStr">
        <is>
          <t>CS - Technicien ascensoriste (service et modernisation)</t>
        </is>
      </c>
      <c r="G1700" s="49">
        <f>E1700&amp;" - "&amp;F1700</f>
        <v/>
      </c>
      <c r="H1700" s="36" t="inlineStr">
        <is>
          <t>RAS</t>
        </is>
      </c>
      <c r="I1700" s="45" t="inlineStr"/>
      <c r="J1700" s="45" t="inlineStr">
        <is>
          <t>RNCP39192</t>
        </is>
      </c>
      <c r="K1700" s="45" t="inlineStr">
        <is>
          <t>CS - Technicien ascensoriste (service et modernisation)</t>
        </is>
      </c>
      <c r="L1700" s="45" t="inlineStr">
        <is>
          <t>31/12/2030</t>
        </is>
      </c>
      <c r="M1700" s="45" t="inlineStr"/>
      <c r="N1700" s="50" t="inlineStr">
        <is>
          <t>NON</t>
        </is>
      </c>
      <c r="O1700" s="45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31/12/2030</t>
        </is>
      </c>
      <c r="M1701" s="45" t="inlineStr"/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31/12/2030</t>
        </is>
      </c>
      <c r="M1702" s="45" t="inlineStr"/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BTS - Electrotechnique</t>
        </is>
      </c>
      <c r="L1703" s="45" t="inlineStr">
        <is>
          <t>31/12/2030</t>
        </is>
      </c>
      <c r="M1703" s="45" t="inlineStr"/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TP - Technicien en systèmes de sûreté</t>
        </is>
      </c>
      <c r="L1704" s="45" t="inlineStr">
        <is>
          <t>31/12/2030</t>
        </is>
      </c>
      <c r="M1704" s="45" t="inlineStr"/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BAC PRO - Métiers de l'électricité et de ses environnements connectés</t>
        </is>
      </c>
      <c r="L1705" s="45" t="inlineStr">
        <is>
          <t>31/12/2030</t>
        </is>
      </c>
      <c r="M1705" s="45" t="inlineStr"/>
      <c r="N1705" s="50" t="inlineStr">
        <is>
          <t>NON</t>
        </is>
      </c>
      <c r="O1705" s="45" t="inlineStr"/>
    </row>
    <row r="1706" customFormat="1" s="3">
      <c r="A1706" s="45" t="n"/>
      <c r="B1706" s="46" t="inlineStr">
        <is>
          <t>24072</t>
        </is>
      </c>
      <c r="C1706" s="46">
        <f>LEFT(Tableau1[[#This Row],[Formacode]],3)</f>
        <v/>
      </c>
      <c r="D1706" s="47" t="n">
        <v>39192</v>
      </c>
      <c r="E1706" s="48">
        <f>"RNCP"&amp;D1706</f>
        <v/>
      </c>
      <c r="F1706" s="48" t="inlineStr">
        <is>
          <t>CS - Technicien ascensoriste (service et modernisation)</t>
        </is>
      </c>
      <c r="G1706" s="49">
        <f>E1706&amp;" - "&amp;F1706</f>
        <v/>
      </c>
      <c r="H1706" s="36" t="inlineStr">
        <is>
          <t>RAS</t>
        </is>
      </c>
      <c r="I1706" s="45" t="inlineStr"/>
      <c r="J1706" s="45" t="inlineStr">
        <is>
          <t>RNCP39192</t>
        </is>
      </c>
      <c r="K1706" s="45" t="inlineStr">
        <is>
          <t>CS - Technicien ascensoriste (service et modernisation)</t>
        </is>
      </c>
      <c r="L1706" s="45" t="inlineStr">
        <is>
          <t>31/12/2030</t>
        </is>
      </c>
      <c r="M1706" s="45" t="inlineStr"/>
      <c r="N1706" s="50" t="inlineStr">
        <is>
          <t>NON</t>
        </is>
      </c>
      <c r="O1706" s="45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BTS - Electrotechnique</t>
        </is>
      </c>
      <c r="L1707" s="45" t="inlineStr">
        <is>
          <t>31/12/2030</t>
        </is>
      </c>
      <c r="M1707" s="45" t="inlineStr"/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31/12/2030</t>
        </is>
      </c>
      <c r="M1708" s="45" t="inlineStr"/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31/12/2030</t>
        </is>
      </c>
      <c r="M1709" s="45" t="inlineStr"/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BAC PRO - Techniques d'interventions sur installations nucléaires</t>
        </is>
      </c>
      <c r="L1710" s="45" t="inlineStr">
        <is>
          <t>31/12/2030</t>
        </is>
      </c>
      <c r="M1710" s="45" t="inlineStr"/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31/12/2030</t>
        </is>
      </c>
      <c r="M1711" s="45" t="inlineStr"/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31/12/2030</t>
        </is>
      </c>
      <c r="M1712" s="45" t="inlineStr"/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31/12/2030</t>
        </is>
      </c>
      <c r="M1713" s="45" t="inlineStr"/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31/12/2030</t>
        </is>
      </c>
      <c r="M1714" s="45" t="inlineStr"/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31/12/2030</t>
        </is>
      </c>
      <c r="M1715" s="45" t="inlineStr"/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BTS - Environnement nucléaire</t>
        </is>
      </c>
      <c r="L1716" s="45" t="inlineStr">
        <is>
          <t>31/12/2030</t>
        </is>
      </c>
      <c r="M1716" s="45" t="inlineStr"/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31/12/2030</t>
        </is>
      </c>
      <c r="M1717" s="45" t="inlineStr"/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31/12/2030</t>
        </is>
      </c>
      <c r="M1718" s="45" t="inlineStr"/>
      <c r="N1718" s="50" t="inlineStr">
        <is>
          <t>NON</t>
        </is>
      </c>
      <c r="O1718" s="45" t="inlineStr"/>
    </row>
    <row r="1719" customFormat="1" s="3">
      <c r="A1719" s="45" t="n"/>
      <c r="B1719" s="46" t="inlineStr">
        <is>
          <t>24147</t>
        </is>
      </c>
      <c r="C1719" s="46">
        <f>LEFT(Tableau1[[#This Row],[Formacode]],3)</f>
        <v/>
      </c>
      <c r="D1719" s="47" t="n">
        <v>35231</v>
      </c>
      <c r="E1719" s="48">
        <f>"RNCP"&amp;D1719</f>
        <v/>
      </c>
      <c r="F1719" s="48" t="inlineStr">
        <is>
          <t>TP - Technicien d'installation en équipements de confort climatique</t>
        </is>
      </c>
      <c r="G1719" s="49">
        <f>E1719&amp;" - "&amp;F1719</f>
        <v/>
      </c>
      <c r="H1719" s="36" t="inlineStr">
        <is>
          <t>RAS</t>
        </is>
      </c>
      <c r="I1719" s="45" t="inlineStr"/>
      <c r="J1719" s="45" t="inlineStr">
        <is>
          <t>RNCP35231</t>
        </is>
      </c>
      <c r="K1719" s="45" t="inlineStr">
        <is>
          <t>TP - Technicien d'installation en équipements de confort climatique</t>
        </is>
      </c>
      <c r="L1719" s="45" t="inlineStr">
        <is>
          <t>31/12/2030</t>
        </is>
      </c>
      <c r="M1719" s="45" t="inlineStr"/>
      <c r="N1719" s="50" t="inlineStr">
        <is>
          <t>NON</t>
        </is>
      </c>
      <c r="O1719" s="45" t="inlineStr"/>
    </row>
    <row r="1720" customFormat="1" s="3">
      <c r="A1720" s="45" t="n"/>
      <c r="B1720" s="46" t="inlineStr">
        <is>
          <t>24147</t>
        </is>
      </c>
      <c r="C1720" s="46">
        <f>LEFT(Tableau1[[#This Row],[Formacode]],3)</f>
        <v/>
      </c>
      <c r="D1720" s="47" t="n">
        <v>35846</v>
      </c>
      <c r="E1720" s="48">
        <f>"RNCP"&amp;D1720</f>
        <v/>
      </c>
      <c r="F1720" s="48" t="inlineStr">
        <is>
          <t>BAC PRO - Métiers du Froid et des Energies Renouvelables</t>
        </is>
      </c>
      <c r="G1720" s="49">
        <f>E1720&amp;" - "&amp;F1720</f>
        <v/>
      </c>
      <c r="H1720" s="36" t="inlineStr">
        <is>
          <t>RAS</t>
        </is>
      </c>
      <c r="I1720" s="45" t="inlineStr"/>
      <c r="J1720" s="45" t="inlineStr">
        <is>
          <t>RNCP35846</t>
        </is>
      </c>
      <c r="K1720" s="45" t="inlineStr">
        <is>
          <t>BAC PRO - Métiers du Froid et des Energies Renouvelables</t>
        </is>
      </c>
      <c r="L1720" s="45" t="inlineStr">
        <is>
          <t>31/12/2030</t>
        </is>
      </c>
      <c r="M1720" s="45" t="inlineStr"/>
      <c r="N1720" s="50" t="inlineStr">
        <is>
          <t>NON</t>
        </is>
      </c>
      <c r="O1720" s="45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31/12/2030</t>
        </is>
      </c>
      <c r="M1721" s="45" t="inlineStr"/>
      <c r="N1721" s="50" t="inlineStr">
        <is>
          <t>NON</t>
        </is>
      </c>
      <c r="O1721" s="45" t="inlineStr"/>
    </row>
    <row r="1722" customFormat="1" s="3">
      <c r="A1722" s="45" t="n"/>
      <c r="B1722" s="46" t="inlineStr">
        <is>
          <t>24147</t>
        </is>
      </c>
      <c r="C1722" s="46">
        <f>LEFT(Tableau1[[#This Row],[Formacode]],3)</f>
        <v/>
      </c>
      <c r="D1722" s="47" t="n">
        <v>37986</v>
      </c>
      <c r="E1722" s="48">
        <f>"RNCP"&amp;D1722</f>
        <v/>
      </c>
      <c r="F1722" s="48" t="inlineStr">
        <is>
          <t>Expert de la transition énergétique</t>
        </is>
      </c>
      <c r="G1722" s="49">
        <f>E1722&amp;" - "&amp;F1722</f>
        <v/>
      </c>
      <c r="H1722" s="36" t="inlineStr">
        <is>
          <t>RAS</t>
        </is>
      </c>
      <c r="I1722" s="45" t="inlineStr"/>
      <c r="J1722" s="45" t="inlineStr">
        <is>
          <t>RNCP37986</t>
        </is>
      </c>
      <c r="K1722" s="45" t="inlineStr">
        <is>
          <t>Expert de la transition énergétique</t>
        </is>
      </c>
      <c r="L1722" s="45" t="inlineStr">
        <is>
          <t>31/12/2030</t>
        </is>
      </c>
      <c r="M1722" s="45" t="inlineStr"/>
      <c r="N1722" s="50" t="inlineStr">
        <is>
          <t>NON</t>
        </is>
      </c>
      <c r="O1722" s="45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CS - Responsable d'une unité de méthanisation agricole</t>
        </is>
      </c>
      <c r="L1723" s="45" t="inlineStr">
        <is>
          <t>31/12/2030</t>
        </is>
      </c>
      <c r="M1723" s="45" t="inlineStr"/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31/12/2030</t>
        </is>
      </c>
      <c r="M1724" s="45" t="inlineStr"/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CS - Technicien en énergies renouvelables</t>
        </is>
      </c>
      <c r="L1725" s="45" t="inlineStr">
        <is>
          <t>31/12/2030</t>
        </is>
      </c>
      <c r="M1725" s="45" t="inlineStr"/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31/12/2030</t>
        </is>
      </c>
      <c r="M1726" s="45" t="inlineStr"/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31/12/2030</t>
        </is>
      </c>
      <c r="M1727" s="45" t="inlineStr"/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31/12/2030</t>
        </is>
      </c>
      <c r="M1728" s="45" t="inlineStr"/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31/12/2030</t>
        </is>
      </c>
      <c r="M1729" s="45" t="inlineStr"/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31/12/2030</t>
        </is>
      </c>
      <c r="M1730" s="45" t="inlineStr"/>
      <c r="N1730" s="50" t="inlineStr">
        <is>
          <t>NON</t>
        </is>
      </c>
      <c r="O1730" s="45" t="inlineStr"/>
    </row>
    <row r="1731" customFormat="1" s="3">
      <c r="A1731" s="45" t="n"/>
      <c r="B1731" s="46" t="inlineStr">
        <is>
          <t>24158</t>
        </is>
      </c>
      <c r="C1731" s="46">
        <f>LEFT(Tableau1[[#This Row],[Formacode]],3)</f>
        <v/>
      </c>
      <c r="D1731" s="47" t="n">
        <v>35825</v>
      </c>
      <c r="E1731" s="48">
        <f>"RNCP"&amp;D1731</f>
        <v/>
      </c>
      <c r="F1731" s="48" t="inlineStr">
        <is>
          <t>TP - Chargé de travaux en réseaux électriques aériens et souterrains</t>
        </is>
      </c>
      <c r="G1731" s="49">
        <f>E1731&amp;" - "&amp;F1731</f>
        <v/>
      </c>
      <c r="H1731" s="36" t="inlineStr">
        <is>
          <t>RAS</t>
        </is>
      </c>
      <c r="I1731" s="45" t="inlineStr"/>
      <c r="J1731" s="45" t="inlineStr">
        <is>
          <t>RNCP35825</t>
        </is>
      </c>
      <c r="K1731" s="45" t="inlineStr">
        <is>
          <t>TP - Chargé de travaux en réseaux électriques aériens et souterrains</t>
        </is>
      </c>
      <c r="L1731" s="45" t="inlineStr">
        <is>
          <t>31/12/2030</t>
        </is>
      </c>
      <c r="M1731" s="45" t="inlineStr"/>
      <c r="N1731" s="50" t="inlineStr">
        <is>
          <t>NON</t>
        </is>
      </c>
      <c r="O1731" s="45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31/12/2030</t>
        </is>
      </c>
      <c r="M1732" s="45" t="inlineStr"/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31/12/2030</t>
        </is>
      </c>
      <c r="M1733" s="45" t="inlineStr"/>
      <c r="N1733" s="50" t="inlineStr">
        <is>
          <t>NON</t>
        </is>
      </c>
      <c r="O1733" s="45" t="inlineStr"/>
    </row>
    <row r="1734" customFormat="1" s="3">
      <c r="A1734" s="45" t="n"/>
      <c r="B1734" s="46" t="inlineStr">
        <is>
          <t>24162</t>
        </is>
      </c>
      <c r="C1734" s="46">
        <f>LEFT(Tableau1[[#This Row],[Formacode]],3)</f>
        <v/>
      </c>
      <c r="D1734" s="47" t="n">
        <v>35844</v>
      </c>
      <c r="E1734" s="48">
        <f>"RNCP"&amp;D1734</f>
        <v/>
      </c>
      <c r="F1734" s="48" t="inlineStr">
        <is>
          <t>BAC PRO - Maintenance et Efficacité Energétique</t>
        </is>
      </c>
      <c r="G1734" s="49">
        <f>E1734&amp;" - "&amp;F1734</f>
        <v/>
      </c>
      <c r="H1734" s="36" t="inlineStr">
        <is>
          <t>RAS</t>
        </is>
      </c>
      <c r="I1734" s="45" t="inlineStr"/>
      <c r="J1734" s="45" t="inlineStr">
        <is>
          <t>RNCP35844</t>
        </is>
      </c>
      <c r="K1734" s="45" t="inlineStr">
        <is>
          <t>BAC PRO - Maintenance et Efficacité Energétique</t>
        </is>
      </c>
      <c r="L1734" s="45" t="inlineStr">
        <is>
          <t>31/12/2030</t>
        </is>
      </c>
      <c r="M1734" s="45" t="inlineStr"/>
      <c r="N1734" s="50" t="inlineStr">
        <is>
          <t>NON</t>
        </is>
      </c>
      <c r="O1734" s="45" t="inlineStr"/>
    </row>
    <row r="1735" customFormat="1" s="3">
      <c r="A1735" s="45" t="n"/>
      <c r="B1735" s="46" t="inlineStr">
        <is>
          <t>24162</t>
        </is>
      </c>
      <c r="C1735" s="46">
        <f>LEFT(Tableau1[[#This Row],[Formacode]],3)</f>
        <v/>
      </c>
      <c r="D1735" s="47" t="n">
        <v>36334</v>
      </c>
      <c r="E1735" s="48">
        <f>"RNCP"&amp;D1735</f>
        <v/>
      </c>
      <c r="F1735" s="48" t="inlineStr">
        <is>
          <t>CS - Technicien des services à l'énergie</t>
        </is>
      </c>
      <c r="G1735" s="49">
        <f>E1735&amp;" - "&amp;F1735</f>
        <v/>
      </c>
      <c r="H1735" s="36" t="inlineStr">
        <is>
          <t>RAS</t>
        </is>
      </c>
      <c r="I1735" s="45" t="inlineStr"/>
      <c r="J1735" s="45" t="inlineStr">
        <is>
          <t>RNCP36334</t>
        </is>
      </c>
      <c r="K1735" s="45" t="inlineStr">
        <is>
          <t>CS - Technicien des services à l'énergie</t>
        </is>
      </c>
      <c r="L1735" s="45" t="inlineStr">
        <is>
          <t>31/12/2030</t>
        </is>
      </c>
      <c r="M1735" s="45" t="inlineStr"/>
      <c r="N1735" s="50" t="inlineStr">
        <is>
          <t>NON</t>
        </is>
      </c>
      <c r="O1735" s="45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TP - Technicien de maintenance CVC</t>
        </is>
      </c>
      <c r="L1736" s="45" t="inlineStr">
        <is>
          <t>31/12/2030</t>
        </is>
      </c>
      <c r="M1736" s="45" t="inlineStr"/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31/12/2030</t>
        </is>
      </c>
      <c r="M1737" s="45" t="inlineStr"/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31/12/2030</t>
        </is>
      </c>
      <c r="M1738" s="45" t="inlineStr"/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31/12/2030</t>
        </is>
      </c>
      <c r="M1739" s="45" t="inlineStr"/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31/12/2030</t>
        </is>
      </c>
      <c r="M1740" s="45" t="inlineStr"/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31/12/2030</t>
        </is>
      </c>
      <c r="M1741" s="45" t="inlineStr"/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31/12/2030</t>
        </is>
      </c>
      <c r="M1742" s="45" t="inlineStr"/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31/12/2030</t>
        </is>
      </c>
      <c r="M1743" s="45" t="inlineStr"/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31/12/2030</t>
        </is>
      </c>
      <c r="M1744" s="45" t="inlineStr"/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31/12/2030</t>
        </is>
      </c>
      <c r="M1745" s="45" t="inlineStr"/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BAC PRO - Technicien en transport et distribution des gaz</t>
        </is>
      </c>
      <c r="L1746" s="45" t="inlineStr">
        <is>
          <t>31/12/2030</t>
        </is>
      </c>
      <c r="M1746" s="45" t="inlineStr"/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TP - Installateur de réseaux de télécommunications en fibre optique</t>
        </is>
      </c>
      <c r="L1747" s="45" t="inlineStr">
        <is>
          <t>31/12/2030</t>
        </is>
      </c>
      <c r="M1747" s="45" t="inlineStr"/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TP - Technicien d'intervention de réseaux de télécommunications en fibre optique</t>
        </is>
      </c>
      <c r="L1748" s="45" t="inlineStr">
        <is>
          <t>31/12/2030</t>
        </is>
      </c>
      <c r="M1748" s="45" t="inlineStr"/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BAC PRO - Optique Photonique : Technologies de la Lumière</t>
        </is>
      </c>
      <c r="L1749" s="45" t="inlineStr">
        <is>
          <t>31/12/2030</t>
        </is>
      </c>
      <c r="M1749" s="45" t="inlineStr"/>
      <c r="N1749" s="50" t="inlineStr">
        <is>
          <t>NON</t>
        </is>
      </c>
      <c r="O1749" s="45" t="inlineStr"/>
    </row>
    <row r="1750" customFormat="1" s="3">
      <c r="A1750" s="45" t="n"/>
      <c r="B1750" s="46" t="inlineStr">
        <is>
          <t>24246</t>
        </is>
      </c>
      <c r="C1750" s="46">
        <f>LEFT(Tableau1[[#This Row],[Formacode]],3)</f>
        <v/>
      </c>
      <c r="D1750" s="47" t="n">
        <v>37572</v>
      </c>
      <c r="E1750" s="48">
        <f>"RNCP"&amp;D1750</f>
        <v/>
      </c>
      <c r="F1750" s="48" t="inlineStr">
        <is>
          <t>Grade_Licence - Sciences et Ingénierie - Transformation Numérique des Entreprises</t>
        </is>
      </c>
      <c r="G1750" s="49">
        <f>E1750&amp;" - "&amp;F1750</f>
        <v/>
      </c>
      <c r="H1750" s="36" t="inlineStr">
        <is>
          <t>RAS</t>
        </is>
      </c>
      <c r="I1750" s="45" t="inlineStr"/>
      <c r="J1750" s="45" t="inlineStr">
        <is>
          <t>RNCP37572</t>
        </is>
      </c>
      <c r="K1750" s="45" t="inlineStr">
        <is>
          <t>Grade_Licence - Sciences et Ingénierie - Transformation Numérique des Entreprises</t>
        </is>
      </c>
      <c r="L1750" s="45" t="inlineStr">
        <is>
          <t>31/12/2030</t>
        </is>
      </c>
      <c r="M1750" s="45" t="inlineStr"/>
      <c r="N1750" s="50" t="inlineStr">
        <is>
          <t>NON</t>
        </is>
      </c>
      <c r="O1750" s="45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BTS - Photonique : Technologies et Sciences de la Lumière</t>
        </is>
      </c>
      <c r="L1751" s="45" t="inlineStr">
        <is>
          <t>31/12/2030</t>
        </is>
      </c>
      <c r="M1751" s="45" t="inlineStr"/>
      <c r="N1751" s="50" t="inlineStr">
        <is>
          <t>NON</t>
        </is>
      </c>
      <c r="O1751" s="45" t="inlineStr"/>
    </row>
    <row r="1752" customFormat="1" s="3">
      <c r="A1752" s="45" t="n"/>
      <c r="B1752" s="46" t="inlineStr">
        <is>
          <t>24252</t>
        </is>
      </c>
      <c r="C1752" s="46">
        <f>LEFT(Tableau1[[#This Row],[Formacode]],3)</f>
        <v/>
      </c>
      <c r="D1752" s="47" t="n">
        <v>35295</v>
      </c>
      <c r="E1752" s="48">
        <f>"RNCP"&amp;D1752</f>
        <v/>
      </c>
      <c r="F1752" s="48" t="inlineStr">
        <is>
          <t>TP - Technicien réseaux IP</t>
        </is>
      </c>
      <c r="G1752" s="49">
        <f>E1752&amp;" - "&amp;F1752</f>
        <v/>
      </c>
      <c r="H1752" s="36" t="inlineStr">
        <is>
          <t>RAS</t>
        </is>
      </c>
      <c r="I1752" s="45" t="inlineStr"/>
      <c r="J1752" s="45" t="inlineStr">
        <is>
          <t>RNCP35295</t>
        </is>
      </c>
      <c r="K1752" s="45" t="inlineStr">
        <is>
          <t>TP - Technicien réseaux IP</t>
        </is>
      </c>
      <c r="L1752" s="45" t="inlineStr">
        <is>
          <t>31/12/2030</t>
        </is>
      </c>
      <c r="M1752" s="45" t="inlineStr"/>
      <c r="N1752" s="50" t="inlineStr">
        <is>
          <t>NON</t>
        </is>
      </c>
      <c r="O1752" s="45" t="inlineStr"/>
    </row>
    <row r="1753" customFormat="1" s="3">
      <c r="A1753" s="45" t="n"/>
      <c r="B1753" s="46" t="inlineStr">
        <is>
          <t>24252</t>
        </is>
      </c>
      <c r="C1753" s="46">
        <f>LEFT(Tableau1[[#This Row],[Formacode]],3)</f>
        <v/>
      </c>
      <c r="D1753" s="47" t="n">
        <v>36163</v>
      </c>
      <c r="E1753" s="48">
        <f>"RNCP"&amp;D1753</f>
        <v/>
      </c>
      <c r="F1753" s="48" t="inlineStr">
        <is>
          <t>TP - Administrateur réseau NetOps</t>
        </is>
      </c>
      <c r="G1753" s="49">
        <f>E1753&amp;" - "&amp;F1753</f>
        <v/>
      </c>
      <c r="H1753" s="36" t="inlineStr">
        <is>
          <t>RAS</t>
        </is>
      </c>
      <c r="I1753" s="45" t="inlineStr"/>
      <c r="J1753" s="45" t="inlineStr">
        <is>
          <t>RNCP36163</t>
        </is>
      </c>
      <c r="K1753" s="45" t="inlineStr">
        <is>
          <t>TP - Administrateur réseau NetOps</t>
        </is>
      </c>
      <c r="L1753" s="45" t="inlineStr">
        <is>
          <t>31/12/2030</t>
        </is>
      </c>
      <c r="M1753" s="45" t="inlineStr"/>
      <c r="N1753" s="50" t="inlineStr">
        <is>
          <t>NON</t>
        </is>
      </c>
      <c r="O1753" s="45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31/12/2030</t>
        </is>
      </c>
      <c r="M1754" s="45" t="inlineStr"/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TP - Opérateur en détection de réseaux</t>
        </is>
      </c>
      <c r="L1755" s="45" t="inlineStr">
        <is>
          <t>31/12/2030</t>
        </is>
      </c>
      <c r="M1755" s="45" t="inlineStr"/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BTS - Cybersécurité, Informatique et réseaux, Électronique  - Option A : « Informatique et réseaux », Option B : « Électronique et réseaux »</t>
        </is>
      </c>
      <c r="L1756" s="45" t="inlineStr">
        <is>
          <t>31/12/2030</t>
        </is>
      </c>
      <c r="M1756" s="45" t="inlineStr"/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TP - Installateur de réseaux de télécommunications en fibre optique</t>
        </is>
      </c>
      <c r="L1757" s="45" t="inlineStr">
        <is>
          <t>31/12/2030</t>
        </is>
      </c>
      <c r="M1757" s="45" t="inlineStr"/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BAC PRO - Cybersécurité, Informatique et réseaux, Electronique</t>
        </is>
      </c>
      <c r="L1758" s="45" t="inlineStr">
        <is>
          <t>31/12/2030</t>
        </is>
      </c>
      <c r="M1758" s="45" t="inlineStr"/>
      <c r="N1758" s="50" t="inlineStr">
        <is>
          <t>NON</t>
        </is>
      </c>
      <c r="O1758" s="45" t="inlineStr"/>
    </row>
    <row r="1759" customFormat="1" s="3">
      <c r="A1759" s="45" t="n"/>
      <c r="B1759" s="46" t="inlineStr">
        <is>
          <t>24252</t>
        </is>
      </c>
      <c r="C1759" s="46">
        <f>LEFT(Tableau1[[#This Row],[Formacode]],3)</f>
        <v/>
      </c>
      <c r="D1759" s="47" t="n">
        <v>37572</v>
      </c>
      <c r="E1759" s="48">
        <f>"RNCP"&amp;D1759</f>
        <v/>
      </c>
      <c r="F1759" s="48" t="inlineStr">
        <is>
          <t>Grade_Licence - Sciences et Ingénierie - Transformation Numérique des Entreprises</t>
        </is>
      </c>
      <c r="G1759" s="49">
        <f>E1759&amp;" - "&amp;F1759</f>
        <v/>
      </c>
      <c r="H1759" s="36" t="inlineStr">
        <is>
          <t>RAS</t>
        </is>
      </c>
      <c r="I1759" s="45" t="inlineStr"/>
      <c r="J1759" s="45" t="inlineStr">
        <is>
          <t>RNCP37572</t>
        </is>
      </c>
      <c r="K1759" s="45" t="inlineStr">
        <is>
          <t>Grade_Licence - Sciences et Ingénierie - Transformation Numérique des Entreprises</t>
        </is>
      </c>
      <c r="L1759" s="45" t="inlineStr">
        <is>
          <t>31/12/2030</t>
        </is>
      </c>
      <c r="M1759" s="45" t="inlineStr"/>
      <c r="N1759" s="50" t="inlineStr">
        <is>
          <t>NON</t>
        </is>
      </c>
      <c r="O1759" s="45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TP - Administrateur d'infrastructures sécurisées</t>
        </is>
      </c>
      <c r="L1760" s="45" t="inlineStr">
        <is>
          <t>31/12/2030</t>
        </is>
      </c>
      <c r="M1760" s="45" t="inlineStr"/>
      <c r="N1760" s="50" t="inlineStr">
        <is>
          <t>NON</t>
        </is>
      </c>
      <c r="O1760" s="45" t="inlineStr"/>
    </row>
    <row r="1761" customFormat="1" s="3">
      <c r="A1761" s="45" t="n"/>
      <c r="B1761" s="46" t="inlineStr">
        <is>
          <t>24252</t>
        </is>
      </c>
      <c r="C1761" s="46">
        <f>LEFT(Tableau1[[#This Row],[Formacode]],3)</f>
        <v/>
      </c>
      <c r="D1761" s="47" t="n">
        <v>37682</v>
      </c>
      <c r="E1761" s="48">
        <f>"RNCP"&amp;D1761</f>
        <v/>
      </c>
      <c r="F1761" s="48" t="inlineStr">
        <is>
          <t>TP - Technicien supérieur systèmes et réseaux</t>
        </is>
      </c>
      <c r="G1761" s="49">
        <f>E1761&amp;" - "&amp;F1761</f>
        <v/>
      </c>
      <c r="H1761" s="36" t="inlineStr">
        <is>
          <t>RAS</t>
        </is>
      </c>
      <c r="I1761" s="45" t="inlineStr"/>
      <c r="J1761" s="45" t="inlineStr">
        <is>
          <t>RNCP37682</t>
        </is>
      </c>
      <c r="K1761" s="45" t="inlineStr">
        <is>
          <t>TP - Technicien supérieur systèmes et réseaux</t>
        </is>
      </c>
      <c r="L1761" s="45" t="inlineStr">
        <is>
          <t>31/12/2030</t>
        </is>
      </c>
      <c r="M1761" s="45" t="inlineStr"/>
      <c r="N1761" s="50" t="inlineStr">
        <is>
          <t>NON</t>
        </is>
      </c>
      <c r="O1761" s="45" t="inlineStr"/>
    </row>
    <row r="1762" customFormat="1" s="3">
      <c r="A1762" s="45" t="n"/>
      <c r="B1762" s="46" t="inlineStr">
        <is>
          <t>24252</t>
        </is>
      </c>
      <c r="C1762" s="46">
        <f>LEFT(Tableau1[[#This Row],[Formacode]],3)</f>
        <v/>
      </c>
      <c r="D1762" s="47" t="n">
        <v>37796</v>
      </c>
      <c r="E1762" s="48">
        <f>"RNCP"&amp;D1762</f>
        <v/>
      </c>
      <c r="F1762" s="48" t="inlineStr">
        <is>
          <t>Gestionnaire de la sécurité des données, des réseaux et des systèmes</t>
        </is>
      </c>
      <c r="G1762" s="49">
        <f>E1762&amp;" - "&amp;F1762</f>
        <v/>
      </c>
      <c r="H1762" s="36" t="inlineStr">
        <is>
          <t>RAS</t>
        </is>
      </c>
      <c r="I1762" s="45" t="inlineStr"/>
      <c r="J1762" s="45" t="inlineStr">
        <is>
          <t>RNCP37796</t>
        </is>
      </c>
      <c r="K1762" s="45" t="inlineStr">
        <is>
          <t>Gestionnaire de la sécurité des données, des réseaux et des systèmes</t>
        </is>
      </c>
      <c r="L1762" s="45" t="inlineStr">
        <is>
          <t>31/12/2030</t>
        </is>
      </c>
      <c r="M1762" s="45" t="inlineStr"/>
      <c r="N1762" s="50" t="inlineStr">
        <is>
          <t>NON</t>
        </is>
      </c>
      <c r="O1762" s="45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31/12/2030</t>
        </is>
      </c>
      <c r="M1763" s="45" t="inlineStr"/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31/12/2030</t>
        </is>
      </c>
      <c r="M1764" s="45" t="inlineStr"/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31/12/2030</t>
        </is>
      </c>
      <c r="M1765" s="45" t="inlineStr"/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31/12/2030</t>
        </is>
      </c>
      <c r="M1766" s="45" t="inlineStr"/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31/12/2030</t>
        </is>
      </c>
      <c r="M1767" s="45" t="inlineStr"/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31/12/2030</t>
        </is>
      </c>
      <c r="M1768" s="45" t="inlineStr"/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31/12/2030</t>
        </is>
      </c>
      <c r="M1769" s="45" t="inlineStr"/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31/12/2030</t>
        </is>
      </c>
      <c r="M1770" s="45" t="inlineStr"/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BTS - Services informatiques aux organisations, Option A : « Solutions d’infrastructure, systèmes et réseaux » ; Option B : « Solutions logicielles et applications métiers »</t>
        </is>
      </c>
      <c r="L1771" s="45" t="inlineStr">
        <is>
          <t>31/12/2030</t>
        </is>
      </c>
      <c r="M1771" s="45" t="inlineStr"/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TP - Technicien informatique de proximité</t>
        </is>
      </c>
      <c r="L1772" s="45" t="inlineStr">
        <is>
          <t>31/12/2030</t>
        </is>
      </c>
      <c r="M1772" s="45" t="inlineStr"/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Titre ingénieur - Diplôme d'ingénieur d'Efrei Paris (Université Paris- Panthéon Assas)</t>
        </is>
      </c>
      <c r="L1773" s="45" t="inlineStr">
        <is>
          <t>31/12/2030</t>
        </is>
      </c>
      <c r="M1773" s="45" t="inlineStr"/>
      <c r="N1773" s="50" t="inlineStr">
        <is>
          <t>NON</t>
        </is>
      </c>
      <c r="O1773" s="45" t="inlineStr"/>
    </row>
    <row r="1774" customFormat="1" s="3">
      <c r="A1774" s="45" t="n"/>
      <c r="B1774" s="46" t="inlineStr">
        <is>
          <t>24276</t>
        </is>
      </c>
      <c r="C1774" s="46">
        <f>LEFT(Tableau1[[#This Row],[Formacode]],3)</f>
        <v/>
      </c>
      <c r="D1774" s="47" t="n">
        <v>37572</v>
      </c>
      <c r="E1774" s="48">
        <f>"RNCP"&amp;D1774</f>
        <v/>
      </c>
      <c r="F1774" s="48" t="inlineStr">
        <is>
          <t>Grade_Licence - Sciences et Ingénierie - Transformation Numérique des Entreprises</t>
        </is>
      </c>
      <c r="G1774" s="49">
        <f>E1774&amp;" - "&amp;F1774</f>
        <v/>
      </c>
      <c r="H1774" s="36" t="inlineStr">
        <is>
          <t>RAS</t>
        </is>
      </c>
      <c r="I1774" s="45" t="inlineStr"/>
      <c r="J1774" s="45" t="inlineStr">
        <is>
          <t>RNCP37572</t>
        </is>
      </c>
      <c r="K1774" s="45" t="inlineStr">
        <is>
          <t>Grade_Licence - Sciences et Ingénierie - Transformation Numérique des Entreprises</t>
        </is>
      </c>
      <c r="L1774" s="45" t="inlineStr">
        <is>
          <t>31/12/2030</t>
        </is>
      </c>
      <c r="M1774" s="45" t="inlineStr"/>
      <c r="N1774" s="50" t="inlineStr">
        <is>
          <t>NON</t>
        </is>
      </c>
      <c r="O1774" s="45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TP - Opérateur en détection de réseaux</t>
        </is>
      </c>
      <c r="L1775" s="45" t="inlineStr">
        <is>
          <t>31/12/2030</t>
        </is>
      </c>
      <c r="M1775" s="45" t="inlineStr"/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TP - Technicien en détection et géoréférencement de réseaux</t>
        </is>
      </c>
      <c r="L1776" s="45" t="inlineStr">
        <is>
          <t>31/12/2030</t>
        </is>
      </c>
      <c r="M1776" s="45" t="inlineStr"/>
      <c r="N1776" s="50" t="inlineStr">
        <is>
          <t>NON</t>
        </is>
      </c>
      <c r="O1776" s="45" t="inlineStr"/>
    </row>
    <row r="1777" customFormat="1" s="3">
      <c r="A1777" s="45" t="n"/>
      <c r="B1777" s="46" t="inlineStr">
        <is>
          <t>24277</t>
        </is>
      </c>
      <c r="C1777" s="46">
        <f>LEFT(Tableau1[[#This Row],[Formacode]],3)</f>
        <v/>
      </c>
      <c r="D1777" s="47" t="n">
        <v>37572</v>
      </c>
      <c r="E1777" s="48">
        <f>"RNCP"&amp;D1777</f>
        <v/>
      </c>
      <c r="F1777" s="48" t="inlineStr">
        <is>
          <t>Grade_Licence - Sciences et Ingénierie - Transformation Numérique des Entreprises</t>
        </is>
      </c>
      <c r="G1777" s="49">
        <f>E1777&amp;" - "&amp;F1777</f>
        <v/>
      </c>
      <c r="H1777" s="36" t="inlineStr">
        <is>
          <t>RAS</t>
        </is>
      </c>
      <c r="I1777" s="45" t="inlineStr"/>
      <c r="J1777" s="45" t="inlineStr">
        <is>
          <t>RNCP37572</t>
        </is>
      </c>
      <c r="K1777" s="45" t="inlineStr">
        <is>
          <t>Grade_Licence - Sciences et Ingénierie - Transformation Numérique des Entreprises</t>
        </is>
      </c>
      <c r="L1777" s="45" t="inlineStr">
        <is>
          <t>31/12/2030</t>
        </is>
      </c>
      <c r="M1777" s="45" t="inlineStr"/>
      <c r="N1777" s="50" t="inlineStr">
        <is>
          <t>NON</t>
        </is>
      </c>
      <c r="O1777" s="45" t="inlineStr"/>
    </row>
    <row r="1778" customFormat="1" s="3">
      <c r="A1778" s="45" t="n"/>
      <c r="B1778" s="46" t="inlineStr">
        <is>
          <t>24277</t>
        </is>
      </c>
      <c r="C1778" s="46">
        <f>LEFT(Tableau1[[#This Row],[Formacode]],3)</f>
        <v/>
      </c>
      <c r="D1778" s="47" t="n">
        <v>37707</v>
      </c>
      <c r="E1778" s="48">
        <f>"RNCP"&amp;D1778</f>
        <v/>
      </c>
      <c r="F1778" s="48" t="inlineStr">
        <is>
          <t>BTS - Métiers du géomètre-topographe et de la modélisation numérique</t>
        </is>
      </c>
      <c r="G1778" s="49">
        <f>E1778&amp;" - "&amp;F1778</f>
        <v/>
      </c>
      <c r="H1778" s="36" t="inlineStr">
        <is>
          <t>RAS</t>
        </is>
      </c>
      <c r="I1778" s="45" t="inlineStr"/>
      <c r="J1778" s="45" t="inlineStr">
        <is>
          <t>RNCP37707</t>
        </is>
      </c>
      <c r="K1778" s="45" t="inlineStr">
        <is>
          <t>BTS - Métiers du géomètre-topographe et de la modélisation numérique</t>
        </is>
      </c>
      <c r="L1778" s="45" t="inlineStr">
        <is>
          <t>31/12/2030</t>
        </is>
      </c>
      <c r="M1778" s="45" t="inlineStr"/>
      <c r="N1778" s="50" t="inlineStr">
        <is>
          <t>NON</t>
        </is>
      </c>
      <c r="O1778" s="45" t="inlineStr"/>
    </row>
    <row r="1779" customFormat="1" s="3">
      <c r="A1779" s="45" t="n"/>
      <c r="B1779" s="46" t="inlineStr">
        <is>
          <t>24286</t>
        </is>
      </c>
      <c r="C1779" s="46">
        <f>LEFT(Tableau1[[#This Row],[Formacode]],3)</f>
        <v/>
      </c>
      <c r="D1779" s="47" t="n">
        <v>37572</v>
      </c>
      <c r="E1779" s="48">
        <f>"RNCP"&amp;D1779</f>
        <v/>
      </c>
      <c r="F1779" s="48" t="inlineStr">
        <is>
          <t>Grade_Licence - Sciences et Ingénierie - Transformation Numérique des Entreprises</t>
        </is>
      </c>
      <c r="G1779" s="49">
        <f>E1779&amp;" - "&amp;F1779</f>
        <v/>
      </c>
      <c r="H1779" s="36" t="inlineStr">
        <is>
          <t>RAS</t>
        </is>
      </c>
      <c r="I1779" s="45" t="inlineStr"/>
      <c r="J1779" s="45" t="inlineStr">
        <is>
          <t>RNCP37572</t>
        </is>
      </c>
      <c r="K1779" s="45" t="inlineStr">
        <is>
          <t>Grade_Licence - Sciences et Ingénierie - Transformation Numérique des Entreprises</t>
        </is>
      </c>
      <c r="L1779" s="45" t="inlineStr">
        <is>
          <t>31/12/2030</t>
        </is>
      </c>
      <c r="M1779" s="45" t="inlineStr"/>
      <c r="N1779" s="50" t="inlineStr">
        <is>
          <t>NON</t>
        </is>
      </c>
      <c r="O1779" s="45" t="inlineStr"/>
    </row>
    <row r="1780" customFormat="1" s="3">
      <c r="A1780" s="45" t="n"/>
      <c r="B1780" s="46" t="inlineStr">
        <is>
          <t>24293</t>
        </is>
      </c>
      <c r="C1780" s="46">
        <f>LEFT(Tableau1[[#This Row],[Formacode]],3)</f>
        <v/>
      </c>
      <c r="D1780" s="47" t="n">
        <v>37572</v>
      </c>
      <c r="E1780" s="48">
        <f>"RNCP"&amp;D1780</f>
        <v/>
      </c>
      <c r="F1780" s="48" t="inlineStr">
        <is>
          <t>Grade_Licence - Sciences et Ingénierie - Transformation Numérique des Entreprises</t>
        </is>
      </c>
      <c r="G1780" s="49">
        <f>E1780&amp;" - "&amp;F1780</f>
        <v/>
      </c>
      <c r="H1780" s="36" t="inlineStr">
        <is>
          <t>RAS</t>
        </is>
      </c>
      <c r="I1780" s="45" t="inlineStr"/>
      <c r="J1780" s="45" t="inlineStr">
        <is>
          <t>RNCP37572</t>
        </is>
      </c>
      <c r="K1780" s="45" t="inlineStr">
        <is>
          <t>Grade_Licence - Sciences et Ingénierie - Transformation Numérique des Entreprises</t>
        </is>
      </c>
      <c r="L1780" s="45" t="inlineStr">
        <is>
          <t>31/12/2030</t>
        </is>
      </c>
      <c r="M1780" s="45" t="inlineStr"/>
      <c r="N1780" s="50" t="inlineStr">
        <is>
          <t>NON</t>
        </is>
      </c>
      <c r="O1780" s="45" t="inlineStr"/>
    </row>
    <row r="1781" customFormat="1" s="3">
      <c r="A1781" s="45" t="n"/>
      <c r="B1781" s="46" t="inlineStr">
        <is>
          <t>24296</t>
        </is>
      </c>
      <c r="C1781" s="46">
        <f>LEFT(Tableau1[[#This Row],[Formacode]],3)</f>
        <v/>
      </c>
      <c r="D1781" s="47" t="n">
        <v>37572</v>
      </c>
      <c r="E1781" s="48">
        <f>"RNCP"&amp;D1781</f>
        <v/>
      </c>
      <c r="F1781" s="48" t="inlineStr">
        <is>
          <t>Grade_Licence - Sciences et Ingénierie - Transformation Numérique des Entreprises</t>
        </is>
      </c>
      <c r="G1781" s="49">
        <f>E1781&amp;" - "&amp;F1781</f>
        <v/>
      </c>
      <c r="H1781" s="36" t="inlineStr">
        <is>
          <t>RAS</t>
        </is>
      </c>
      <c r="I1781" s="45" t="inlineStr"/>
      <c r="J1781" s="45" t="inlineStr">
        <is>
          <t>RNCP37572</t>
        </is>
      </c>
      <c r="K1781" s="45" t="inlineStr">
        <is>
          <t>Grade_Licence - Sciences et Ingénierie - Transformation Numérique des Entreprises</t>
        </is>
      </c>
      <c r="L1781" s="45" t="inlineStr">
        <is>
          <t>31/12/2030</t>
        </is>
      </c>
      <c r="M1781" s="45" t="inlineStr"/>
      <c r="N1781" s="50" t="inlineStr">
        <is>
          <t>NON</t>
        </is>
      </c>
      <c r="O1781" s="45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BAC PRO - Optique Photonique : Technologies de la Lumière</t>
        </is>
      </c>
      <c r="L1782" s="45" t="inlineStr">
        <is>
          <t>31/12/2030</t>
        </is>
      </c>
      <c r="M1782" s="45" t="inlineStr"/>
      <c r="N1782" s="50" t="inlineStr">
        <is>
          <t>NON</t>
        </is>
      </c>
      <c r="O1782" s="45" t="inlineStr"/>
    </row>
    <row r="1783" customFormat="1" s="3">
      <c r="A1783" s="45" t="n"/>
      <c r="B1783" s="46" t="inlineStr">
        <is>
          <t>24314</t>
        </is>
      </c>
      <c r="C1783" s="46">
        <f>LEFT(Tableau1[[#This Row],[Formacode]],3)</f>
        <v/>
      </c>
      <c r="D1783" s="47" t="n">
        <v>37572</v>
      </c>
      <c r="E1783" s="48">
        <f>"RNCP"&amp;D1783</f>
        <v/>
      </c>
      <c r="F1783" s="48" t="inlineStr">
        <is>
          <t>Grade_Licence - Sciences et Ingénierie - Transformation Numérique des Entreprises</t>
        </is>
      </c>
      <c r="G1783" s="49">
        <f>E1783&amp;" - "&amp;F1783</f>
        <v/>
      </c>
      <c r="H1783" s="36" t="inlineStr">
        <is>
          <t>RAS</t>
        </is>
      </c>
      <c r="I1783" s="45" t="inlineStr"/>
      <c r="J1783" s="45" t="inlineStr">
        <is>
          <t>RNCP37572</t>
        </is>
      </c>
      <c r="K1783" s="45" t="inlineStr">
        <is>
          <t>Grade_Licence - Sciences et Ingénierie - Transformation Numérique des Entreprises</t>
        </is>
      </c>
      <c r="L1783" s="45" t="inlineStr">
        <is>
          <t>31/12/2030</t>
        </is>
      </c>
      <c r="M1783" s="45" t="inlineStr"/>
      <c r="N1783" s="50" t="inlineStr">
        <is>
          <t>NON</t>
        </is>
      </c>
      <c r="O1783" s="45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BTS - Photonique : Technologies et Sciences de la Lumière</t>
        </is>
      </c>
      <c r="L1784" s="45" t="inlineStr">
        <is>
          <t>31/12/2030</t>
        </is>
      </c>
      <c r="M1784" s="45" t="inlineStr"/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Titre ingénieur - Ingénieur diplômé de l'Institut supérieur d'électronique de Paris</t>
        </is>
      </c>
      <c r="L1785" s="45" t="inlineStr">
        <is>
          <t>31/12/2030</t>
        </is>
      </c>
      <c r="M1785" s="45" t="inlineStr"/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Titre ingénieur - Diplôme d'ingénieur d'Efrei Paris (Université Paris- Panthéon Assas)</t>
        </is>
      </c>
      <c r="L1786" s="45" t="inlineStr">
        <is>
          <t>31/12/2030</t>
        </is>
      </c>
      <c r="M1786" s="45" t="inlineStr"/>
      <c r="N1786" s="50" t="inlineStr">
        <is>
          <t>NON</t>
        </is>
      </c>
      <c r="O1786" s="45" t="inlineStr"/>
    </row>
    <row r="1787" customFormat="1" s="3">
      <c r="A1787" s="45" t="n"/>
      <c r="B1787" s="46" t="inlineStr">
        <is>
          <t>24335</t>
        </is>
      </c>
      <c r="C1787" s="46">
        <f>LEFT(Tableau1[[#This Row],[Formacode]],3)</f>
        <v/>
      </c>
      <c r="D1787" s="47" t="n">
        <v>35307</v>
      </c>
      <c r="E1787" s="48">
        <f>"RNCP"&amp;D1787</f>
        <v/>
      </c>
      <c r="F1787" s="48" t="inlineStr">
        <is>
          <t>TP - Electronicien de tests et développement</t>
        </is>
      </c>
      <c r="G1787" s="49">
        <f>E1787&amp;" - "&amp;F1787</f>
        <v/>
      </c>
      <c r="H1787" s="36" t="inlineStr">
        <is>
          <t>RAS</t>
        </is>
      </c>
      <c r="I1787" s="45" t="inlineStr"/>
      <c r="J1787" s="45" t="inlineStr">
        <is>
          <t>RNCP35307</t>
        </is>
      </c>
      <c r="K1787" s="45" t="inlineStr">
        <is>
          <t>TP - Electronicien de tests et développement</t>
        </is>
      </c>
      <c r="L1787" s="45" t="inlineStr">
        <is>
          <t>31/12/2030</t>
        </is>
      </c>
      <c r="M1787" s="45" t="inlineStr"/>
      <c r="N1787" s="50" t="inlineStr">
        <is>
          <t>NON</t>
        </is>
      </c>
      <c r="O1787" s="45" t="inlineStr"/>
    </row>
    <row r="1788" customFormat="1" s="3">
      <c r="A1788" s="45" t="n"/>
      <c r="B1788" s="46" t="inlineStr">
        <is>
          <t>24335</t>
        </is>
      </c>
      <c r="C1788" s="46">
        <f>LEFT(Tableau1[[#This Row],[Formacode]],3)</f>
        <v/>
      </c>
      <c r="D1788" s="47" t="n">
        <v>36171</v>
      </c>
      <c r="E1788" s="48">
        <f>"RNCP"&amp;D1788</f>
        <v/>
      </c>
      <c r="F1788" s="48" t="inlineStr">
        <is>
          <t>TP - Agent d'assemblage et de maintenance de batteries d'accumulateurs</t>
        </is>
      </c>
      <c r="G1788" s="49">
        <f>E1788&amp;" - "&amp;F1788</f>
        <v/>
      </c>
      <c r="H1788" s="36" t="inlineStr">
        <is>
          <t>RAS</t>
        </is>
      </c>
      <c r="I1788" s="45" t="inlineStr"/>
      <c r="J1788" s="45" t="inlineStr">
        <is>
          <t>RNCP36171</t>
        </is>
      </c>
      <c r="K1788" s="45" t="inlineStr">
        <is>
          <t>TP - Agent d'assemblage et de maintenance de batteries d'accumulateurs</t>
        </is>
      </c>
      <c r="L1788" s="45" t="inlineStr">
        <is>
          <t>31/12/2030</t>
        </is>
      </c>
      <c r="M1788" s="45" t="inlineStr"/>
      <c r="N1788" s="50" t="inlineStr">
        <is>
          <t>NON</t>
        </is>
      </c>
      <c r="O1788" s="45" t="inlineStr"/>
    </row>
    <row r="1789" customFormat="1" s="3">
      <c r="A1789" s="45" t="n"/>
      <c r="B1789" s="46" t="inlineStr">
        <is>
          <t>24335</t>
        </is>
      </c>
      <c r="C1789" s="46">
        <f>LEFT(Tableau1[[#This Row],[Formacode]],3)</f>
        <v/>
      </c>
      <c r="D1789" s="47" t="n">
        <v>37416</v>
      </c>
      <c r="E1789" s="48">
        <f>"RNCP"&amp;D1789</f>
        <v/>
      </c>
      <c r="F1789" s="48" t="inlineStr">
        <is>
          <t>Réparateur de produits nomades</t>
        </is>
      </c>
      <c r="G1789" s="49">
        <f>E1789&amp;" - "&amp;F1789</f>
        <v/>
      </c>
      <c r="H1789" s="36" t="inlineStr">
        <is>
          <t>RAS</t>
        </is>
      </c>
      <c r="I1789" s="45" t="inlineStr"/>
      <c r="J1789" s="45" t="inlineStr">
        <is>
          <t>RNCP37416</t>
        </is>
      </c>
      <c r="K1789" s="45" t="inlineStr">
        <is>
          <t>Réparateur de produits nomades</t>
        </is>
      </c>
      <c r="L1789" s="45" t="inlineStr">
        <is>
          <t>31/12/2030</t>
        </is>
      </c>
      <c r="M1789" s="45" t="inlineStr"/>
      <c r="N1789" s="50" t="inlineStr">
        <is>
          <t>NON</t>
        </is>
      </c>
      <c r="O1789" s="45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CS - Production et réparation de produits électroniques</t>
        </is>
      </c>
      <c r="L1790" s="45" t="inlineStr">
        <is>
          <t>31/12/2030</t>
        </is>
      </c>
      <c r="M1790" s="45" t="inlineStr"/>
      <c r="N1790" s="50" t="inlineStr">
        <is>
          <t>NON</t>
        </is>
      </c>
      <c r="O1790" s="45" t="inlineStr"/>
    </row>
    <row r="1791" customFormat="1" s="3">
      <c r="A1791" s="45" t="n"/>
      <c r="B1791" s="46" t="inlineStr">
        <is>
          <t>24335</t>
        </is>
      </c>
      <c r="C1791" s="46">
        <f>LEFT(Tableau1[[#This Row],[Formacode]],3)</f>
        <v/>
      </c>
      <c r="D1791" s="47" t="n">
        <v>37572</v>
      </c>
      <c r="E1791" s="48">
        <f>"RNCP"&amp;D1791</f>
        <v/>
      </c>
      <c r="F1791" s="48" t="inlineStr">
        <is>
          <t>Grade_Licence - Sciences et Ingénierie - Transformation Numérique des Entreprises</t>
        </is>
      </c>
      <c r="G1791" s="49">
        <f>E1791&amp;" - "&amp;F1791</f>
        <v/>
      </c>
      <c r="H1791" s="36" t="inlineStr">
        <is>
          <t>RAS</t>
        </is>
      </c>
      <c r="I1791" s="45" t="inlineStr"/>
      <c r="J1791" s="45" t="inlineStr">
        <is>
          <t>RNCP37572</t>
        </is>
      </c>
      <c r="K1791" s="45" t="inlineStr">
        <is>
          <t>Grade_Licence - Sciences et Ingénierie - Transformation Numérique des Entreprises</t>
        </is>
      </c>
      <c r="L1791" s="45" t="inlineStr">
        <is>
          <t>31/12/2030</t>
        </is>
      </c>
      <c r="M1791" s="45" t="inlineStr"/>
      <c r="N1791" s="50" t="inlineStr">
        <is>
          <t>NON</t>
        </is>
      </c>
      <c r="O1791" s="45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TP - Agent de montage et de câblage en électronique</t>
        </is>
      </c>
      <c r="L1792" s="45" t="inlineStr">
        <is>
          <t>31/12/2030</t>
        </is>
      </c>
      <c r="M1792" s="45" t="inlineStr"/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Titre ingénieur - Ingénieur diplômé de l'Institut supérieur d'électronique de Paris</t>
        </is>
      </c>
      <c r="L1793" s="45" t="inlineStr">
        <is>
          <t>31/12/2030</t>
        </is>
      </c>
      <c r="M1793" s="45" t="inlineStr"/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31/12/2030</t>
        </is>
      </c>
      <c r="M1794" s="45" t="inlineStr"/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31/12/2030</t>
        </is>
      </c>
      <c r="M1795" s="45" t="inlineStr"/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31/12/2030</t>
        </is>
      </c>
      <c r="M1796" s="45" t="inlineStr"/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Titre ingénieur - Diplôme d'ingénieur d'Efrei Paris (Université Paris- Panthéon Assas)</t>
        </is>
      </c>
      <c r="L1797" s="45" t="inlineStr">
        <is>
          <t>31/12/2030</t>
        </is>
      </c>
      <c r="M1797" s="45" t="inlineStr"/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TP - Technicien en électronique de montage, de contrôle et de maintenance</t>
        </is>
      </c>
      <c r="L1798" s="45" t="inlineStr">
        <is>
          <t>31/12/2030</t>
        </is>
      </c>
      <c r="M1798" s="45" t="inlineStr"/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BTS - Cybersécurité, Informatique et réseaux, Électronique  - Option A : « Informatique et réseaux », Option B : « Électronique et réseaux »</t>
        </is>
      </c>
      <c r="L1799" s="45" t="inlineStr">
        <is>
          <t>31/12/2030</t>
        </is>
      </c>
      <c r="M1799" s="45" t="inlineStr"/>
      <c r="N1799" s="50" t="inlineStr">
        <is>
          <t>NON</t>
        </is>
      </c>
      <c r="O1799" s="45" t="inlineStr"/>
    </row>
    <row r="1800" customFormat="1" s="3">
      <c r="A1800" s="45" t="n"/>
      <c r="B1800" s="46" t="inlineStr">
        <is>
          <t>24340</t>
        </is>
      </c>
      <c r="C1800" s="46">
        <f>LEFT(Tableau1[[#This Row],[Formacode]],3)</f>
        <v/>
      </c>
      <c r="D1800" s="47" t="n">
        <v>37416</v>
      </c>
      <c r="E1800" s="48">
        <f>"RNCP"&amp;D1800</f>
        <v/>
      </c>
      <c r="F1800" s="48" t="inlineStr">
        <is>
          <t>Réparateur de produits nomades</t>
        </is>
      </c>
      <c r="G1800" s="49">
        <f>E1800&amp;" - "&amp;F1800</f>
        <v/>
      </c>
      <c r="H1800" s="36" t="inlineStr">
        <is>
          <t>RAS</t>
        </is>
      </c>
      <c r="I1800" s="45" t="inlineStr"/>
      <c r="J1800" s="45" t="inlineStr">
        <is>
          <t>RNCP37416</t>
        </is>
      </c>
      <c r="K1800" s="45" t="inlineStr">
        <is>
          <t>Réparateur de produits nomades</t>
        </is>
      </c>
      <c r="L1800" s="45" t="inlineStr">
        <is>
          <t>31/12/2030</t>
        </is>
      </c>
      <c r="M1800" s="45" t="inlineStr"/>
      <c r="N1800" s="50" t="inlineStr">
        <is>
          <t>NON</t>
        </is>
      </c>
      <c r="O1800" s="45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BAC PRO - Cybersécurité, Informatique et réseaux, Electronique</t>
        </is>
      </c>
      <c r="L1801" s="45" t="inlineStr">
        <is>
          <t>31/12/2030</t>
        </is>
      </c>
      <c r="M1801" s="45" t="inlineStr"/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CS - Production et réparation de produits électroniques</t>
        </is>
      </c>
      <c r="L1802" s="45" t="inlineStr">
        <is>
          <t>31/12/2030</t>
        </is>
      </c>
      <c r="M1802" s="45" t="inlineStr"/>
      <c r="N1802" s="50" t="inlineStr">
        <is>
          <t>NON</t>
        </is>
      </c>
      <c r="O1802" s="45" t="inlineStr"/>
    </row>
    <row r="1803" customFormat="1" s="3">
      <c r="A1803" s="45" t="n"/>
      <c r="B1803" s="46" t="inlineStr">
        <is>
          <t>24340</t>
        </is>
      </c>
      <c r="C1803" s="46">
        <f>LEFT(Tableau1[[#This Row],[Formacode]],3)</f>
        <v/>
      </c>
      <c r="D1803" s="47" t="n">
        <v>37572</v>
      </c>
      <c r="E1803" s="48">
        <f>"RNCP"&amp;D1803</f>
        <v/>
      </c>
      <c r="F1803" s="48" t="inlineStr">
        <is>
          <t>Grade_Licence - Sciences et Ingénierie - Transformation Numérique des Entreprises</t>
        </is>
      </c>
      <c r="G1803" s="49">
        <f>E1803&amp;" - "&amp;F1803</f>
        <v/>
      </c>
      <c r="H1803" s="36" t="inlineStr">
        <is>
          <t>RAS</t>
        </is>
      </c>
      <c r="I1803" s="45" t="inlineStr"/>
      <c r="J1803" s="45" t="inlineStr">
        <is>
          <t>RNCP37572</t>
        </is>
      </c>
      <c r="K1803" s="45" t="inlineStr">
        <is>
          <t>Grade_Licence - Sciences et Ingénierie - Transformation Numérique des Entreprises</t>
        </is>
      </c>
      <c r="L1803" s="45" t="inlineStr">
        <is>
          <t>31/12/2030</t>
        </is>
      </c>
      <c r="M1803" s="45" t="inlineStr"/>
      <c r="N1803" s="50" t="inlineStr">
        <is>
          <t>NON</t>
        </is>
      </c>
      <c r="O1803" s="45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TP - Agent de reconditionnement numérique</t>
        </is>
      </c>
      <c r="L1804" s="45" t="inlineStr">
        <is>
          <t>31/12/2030</t>
        </is>
      </c>
      <c r="M1804" s="45" t="inlineStr"/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Titre ingénieur - Ingénieur diplômé de l'Institut supérieur d'électronique de Paris</t>
        </is>
      </c>
      <c r="L1805" s="45" t="inlineStr">
        <is>
          <t>31/12/2030</t>
        </is>
      </c>
      <c r="M1805" s="45" t="inlineStr"/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31/12/2030</t>
        </is>
      </c>
      <c r="M1806" s="45" t="inlineStr"/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Titre ingénieur - Diplôme d'ingénieur d'Efrei Paris (Université Paris- Panthéon Assas)</t>
        </is>
      </c>
      <c r="L1807" s="45" t="inlineStr">
        <is>
          <t>31/12/2030</t>
        </is>
      </c>
      <c r="M1807" s="45" t="inlineStr"/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TP - Technicien en électronique de montage, de contrôle et de maintenance</t>
        </is>
      </c>
      <c r="L1808" s="45" t="inlineStr">
        <is>
          <t>31/12/2030</t>
        </is>
      </c>
      <c r="M1808" s="45" t="inlineStr"/>
      <c r="N1808" s="50" t="inlineStr">
        <is>
          <t>NON</t>
        </is>
      </c>
      <c r="O1808" s="45" t="inlineStr"/>
    </row>
    <row r="1809" customFormat="1" s="3">
      <c r="A1809" s="45" t="n"/>
      <c r="B1809" s="46" t="inlineStr">
        <is>
          <t>24346</t>
        </is>
      </c>
      <c r="C1809" s="46">
        <f>LEFT(Tableau1[[#This Row],[Formacode]],3)</f>
        <v/>
      </c>
      <c r="D1809" s="47" t="n">
        <v>37572</v>
      </c>
      <c r="E1809" s="48">
        <f>"RNCP"&amp;D1809</f>
        <v/>
      </c>
      <c r="F1809" s="48" t="inlineStr">
        <is>
          <t>Grade_Licence - Sciences et Ingénierie - Transformation Numérique des Entreprises</t>
        </is>
      </c>
      <c r="G1809" s="49">
        <f>E1809&amp;" - "&amp;F1809</f>
        <v/>
      </c>
      <c r="H1809" s="36" t="inlineStr">
        <is>
          <t>RAS</t>
        </is>
      </c>
      <c r="I1809" s="45" t="inlineStr"/>
      <c r="J1809" s="45" t="inlineStr">
        <is>
          <t>RNCP37572</t>
        </is>
      </c>
      <c r="K1809" s="45" t="inlineStr">
        <is>
          <t>Grade_Licence - Sciences et Ingénierie - Transformation Numérique des Entreprises</t>
        </is>
      </c>
      <c r="L1809" s="45" t="inlineStr">
        <is>
          <t>31/12/2030</t>
        </is>
      </c>
      <c r="M1809" s="45" t="inlineStr"/>
      <c r="N1809" s="50" t="inlineStr">
        <is>
          <t>NON</t>
        </is>
      </c>
      <c r="O1809" s="45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CAP - Aéronautique options Avionique, Structure et Systèmes</t>
        </is>
      </c>
      <c r="L1810" s="45" t="inlineStr">
        <is>
          <t>31/12/2030</t>
        </is>
      </c>
      <c r="M1810" s="45" t="inlineStr"/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CS - Aéronautique options Avionique, Avions à moteurs à pistons, Avions à moteurs à turbines, Hélicoptères à moteurs à pistons, Hélicoptères à moteurs à turbines</t>
        </is>
      </c>
      <c r="L1811" s="45" t="inlineStr">
        <is>
          <t>31/12/2030</t>
        </is>
      </c>
      <c r="M1811" s="45" t="inlineStr"/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BAC PRO - Aéronautique options Avionique,  Structure, Systèmes</t>
        </is>
      </c>
      <c r="L1812" s="45" t="inlineStr">
        <is>
          <t>31/12/2030</t>
        </is>
      </c>
      <c r="M1812" s="45" t="inlineStr"/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Titre ingénieur - Ingénieur diplômé de l'Institut supérieur d'électronique de Paris</t>
        </is>
      </c>
      <c r="L1813" s="45" t="inlineStr">
        <is>
          <t>31/12/2030</t>
        </is>
      </c>
      <c r="M1813" s="45" t="inlineStr"/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31/12/2030</t>
        </is>
      </c>
      <c r="M1814" s="45" t="inlineStr"/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Titre ingénieur - Diplôme d'ingénieur d'Efrei Paris (Université Paris- Panthéon Assas)</t>
        </is>
      </c>
      <c r="L1815" s="45" t="inlineStr">
        <is>
          <t>31/12/2030</t>
        </is>
      </c>
      <c r="M1815" s="45" t="inlineStr"/>
      <c r="N1815" s="50" t="inlineStr">
        <is>
          <t>NON</t>
        </is>
      </c>
      <c r="O1815" s="45" t="inlineStr"/>
    </row>
    <row r="1816" customFormat="1" s="3">
      <c r="A1816" s="45" t="n"/>
      <c r="B1816" s="46" t="inlineStr">
        <is>
          <t>24351</t>
        </is>
      </c>
      <c r="C1816" s="46">
        <f>LEFT(Tableau1[[#This Row],[Formacode]],3)</f>
        <v/>
      </c>
      <c r="D1816" s="47" t="n">
        <v>35307</v>
      </c>
      <c r="E1816" s="48">
        <f>"RNCP"&amp;D1816</f>
        <v/>
      </c>
      <c r="F1816" s="48" t="inlineStr">
        <is>
          <t>TP - Electronicien de tests et développement</t>
        </is>
      </c>
      <c r="G1816" s="49">
        <f>E1816&amp;" - "&amp;F1816</f>
        <v/>
      </c>
      <c r="H1816" s="36" t="inlineStr">
        <is>
          <t>RAS</t>
        </is>
      </c>
      <c r="I1816" s="45" t="inlineStr"/>
      <c r="J1816" s="45" t="inlineStr">
        <is>
          <t>RNCP35307</t>
        </is>
      </c>
      <c r="K1816" s="45" t="inlineStr">
        <is>
          <t>TP - Electronicien de tests et développement</t>
        </is>
      </c>
      <c r="L1816" s="45" t="inlineStr">
        <is>
          <t>31/12/2030</t>
        </is>
      </c>
      <c r="M1816" s="45" t="inlineStr"/>
      <c r="N1816" s="50" t="inlineStr">
        <is>
          <t>NON</t>
        </is>
      </c>
      <c r="O1816" s="45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(BTS - Métiers de la mesure) — préparer la bascule de l'offre CPF | Échéance le 31/08/2026 (dans 52 j)</t>
        </is>
      </c>
      <c r="J1817" s="51" t="inlineStr">
        <is>
          <t>RNCP41832</t>
        </is>
      </c>
      <c r="K1817" s="51" t="inlineStr">
        <is>
          <t>BTS - Métiers de la mesure</t>
        </is>
      </c>
      <c r="L1817" s="51" t="inlineStr">
        <is>
          <t>31/08/2026</t>
        </is>
      </c>
      <c r="M1817" s="51" t="inlineStr">
        <is>
          <t>11421 (Thermométrie)</t>
        </is>
      </c>
      <c r="N1817" s="56" t="inlineStr">
        <is>
          <t>OUI</t>
        </is>
      </c>
      <c r="O1817" s="41" t="inlineStr">
        <is>
          <t>Changement de statut : RAS → À vérifier ; Échéance modifiée : 31/08/2030 → 31/08/2026 ; Successeur(s) modifié(s) : RNCP41832</t>
        </is>
      </c>
    </row>
    <row r="1818" customFormat="1" s="3">
      <c r="A1818" s="45" t="n"/>
      <c r="B1818" s="46" t="inlineStr">
        <is>
          <t>24351</t>
        </is>
      </c>
      <c r="C1818" s="46">
        <f>LEFT(Tableau1[[#This Row],[Formacode]],3)</f>
        <v/>
      </c>
      <c r="D1818" s="47" t="n">
        <v>37572</v>
      </c>
      <c r="E1818" s="48">
        <f>"RNCP"&amp;D1818</f>
        <v/>
      </c>
      <c r="F1818" s="48" t="inlineStr">
        <is>
          <t>Grade_Licence - Sciences et Ingénierie - Transformation Numérique des Entreprises</t>
        </is>
      </c>
      <c r="G1818" s="49">
        <f>E1818&amp;" - "&amp;F1818</f>
        <v/>
      </c>
      <c r="H1818" s="36" t="inlineStr">
        <is>
          <t>RAS</t>
        </is>
      </c>
      <c r="I1818" s="45" t="inlineStr"/>
      <c r="J1818" s="45" t="inlineStr">
        <is>
          <t>RNCP37572</t>
        </is>
      </c>
      <c r="K1818" s="45" t="inlineStr">
        <is>
          <t>Grade_Licence - Sciences et Ingénierie - Transformation Numérique des Entreprises</t>
        </is>
      </c>
      <c r="L1818" s="45" t="inlineStr">
        <is>
          <t>31/12/2030</t>
        </is>
      </c>
      <c r="M1818" s="45" t="inlineStr"/>
      <c r="N1818" s="50" t="inlineStr">
        <is>
          <t>NON</t>
        </is>
      </c>
      <c r="O1818" s="45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Titre ingénieur - Ingénieur diplômé de l'Institut supérieur d'électronique de Paris</t>
        </is>
      </c>
      <c r="L1819" s="45" t="inlineStr">
        <is>
          <t>31/12/2030</t>
        </is>
      </c>
      <c r="M1819" s="45" t="inlineStr"/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31/12/2030</t>
        </is>
      </c>
      <c r="M1820" s="45" t="inlineStr"/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Titre ingénieur - Diplôme d'ingénieur d'Efrei Paris (Université Paris- Panthéon Assas)</t>
        </is>
      </c>
      <c r="L1821" s="45" t="inlineStr">
        <is>
          <t>31/12/2030</t>
        </is>
      </c>
      <c r="M1821" s="45" t="inlineStr"/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TP - Technicien en électronique de montage, de contrôle et de maintenance</t>
        </is>
      </c>
      <c r="L1822" s="45" t="inlineStr">
        <is>
          <t>31/12/2030</t>
        </is>
      </c>
      <c r="M1822" s="45" t="inlineStr"/>
      <c r="N1822" s="50" t="inlineStr">
        <is>
          <t>NON</t>
        </is>
      </c>
      <c r="O1822" s="45" t="inlineStr"/>
    </row>
    <row r="1823" customFormat="1" s="3">
      <c r="A1823" s="45" t="n"/>
      <c r="B1823" s="46" t="inlineStr">
        <is>
          <t>24356</t>
        </is>
      </c>
      <c r="C1823" s="46">
        <f>LEFT(Tableau1[[#This Row],[Formacode]],3)</f>
        <v/>
      </c>
      <c r="D1823" s="47" t="n">
        <v>37572</v>
      </c>
      <c r="E1823" s="48">
        <f>"RNCP"&amp;D1823</f>
        <v/>
      </c>
      <c r="F1823" s="48" t="inlineStr">
        <is>
          <t>Grade_Licence - Sciences et Ingénierie - Transformation Numérique des Entreprises</t>
        </is>
      </c>
      <c r="G1823" s="49">
        <f>E1823&amp;" - "&amp;F1823</f>
        <v/>
      </c>
      <c r="H1823" s="36" t="inlineStr">
        <is>
          <t>RAS</t>
        </is>
      </c>
      <c r="I1823" s="45" t="inlineStr"/>
      <c r="J1823" s="45" t="inlineStr">
        <is>
          <t>RNCP37572</t>
        </is>
      </c>
      <c r="K1823" s="45" t="inlineStr">
        <is>
          <t>Grade_Licence - Sciences et Ingénierie - Transformation Numérique des Entreprises</t>
        </is>
      </c>
      <c r="L1823" s="45" t="inlineStr">
        <is>
          <t>31/12/2030</t>
        </is>
      </c>
      <c r="M1823" s="45" t="inlineStr"/>
      <c r="N1823" s="50" t="inlineStr">
        <is>
          <t>NON</t>
        </is>
      </c>
      <c r="O1823" s="45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Titre ingénieur - Ingénieur diplômé de l'Institut supérieur d'électronique de Paris</t>
        </is>
      </c>
      <c r="L1824" s="45" t="inlineStr">
        <is>
          <t>31/12/2030</t>
        </is>
      </c>
      <c r="M1824" s="45" t="inlineStr"/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Titre ingénieur - Diplôme d'ingénieur d'Efrei Paris (Université Paris- Panthéon Assas)</t>
        </is>
      </c>
      <c r="L1825" s="45" t="inlineStr">
        <is>
          <t>31/12/2030</t>
        </is>
      </c>
      <c r="M1825" s="45" t="inlineStr"/>
      <c r="N1825" s="50" t="inlineStr">
        <is>
          <t>NON</t>
        </is>
      </c>
      <c r="O1825" s="45" t="inlineStr"/>
    </row>
    <row r="1826" customFormat="1" s="3">
      <c r="A1826" s="45" t="n"/>
      <c r="B1826" s="46" t="inlineStr">
        <is>
          <t>24360</t>
        </is>
      </c>
      <c r="C1826" s="46">
        <f>LEFT(Tableau1[[#This Row],[Formacode]],3)</f>
        <v/>
      </c>
      <c r="D1826" s="47" t="n">
        <v>37572</v>
      </c>
      <c r="E1826" s="48">
        <f>"RNCP"&amp;D1826</f>
        <v/>
      </c>
      <c r="F1826" s="48" t="inlineStr">
        <is>
          <t>Grade_Licence - Sciences et Ingénierie - Transformation Numérique des Entreprises</t>
        </is>
      </c>
      <c r="G1826" s="49">
        <f>E1826&amp;" - "&amp;F1826</f>
        <v/>
      </c>
      <c r="H1826" s="36" t="inlineStr">
        <is>
          <t>RAS</t>
        </is>
      </c>
      <c r="I1826" s="45" t="inlineStr"/>
      <c r="J1826" s="45" t="inlineStr">
        <is>
          <t>RNCP37572</t>
        </is>
      </c>
      <c r="K1826" s="45" t="inlineStr">
        <is>
          <t>Grade_Licence - Sciences et Ingénierie - Transformation Numérique des Entreprises</t>
        </is>
      </c>
      <c r="L1826" s="45" t="inlineStr">
        <is>
          <t>31/12/2030</t>
        </is>
      </c>
      <c r="M1826" s="45" t="inlineStr"/>
      <c r="N1826" s="50" t="inlineStr">
        <is>
          <t>NON</t>
        </is>
      </c>
      <c r="O1826" s="45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Titre ingénieur - Ingénieur diplômé de l'Institut supérieur d'électronique de Paris</t>
        </is>
      </c>
      <c r="L1827" s="45" t="inlineStr">
        <is>
          <t>31/12/2030</t>
        </is>
      </c>
      <c r="M1827" s="45" t="inlineStr"/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31/12/2030</t>
        </is>
      </c>
      <c r="M1828" s="45" t="inlineStr"/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Titre ingénieur - Diplôme d'ingénieur d'Efrei Paris (Université Paris- Panthéon Assas)</t>
        </is>
      </c>
      <c r="L1829" s="45" t="inlineStr">
        <is>
          <t>31/12/2030</t>
        </is>
      </c>
      <c r="M1829" s="45" t="inlineStr"/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TP - Technicien en électronique de montage, de contrôle et de maintenance</t>
        </is>
      </c>
      <c r="L1830" s="45" t="inlineStr">
        <is>
          <t>31/12/2030</t>
        </is>
      </c>
      <c r="M1830" s="45" t="inlineStr"/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31/12/2030</t>
        </is>
      </c>
      <c r="M1831" s="45" t="inlineStr"/>
      <c r="N1831" s="50" t="inlineStr">
        <is>
          <t>NON</t>
        </is>
      </c>
      <c r="O1831" s="45" t="inlineStr"/>
    </row>
    <row r="1832" customFormat="1" s="3">
      <c r="A1832" s="45" t="n"/>
      <c r="B1832" s="46" t="inlineStr">
        <is>
          <t>24374</t>
        </is>
      </c>
      <c r="C1832" s="46">
        <f>LEFT(Tableau1[[#This Row],[Formacode]],3)</f>
        <v/>
      </c>
      <c r="D1832" s="47" t="n">
        <v>37572</v>
      </c>
      <c r="E1832" s="48">
        <f>"RNCP"&amp;D1832</f>
        <v/>
      </c>
      <c r="F1832" s="48" t="inlineStr">
        <is>
          <t>Grade_Licence - Sciences et Ingénierie - Transformation Numérique des Entreprises</t>
        </is>
      </c>
      <c r="G1832" s="49">
        <f>E1832&amp;" - "&amp;F1832</f>
        <v/>
      </c>
      <c r="H1832" s="36" t="inlineStr">
        <is>
          <t>RAS</t>
        </is>
      </c>
      <c r="I1832" s="45" t="inlineStr"/>
      <c r="J1832" s="45" t="inlineStr">
        <is>
          <t>RNCP37572</t>
        </is>
      </c>
      <c r="K1832" s="45" t="inlineStr">
        <is>
          <t>Grade_Licence - Sciences et Ingénierie - Transformation Numérique des Entreprises</t>
        </is>
      </c>
      <c r="L1832" s="45" t="inlineStr">
        <is>
          <t>31/12/2030</t>
        </is>
      </c>
      <c r="M1832" s="45" t="inlineStr"/>
      <c r="N1832" s="50" t="inlineStr">
        <is>
          <t>NON</t>
        </is>
      </c>
      <c r="O1832" s="45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TP - Technicien d'après-vente en électroménager et audiovisuel</t>
        </is>
      </c>
      <c r="L1833" s="45" t="inlineStr">
        <is>
          <t>31/12/2030</t>
        </is>
      </c>
      <c r="M1833" s="45" t="inlineStr"/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Titre ingénieur - Ingénieur diplômé de l'Institut supérieur d'électronique de Paris</t>
        </is>
      </c>
      <c r="L1834" s="45" t="inlineStr">
        <is>
          <t>31/12/2030</t>
        </is>
      </c>
      <c r="M1834" s="45" t="inlineStr"/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Titre ingénieur - Diplôme d'ingénieur d'Efrei Paris (Université Paris- Panthéon Assas)</t>
        </is>
      </c>
      <c r="L1835" s="45" t="inlineStr">
        <is>
          <t>31/12/2030</t>
        </is>
      </c>
      <c r="M1835" s="45" t="inlineStr"/>
      <c r="N1835" s="50" t="inlineStr">
        <is>
          <t>NON</t>
        </is>
      </c>
      <c r="O1835" s="45" t="inlineStr"/>
    </row>
    <row r="1836" customFormat="1" s="3">
      <c r="A1836" s="45" t="n"/>
      <c r="B1836" s="46" t="inlineStr">
        <is>
          <t>24386</t>
        </is>
      </c>
      <c r="C1836" s="46">
        <f>LEFT(Tableau1[[#This Row],[Formacode]],3)</f>
        <v/>
      </c>
      <c r="D1836" s="47" t="n">
        <v>37572</v>
      </c>
      <c r="E1836" s="48">
        <f>"RNCP"&amp;D1836</f>
        <v/>
      </c>
      <c r="F1836" s="48" t="inlineStr">
        <is>
          <t>Grade_Licence - Sciences et Ingénierie - Transformation Numérique des Entreprises</t>
        </is>
      </c>
      <c r="G1836" s="49">
        <f>E1836&amp;" - "&amp;F1836</f>
        <v/>
      </c>
      <c r="H1836" s="36" t="inlineStr">
        <is>
          <t>RAS</t>
        </is>
      </c>
      <c r="I1836" s="45" t="inlineStr"/>
      <c r="J1836" s="45" t="inlineStr">
        <is>
          <t>RNCP37572</t>
        </is>
      </c>
      <c r="K1836" s="45" t="inlineStr">
        <is>
          <t>Grade_Licence - Sciences et Ingénierie - Transformation Numérique des Entreprises</t>
        </is>
      </c>
      <c r="L1836" s="45" t="inlineStr">
        <is>
          <t>31/12/2030</t>
        </is>
      </c>
      <c r="M1836" s="45" t="inlineStr"/>
      <c r="N1836" s="50" t="inlineStr">
        <is>
          <t>NON</t>
        </is>
      </c>
      <c r="O1836" s="45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Titre ingénieur - Ingénieur diplômé de l'Institut supérieur d'électronique de Paris</t>
        </is>
      </c>
      <c r="L1837" s="45" t="inlineStr">
        <is>
          <t>31/12/2030</t>
        </is>
      </c>
      <c r="M1837" s="45" t="inlineStr"/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Titre ingénieur - Diplôme d'ingénieur d'Efrei Paris (Université Paris- Panthéon Assas)</t>
        </is>
      </c>
      <c r="L1838" s="45" t="inlineStr">
        <is>
          <t>31/12/2030</t>
        </is>
      </c>
      <c r="M1838" s="45" t="inlineStr"/>
      <c r="N1838" s="50" t="inlineStr">
        <is>
          <t>NON</t>
        </is>
      </c>
      <c r="O1838" s="45" t="inlineStr"/>
    </row>
    <row r="1839" customFormat="1" s="3">
      <c r="A1839" s="45" t="n"/>
      <c r="B1839" s="46" t="inlineStr">
        <is>
          <t>24387</t>
        </is>
      </c>
      <c r="C1839" s="46">
        <f>LEFT(Tableau1[[#This Row],[Formacode]],3)</f>
        <v/>
      </c>
      <c r="D1839" s="47" t="n">
        <v>35307</v>
      </c>
      <c r="E1839" s="48">
        <f>"RNCP"&amp;D1839</f>
        <v/>
      </c>
      <c r="F1839" s="48" t="inlineStr">
        <is>
          <t>TP - Electronicien de tests et développement</t>
        </is>
      </c>
      <c r="G1839" s="49">
        <f>E1839&amp;" - "&amp;F1839</f>
        <v/>
      </c>
      <c r="H1839" s="36" t="inlineStr">
        <is>
          <t>RAS</t>
        </is>
      </c>
      <c r="I1839" s="45" t="inlineStr"/>
      <c r="J1839" s="45" t="inlineStr">
        <is>
          <t>RNCP35307</t>
        </is>
      </c>
      <c r="K1839" s="45" t="inlineStr">
        <is>
          <t>TP - Electronicien de tests et développement</t>
        </is>
      </c>
      <c r="L1839" s="45" t="inlineStr">
        <is>
          <t>31/12/2030</t>
        </is>
      </c>
      <c r="M1839" s="45" t="inlineStr"/>
      <c r="N1839" s="50" t="inlineStr">
        <is>
          <t>NON</t>
        </is>
      </c>
      <c r="O1839" s="45" t="inlineStr"/>
    </row>
    <row r="1840" customFormat="1" s="3">
      <c r="A1840" s="45" t="n"/>
      <c r="B1840" s="46" t="inlineStr">
        <is>
          <t>24387</t>
        </is>
      </c>
      <c r="C1840" s="46">
        <f>LEFT(Tableau1[[#This Row],[Formacode]],3)</f>
        <v/>
      </c>
      <c r="D1840" s="47" t="n">
        <v>37572</v>
      </c>
      <c r="E1840" s="48">
        <f>"RNCP"&amp;D1840</f>
        <v/>
      </c>
      <c r="F1840" s="48" t="inlineStr">
        <is>
          <t>Grade_Licence - Sciences et Ingénierie - Transformation Numérique des Entreprises</t>
        </is>
      </c>
      <c r="G1840" s="49">
        <f>E1840&amp;" - "&amp;F1840</f>
        <v/>
      </c>
      <c r="H1840" s="36" t="inlineStr">
        <is>
          <t>RAS</t>
        </is>
      </c>
      <c r="I1840" s="45" t="inlineStr"/>
      <c r="J1840" s="45" t="inlineStr">
        <is>
          <t>RNCP37572</t>
        </is>
      </c>
      <c r="K1840" s="45" t="inlineStr">
        <is>
          <t>Grade_Licence - Sciences et Ingénierie - Transformation Numérique des Entreprises</t>
        </is>
      </c>
      <c r="L1840" s="45" t="inlineStr">
        <is>
          <t>31/12/2030</t>
        </is>
      </c>
      <c r="M1840" s="45" t="inlineStr"/>
      <c r="N1840" s="50" t="inlineStr">
        <is>
          <t>NON</t>
        </is>
      </c>
      <c r="O1840" s="45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Titre ingénieur - Ingénieur diplômé de l'Institut supérieur d'électronique de Paris</t>
        </is>
      </c>
      <c r="L1841" s="45" t="inlineStr">
        <is>
          <t>31/12/2030</t>
        </is>
      </c>
      <c r="M1841" s="45" t="inlineStr"/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Titre ingénieur - Diplôme d'ingénieur d'Efrei Paris (Université Paris- Panthéon Assas)</t>
        </is>
      </c>
      <c r="L1842" s="45" t="inlineStr">
        <is>
          <t>31/12/2030</t>
        </is>
      </c>
      <c r="M1842" s="45" t="inlineStr"/>
      <c r="N1842" s="50" t="inlineStr">
        <is>
          <t>NON</t>
        </is>
      </c>
      <c r="O1842" s="45" t="inlineStr"/>
    </row>
    <row r="1843" customFormat="1" s="3">
      <c r="A1843" s="45" t="n"/>
      <c r="B1843" s="46" t="inlineStr">
        <is>
          <t>24391</t>
        </is>
      </c>
      <c r="C1843" s="46">
        <f>LEFT(Tableau1[[#This Row],[Formacode]],3)</f>
        <v/>
      </c>
      <c r="D1843" s="47" t="n">
        <v>35307</v>
      </c>
      <c r="E1843" s="48">
        <f>"RNCP"&amp;D1843</f>
        <v/>
      </c>
      <c r="F1843" s="48" t="inlineStr">
        <is>
          <t>TP - Electronicien de tests et développement</t>
        </is>
      </c>
      <c r="G1843" s="49">
        <f>E1843&amp;" - "&amp;F1843</f>
        <v/>
      </c>
      <c r="H1843" s="36" t="inlineStr">
        <is>
          <t>RAS</t>
        </is>
      </c>
      <c r="I1843" s="45" t="inlineStr"/>
      <c r="J1843" s="45" t="inlineStr">
        <is>
          <t>RNCP35307</t>
        </is>
      </c>
      <c r="K1843" s="45" t="inlineStr">
        <is>
          <t>TP - Electronicien de tests et développement</t>
        </is>
      </c>
      <c r="L1843" s="45" t="inlineStr">
        <is>
          <t>31/12/2030</t>
        </is>
      </c>
      <c r="M1843" s="45" t="inlineStr"/>
      <c r="N1843" s="50" t="inlineStr">
        <is>
          <t>NON</t>
        </is>
      </c>
      <c r="O1843" s="45" t="inlineStr"/>
    </row>
    <row r="1844" customFormat="1" s="3">
      <c r="A1844" s="45" t="n"/>
      <c r="B1844" s="46" t="inlineStr">
        <is>
          <t>24391</t>
        </is>
      </c>
      <c r="C1844" s="46">
        <f>LEFT(Tableau1[[#This Row],[Formacode]],3)</f>
        <v/>
      </c>
      <c r="D1844" s="47" t="n">
        <v>37572</v>
      </c>
      <c r="E1844" s="48">
        <f>"RNCP"&amp;D1844</f>
        <v/>
      </c>
      <c r="F1844" s="48" t="inlineStr">
        <is>
          <t>Grade_Licence - Sciences et Ingénierie - Transformation Numérique des Entreprises</t>
        </is>
      </c>
      <c r="G1844" s="49">
        <f>E1844&amp;" - "&amp;F1844</f>
        <v/>
      </c>
      <c r="H1844" s="36" t="inlineStr">
        <is>
          <t>RAS</t>
        </is>
      </c>
      <c r="I1844" s="45" t="inlineStr"/>
      <c r="J1844" s="45" t="inlineStr">
        <is>
          <t>RNCP37572</t>
        </is>
      </c>
      <c r="K1844" s="45" t="inlineStr">
        <is>
          <t>Grade_Licence - Sciences et Ingénierie - Transformation Numérique des Entreprises</t>
        </is>
      </c>
      <c r="L1844" s="45" t="inlineStr">
        <is>
          <t>31/12/2030</t>
        </is>
      </c>
      <c r="M1844" s="45" t="inlineStr"/>
      <c r="N1844" s="50" t="inlineStr">
        <is>
          <t>NON</t>
        </is>
      </c>
      <c r="O1844" s="45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Titre ingénieur - Ingénieur diplômé de l'Institut supérieur d'électronique de Paris</t>
        </is>
      </c>
      <c r="L1845" s="45" t="inlineStr">
        <is>
          <t>31/12/2030</t>
        </is>
      </c>
      <c r="M1845" s="45" t="inlineStr"/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Titre ingénieur - Diplôme d'ingénieur d'Efrei Paris (Université Paris- Panthéon Assas)</t>
        </is>
      </c>
      <c r="L1846" s="45" t="inlineStr">
        <is>
          <t>31/12/2030</t>
        </is>
      </c>
      <c r="M1846" s="45" t="inlineStr"/>
      <c r="N1846" s="50" t="inlineStr">
        <is>
          <t>NON</t>
        </is>
      </c>
      <c r="O1846" s="45" t="inlineStr"/>
    </row>
    <row r="1847" customFormat="1" s="3">
      <c r="A1847" s="45" t="n"/>
      <c r="B1847" s="46" t="inlineStr">
        <is>
          <t>24392</t>
        </is>
      </c>
      <c r="C1847" s="46">
        <f>LEFT(Tableau1[[#This Row],[Formacode]],3)</f>
        <v/>
      </c>
      <c r="D1847" s="47" t="n">
        <v>35307</v>
      </c>
      <c r="E1847" s="48">
        <f>"RNCP"&amp;D1847</f>
        <v/>
      </c>
      <c r="F1847" s="48" t="inlineStr">
        <is>
          <t>TP - Electronicien de tests et développement</t>
        </is>
      </c>
      <c r="G1847" s="49">
        <f>E1847&amp;" - "&amp;F1847</f>
        <v/>
      </c>
      <c r="H1847" s="36" t="inlineStr">
        <is>
          <t>RAS</t>
        </is>
      </c>
      <c r="I1847" s="45" t="inlineStr"/>
      <c r="J1847" s="45" t="inlineStr">
        <is>
          <t>RNCP35307</t>
        </is>
      </c>
      <c r="K1847" s="45" t="inlineStr">
        <is>
          <t>TP - Electronicien de tests et développement</t>
        </is>
      </c>
      <c r="L1847" s="45" t="inlineStr">
        <is>
          <t>31/12/2030</t>
        </is>
      </c>
      <c r="M1847" s="45" t="inlineStr"/>
      <c r="N1847" s="50" t="inlineStr">
        <is>
          <t>NON</t>
        </is>
      </c>
      <c r="O1847" s="45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BTS - Cybersécurité, Informatique et réseaux, Électronique  - Option A : « Informatique et réseaux », Option B : « Électronique et réseaux »</t>
        </is>
      </c>
      <c r="L1848" s="45" t="inlineStr">
        <is>
          <t>31/12/2030</t>
        </is>
      </c>
      <c r="M1848" s="45" t="inlineStr"/>
      <c r="N1848" s="50" t="inlineStr">
        <is>
          <t>NON</t>
        </is>
      </c>
      <c r="O1848" s="45" t="inlineStr"/>
    </row>
    <row r="1849" customFormat="1" s="3">
      <c r="A1849" s="45" t="n"/>
      <c r="B1849" s="46" t="inlineStr">
        <is>
          <t>24392</t>
        </is>
      </c>
      <c r="C1849" s="46">
        <f>LEFT(Tableau1[[#This Row],[Formacode]],3)</f>
        <v/>
      </c>
      <c r="D1849" s="47" t="n">
        <v>37572</v>
      </c>
      <c r="E1849" s="48">
        <f>"RNCP"&amp;D1849</f>
        <v/>
      </c>
      <c r="F1849" s="48" t="inlineStr">
        <is>
          <t>Grade_Licence - Sciences et Ingénierie - Transformation Numérique des Entreprises</t>
        </is>
      </c>
      <c r="G1849" s="49">
        <f>E1849&amp;" - "&amp;F1849</f>
        <v/>
      </c>
      <c r="H1849" s="36" t="inlineStr">
        <is>
          <t>RAS</t>
        </is>
      </c>
      <c r="I1849" s="45" t="inlineStr"/>
      <c r="J1849" s="45" t="inlineStr">
        <is>
          <t>RNCP37572</t>
        </is>
      </c>
      <c r="K1849" s="45" t="inlineStr">
        <is>
          <t>Grade_Licence - Sciences et Ingénierie - Transformation Numérique des Entreprises</t>
        </is>
      </c>
      <c r="L1849" s="45" t="inlineStr">
        <is>
          <t>31/12/2030</t>
        </is>
      </c>
      <c r="M1849" s="45" t="inlineStr"/>
      <c r="N1849" s="50" t="inlineStr">
        <is>
          <t>NON</t>
        </is>
      </c>
      <c r="O1849" s="45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Titre ingénieur - Ingénieur diplômé de l'Institut supérieur d'électronique de Paris</t>
        </is>
      </c>
      <c r="L1850" s="45" t="inlineStr">
        <is>
          <t>31/12/2030</t>
        </is>
      </c>
      <c r="M1850" s="45" t="inlineStr"/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Titre ingénieur - Diplôme d'ingénieur d'Efrei Paris (Université Paris- Panthéon Assas)</t>
        </is>
      </c>
      <c r="L1851" s="45" t="inlineStr">
        <is>
          <t>31/12/2030</t>
        </is>
      </c>
      <c r="M1851" s="45" t="inlineStr"/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TP - Technicien de maintenance et de travaux en systèmes de sécurité incendie</t>
        </is>
      </c>
      <c r="L1852" s="45" t="inlineStr">
        <is>
          <t>31/12/2030</t>
        </is>
      </c>
      <c r="M1852" s="45" t="inlineStr"/>
      <c r="N1852" s="50" t="inlineStr">
        <is>
          <t>NON</t>
        </is>
      </c>
      <c r="O1852" s="45" t="inlineStr"/>
    </row>
    <row r="1853" customFormat="1" s="3">
      <c r="A1853" s="45" t="n"/>
      <c r="B1853" s="46" t="inlineStr">
        <is>
          <t>24396</t>
        </is>
      </c>
      <c r="C1853" s="46">
        <f>LEFT(Tableau1[[#This Row],[Formacode]],3)</f>
        <v/>
      </c>
      <c r="D1853" s="47" t="n">
        <v>37572</v>
      </c>
      <c r="E1853" s="48">
        <f>"RNCP"&amp;D1853</f>
        <v/>
      </c>
      <c r="F1853" s="48" t="inlineStr">
        <is>
          <t>Grade_Licence - Sciences et Ingénierie - Transformation Numérique des Entreprises</t>
        </is>
      </c>
      <c r="G1853" s="49">
        <f>E1853&amp;" - "&amp;F1853</f>
        <v/>
      </c>
      <c r="H1853" s="36" t="inlineStr">
        <is>
          <t>RAS</t>
        </is>
      </c>
      <c r="I1853" s="45" t="inlineStr"/>
      <c r="J1853" s="45" t="inlineStr">
        <is>
          <t>RNCP37572</t>
        </is>
      </c>
      <c r="K1853" s="45" t="inlineStr">
        <is>
          <t>Grade_Licence - Sciences et Ingénierie - Transformation Numérique des Entreprises</t>
        </is>
      </c>
      <c r="L1853" s="45" t="inlineStr">
        <is>
          <t>31/12/2030</t>
        </is>
      </c>
      <c r="M1853" s="45" t="inlineStr"/>
      <c r="N1853" s="50" t="inlineStr">
        <is>
          <t>NON</t>
        </is>
      </c>
      <c r="O1853" s="45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BAC PRO - Métiers de l'électricité et de ses environnements connectés</t>
        </is>
      </c>
      <c r="L1854" s="45" t="inlineStr">
        <is>
          <t>31/12/2030</t>
        </is>
      </c>
      <c r="M1854" s="45" t="inlineStr"/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Titre ingénieur - Ingénieur diplômé de l'Institut supérieur d'électronique de Paris</t>
        </is>
      </c>
      <c r="L1855" s="45" t="inlineStr">
        <is>
          <t>31/12/2030</t>
        </is>
      </c>
      <c r="M1855" s="45" t="inlineStr"/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Titre ingénieur - Diplôme d'ingénieur d'Efrei Paris (Université Paris- Panthéon Assas)</t>
        </is>
      </c>
      <c r="L1856" s="45" t="inlineStr">
        <is>
          <t>31/12/2030</t>
        </is>
      </c>
      <c r="M1856" s="45" t="inlineStr"/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TP - Technicien en systèmes de sûreté</t>
        </is>
      </c>
      <c r="L1857" s="45" t="inlineStr">
        <is>
          <t>31/12/2030</t>
        </is>
      </c>
      <c r="M1857" s="45" t="inlineStr"/>
      <c r="N1857" s="50" t="inlineStr">
        <is>
          <t>NON</t>
        </is>
      </c>
      <c r="O1857" s="45" t="inlineStr"/>
    </row>
    <row r="1858" customFormat="1" s="3">
      <c r="A1858" s="45" t="n"/>
      <c r="B1858" s="46" t="inlineStr">
        <is>
          <t>24422</t>
        </is>
      </c>
      <c r="C1858" s="46">
        <f>LEFT(Tableau1[[#This Row],[Formacode]],3)</f>
        <v/>
      </c>
      <c r="D1858" s="47" t="n">
        <v>37572</v>
      </c>
      <c r="E1858" s="48">
        <f>"RNCP"&amp;D1858</f>
        <v/>
      </c>
      <c r="F1858" s="48" t="inlineStr">
        <is>
          <t>Grade_Licence - Sciences et Ingénierie - Transformation Numérique des Entreprises</t>
        </is>
      </c>
      <c r="G1858" s="49">
        <f>E1858&amp;" - "&amp;F1858</f>
        <v/>
      </c>
      <c r="H1858" s="36" t="inlineStr">
        <is>
          <t>RAS</t>
        </is>
      </c>
      <c r="I1858" s="45" t="inlineStr"/>
      <c r="J1858" s="45" t="inlineStr">
        <is>
          <t>RNCP37572</t>
        </is>
      </c>
      <c r="K1858" s="45" t="inlineStr">
        <is>
          <t>Grade_Licence - Sciences et Ingénierie - Transformation Numérique des Entreprises</t>
        </is>
      </c>
      <c r="L1858" s="45" t="inlineStr">
        <is>
          <t>31/12/2030</t>
        </is>
      </c>
      <c r="M1858" s="45" t="inlineStr"/>
      <c r="N1858" s="50" t="inlineStr">
        <is>
          <t>NON</t>
        </is>
      </c>
      <c r="O1858" s="45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TP - Technicien supérieur en automatique et informatique industrielle</t>
        </is>
      </c>
      <c r="L1859" s="45" t="inlineStr">
        <is>
          <t>31/12/2030</t>
        </is>
      </c>
      <c r="M1859" s="45" t="inlineStr"/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31/12/2030</t>
        </is>
      </c>
      <c r="M1860" s="45" t="inlineStr"/>
      <c r="N1860" s="50" t="inlineStr">
        <is>
          <t>NON</t>
        </is>
      </c>
      <c r="O1860" s="45" t="inlineStr"/>
    </row>
    <row r="1861" customFormat="1" s="3">
      <c r="A1861" s="45" t="n"/>
      <c r="B1861" s="46" t="inlineStr">
        <is>
          <t>24424</t>
        </is>
      </c>
      <c r="C1861" s="46">
        <f>LEFT(Tableau1[[#This Row],[Formacode]],3)</f>
        <v/>
      </c>
      <c r="D1861" s="47" t="n">
        <v>36969</v>
      </c>
      <c r="E1861" s="48">
        <f>"RNCP"&amp;D1861</f>
        <v/>
      </c>
      <c r="F1861" s="48" t="inlineStr">
        <is>
          <t>BTS - Mécatronique navale</t>
        </is>
      </c>
      <c r="G1861" s="49">
        <f>E1861&amp;" - "&amp;F1861</f>
        <v/>
      </c>
      <c r="H1861" s="36" t="inlineStr">
        <is>
          <t>RAS</t>
        </is>
      </c>
      <c r="I1861" s="45" t="inlineStr"/>
      <c r="J1861" s="45" t="inlineStr">
        <is>
          <t>RNCP36969</t>
        </is>
      </c>
      <c r="K1861" s="45" t="inlineStr">
        <is>
          <t>BTS - Mécatronique navale</t>
        </is>
      </c>
      <c r="L1861" s="45" t="inlineStr">
        <is>
          <t>31/12/2030</t>
        </is>
      </c>
      <c r="M1861" s="45" t="inlineStr"/>
      <c r="N1861" s="50" t="inlineStr">
        <is>
          <t>NON</t>
        </is>
      </c>
      <c r="O1861" s="45" t="inlineStr"/>
    </row>
    <row r="1862" customFormat="1" s="3">
      <c r="A1862" s="45" t="n"/>
      <c r="B1862" s="46" t="inlineStr">
        <is>
          <t>24424</t>
        </is>
      </c>
      <c r="C1862" s="46">
        <f>LEFT(Tableau1[[#This Row],[Formacode]],3)</f>
        <v/>
      </c>
      <c r="D1862" s="47" t="n">
        <v>37572</v>
      </c>
      <c r="E1862" s="48">
        <f>"RNCP"&amp;D1862</f>
        <v/>
      </c>
      <c r="F1862" s="48" t="inlineStr">
        <is>
          <t>Grade_Licence - Sciences et Ingénierie - Transformation Numérique des Entreprises</t>
        </is>
      </c>
      <c r="G1862" s="49">
        <f>E1862&amp;" - "&amp;F1862</f>
        <v/>
      </c>
      <c r="H1862" s="36" t="inlineStr">
        <is>
          <t>RAS</t>
        </is>
      </c>
      <c r="I1862" s="45" t="inlineStr"/>
      <c r="J1862" s="45" t="inlineStr">
        <is>
          <t>RNCP37572</t>
        </is>
      </c>
      <c r="K1862" s="45" t="inlineStr">
        <is>
          <t>Grade_Licence - Sciences et Ingénierie - Transformation Numérique des Entreprises</t>
        </is>
      </c>
      <c r="L1862" s="45" t="inlineStr">
        <is>
          <t>31/12/2030</t>
        </is>
      </c>
      <c r="M1862" s="45" t="inlineStr"/>
      <c r="N1862" s="50" t="inlineStr">
        <is>
          <t>NON</t>
        </is>
      </c>
      <c r="O1862" s="45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31/12/2030</t>
        </is>
      </c>
      <c r="M1863" s="45" t="inlineStr"/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TP - Tourneur en réalisation de pièces mécaniques</t>
        </is>
      </c>
      <c r="L1864" s="45" t="inlineStr">
        <is>
          <t>31/12/2030</t>
        </is>
      </c>
      <c r="M1864" s="45" t="inlineStr"/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TP - Fraiseur en réalisation de pièces mécaniques</t>
        </is>
      </c>
      <c r="L1865" s="45" t="inlineStr">
        <is>
          <t>31/12/2030</t>
        </is>
      </c>
      <c r="M1865" s="45" t="inlineStr"/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TP - Régleur décolleteur</t>
        </is>
      </c>
      <c r="L1866" s="45" t="inlineStr">
        <is>
          <t>31/12/2030</t>
        </is>
      </c>
      <c r="M1866" s="45" t="inlineStr"/>
      <c r="N1866" s="50" t="inlineStr">
        <is>
          <t>NON</t>
        </is>
      </c>
      <c r="O1866" s="45" t="inlineStr"/>
    </row>
    <row r="1867" customFormat="1" s="3">
      <c r="A1867" s="45" t="n"/>
      <c r="B1867" s="46" t="inlineStr">
        <is>
          <t>24425</t>
        </is>
      </c>
      <c r="C1867" s="46">
        <f>LEFT(Tableau1[[#This Row],[Formacode]],3)</f>
        <v/>
      </c>
      <c r="D1867" s="47" t="n">
        <v>37572</v>
      </c>
      <c r="E1867" s="48">
        <f>"RNCP"&amp;D1867</f>
        <v/>
      </c>
      <c r="F1867" s="48" t="inlineStr">
        <is>
          <t>Grade_Licence - Sciences et Ingénierie - Transformation Numérique des Entreprises</t>
        </is>
      </c>
      <c r="G1867" s="49">
        <f>E1867&amp;" - "&amp;F1867</f>
        <v/>
      </c>
      <c r="H1867" s="36" t="inlineStr">
        <is>
          <t>RAS</t>
        </is>
      </c>
      <c r="I1867" s="45" t="inlineStr"/>
      <c r="J1867" s="45" t="inlineStr">
        <is>
          <t>RNCP37572</t>
        </is>
      </c>
      <c r="K1867" s="45" t="inlineStr">
        <is>
          <t>Grade_Licence - Sciences et Ingénierie - Transformation Numérique des Entreprises</t>
        </is>
      </c>
      <c r="L1867" s="45" t="inlineStr">
        <is>
          <t>31/12/2030</t>
        </is>
      </c>
      <c r="M1867" s="45" t="inlineStr"/>
      <c r="N1867" s="50" t="inlineStr">
        <is>
          <t>NON</t>
        </is>
      </c>
      <c r="O1867" s="45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31/12/2030</t>
        </is>
      </c>
      <c r="M1868" s="45" t="inlineStr"/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31/12/2030</t>
        </is>
      </c>
      <c r="M1869" s="45" t="inlineStr"/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31/12/2030</t>
        </is>
      </c>
      <c r="M1870" s="45" t="inlineStr"/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31/12/2030</t>
        </is>
      </c>
      <c r="M1871" s="45" t="inlineStr"/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TP - Technicien en usinage assisté par ordinateur</t>
        </is>
      </c>
      <c r="L1872" s="45" t="inlineStr">
        <is>
          <t>31/12/2030</t>
        </is>
      </c>
      <c r="M1872" s="45" t="inlineStr"/>
      <c r="N1872" s="50" t="inlineStr">
        <is>
          <t>NON</t>
        </is>
      </c>
      <c r="O1872" s="45" t="inlineStr"/>
    </row>
    <row r="1873" customFormat="1" s="3">
      <c r="A1873" s="45" t="n"/>
      <c r="B1873" s="46" t="inlineStr">
        <is>
          <t>24426</t>
        </is>
      </c>
      <c r="C1873" s="46">
        <f>LEFT(Tableau1[[#This Row],[Formacode]],3)</f>
        <v/>
      </c>
      <c r="D1873" s="47" t="n">
        <v>37572</v>
      </c>
      <c r="E1873" s="48">
        <f>"RNCP"&amp;D1873</f>
        <v/>
      </c>
      <c r="F1873" s="48" t="inlineStr">
        <is>
          <t>Grade_Licence - Sciences et Ingénierie - Transformation Numérique des Entreprises</t>
        </is>
      </c>
      <c r="G1873" s="49">
        <f>E1873&amp;" - "&amp;F1873</f>
        <v/>
      </c>
      <c r="H1873" s="36" t="inlineStr">
        <is>
          <t>RAS</t>
        </is>
      </c>
      <c r="I1873" s="45" t="inlineStr"/>
      <c r="J1873" s="45" t="inlineStr">
        <is>
          <t>RNCP37572</t>
        </is>
      </c>
      <c r="K1873" s="45" t="inlineStr">
        <is>
          <t>Grade_Licence - Sciences et Ingénierie - Transformation Numérique des Entreprises</t>
        </is>
      </c>
      <c r="L1873" s="45" t="inlineStr">
        <is>
          <t>31/12/2030</t>
        </is>
      </c>
      <c r="M1873" s="45" t="inlineStr"/>
      <c r="N1873" s="50" t="inlineStr">
        <is>
          <t>NON</t>
        </is>
      </c>
      <c r="O1873" s="45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31/12/2030</t>
        </is>
      </c>
      <c r="M1874" s="45" t="inlineStr"/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31/12/2030</t>
        </is>
      </c>
      <c r="M1875" s="45" t="inlineStr"/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31/12/2030</t>
        </is>
      </c>
      <c r="M1876" s="45" t="inlineStr"/>
      <c r="N1876" s="50" t="inlineStr">
        <is>
          <t>NON</t>
        </is>
      </c>
      <c r="O1876" s="45" t="inlineStr"/>
    </row>
    <row r="1877" customFormat="1" s="3">
      <c r="A1877" s="45" t="n"/>
      <c r="B1877" s="46" t="inlineStr">
        <is>
          <t>24427</t>
        </is>
      </c>
      <c r="C1877" s="46">
        <f>LEFT(Tableau1[[#This Row],[Formacode]],3)</f>
        <v/>
      </c>
      <c r="D1877" s="47" t="n">
        <v>37572</v>
      </c>
      <c r="E1877" s="48">
        <f>"RNCP"&amp;D1877</f>
        <v/>
      </c>
      <c r="F1877" s="48" t="inlineStr">
        <is>
          <t>Grade_Licence - Sciences et Ingénierie - Transformation Numérique des Entreprises</t>
        </is>
      </c>
      <c r="G1877" s="49">
        <f>E1877&amp;" - "&amp;F1877</f>
        <v/>
      </c>
      <c r="H1877" s="36" t="inlineStr">
        <is>
          <t>RAS</t>
        </is>
      </c>
      <c r="I1877" s="45" t="inlineStr"/>
      <c r="J1877" s="45" t="inlineStr">
        <is>
          <t>RNCP37572</t>
        </is>
      </c>
      <c r="K1877" s="45" t="inlineStr">
        <is>
          <t>Grade_Licence - Sciences et Ingénierie - Transformation Numérique des Entreprises</t>
        </is>
      </c>
      <c r="L1877" s="45" t="inlineStr">
        <is>
          <t>31/12/2030</t>
        </is>
      </c>
      <c r="M1877" s="45" t="inlineStr"/>
      <c r="N1877" s="50" t="inlineStr">
        <is>
          <t>NON</t>
        </is>
      </c>
      <c r="O1877" s="45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TP - Technicien supérieur en automatique et informatique industrielle</t>
        </is>
      </c>
      <c r="L1878" s="45" t="inlineStr">
        <is>
          <t>31/12/2030</t>
        </is>
      </c>
      <c r="M1878" s="45" t="inlineStr"/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31/12/2030</t>
        </is>
      </c>
      <c r="M1879" s="45" t="inlineStr"/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BAC PRO - Pilote de ligne de production</t>
        </is>
      </c>
      <c r="L1880" s="45" t="inlineStr">
        <is>
          <t>31/12/2030</t>
        </is>
      </c>
      <c r="M1880" s="45" t="inlineStr"/>
      <c r="N1880" s="50" t="inlineStr">
        <is>
          <t>NON</t>
        </is>
      </c>
      <c r="O1880" s="45" t="inlineStr"/>
    </row>
    <row r="1881" ht="43.2" customFormat="1" customHeight="1" s="3">
      <c r="A1881" s="45" t="n"/>
      <c r="B1881" s="46" t="inlineStr">
        <is>
          <t>24431</t>
        </is>
      </c>
      <c r="C1881" s="46">
        <f>LEFT(Tableau1[[#This Row],[Formacode]],3)</f>
        <v/>
      </c>
      <c r="D1881" s="47" t="n">
        <v>36968</v>
      </c>
      <c r="E1881" s="48">
        <f>"RNCP"&amp;D1881</f>
        <v/>
      </c>
      <c r="F1881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49">
        <f>E1881&amp;" - "&amp;F1881</f>
        <v/>
      </c>
      <c r="H1881" s="36" t="inlineStr">
        <is>
          <t>RAS</t>
        </is>
      </c>
      <c r="I1881" s="45" t="inlineStr"/>
      <c r="J1881" s="45" t="inlineStr">
        <is>
          <t>RNCP36968</t>
        </is>
      </c>
      <c r="K1881" s="45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L1881" s="45" t="inlineStr">
        <is>
          <t>31/12/2030</t>
        </is>
      </c>
      <c r="M1881" s="45" t="inlineStr"/>
      <c r="N1881" s="50" t="inlineStr">
        <is>
          <t>NON</t>
        </is>
      </c>
      <c r="O1881" s="45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BTS - Conception et réalisation de systèmes automatiques</t>
        </is>
      </c>
      <c r="L1882" s="45" t="inlineStr">
        <is>
          <t>31/12/2030</t>
        </is>
      </c>
      <c r="M1882" s="45" t="inlineStr"/>
      <c r="N1882" s="50" t="inlineStr">
        <is>
          <t>NON</t>
        </is>
      </c>
      <c r="O1882" s="45" t="inlineStr"/>
    </row>
    <row r="1883" customFormat="1" s="3">
      <c r="A1883" s="45" t="n"/>
      <c r="B1883" s="46" t="inlineStr">
        <is>
          <t>24431</t>
        </is>
      </c>
      <c r="C1883" s="46">
        <f>LEFT(Tableau1[[#This Row],[Formacode]],3)</f>
        <v/>
      </c>
      <c r="D1883" s="47" t="n">
        <v>37239</v>
      </c>
      <c r="E1883" s="48">
        <f>"RNCP"&amp;D1883</f>
        <v/>
      </c>
      <c r="F1883" s="48" t="inlineStr">
        <is>
          <t>Brevet professionnel - Pilote d'installations de production par procédés</t>
        </is>
      </c>
      <c r="G1883" s="49">
        <f>E1883&amp;" - "&amp;F1883</f>
        <v/>
      </c>
      <c r="H1883" s="36" t="inlineStr">
        <is>
          <t>RAS</t>
        </is>
      </c>
      <c r="I1883" s="45" t="inlineStr"/>
      <c r="J1883" s="45" t="inlineStr">
        <is>
          <t>RNCP37239</t>
        </is>
      </c>
      <c r="K1883" s="45" t="inlineStr">
        <is>
          <t>Brevet professionnel - Pilote d'installations de production par procédés</t>
        </is>
      </c>
      <c r="L1883" s="45" t="inlineStr">
        <is>
          <t>31/12/2030</t>
        </is>
      </c>
      <c r="M1883" s="45" t="inlineStr"/>
      <c r="N1883" s="50" t="inlineStr">
        <is>
          <t>NON</t>
        </is>
      </c>
      <c r="O1883" s="45" t="inlineStr"/>
    </row>
    <row r="1884" customFormat="1" s="3">
      <c r="A1884" s="45" t="n"/>
      <c r="B1884" s="46" t="inlineStr">
        <is>
          <t>24431</t>
        </is>
      </c>
      <c r="C1884" s="46">
        <f>LEFT(Tableau1[[#This Row],[Formacode]],3)</f>
        <v/>
      </c>
      <c r="D1884" s="47" t="n">
        <v>37329</v>
      </c>
      <c r="E1884" s="48">
        <f>"RNCP"&amp;D1884</f>
        <v/>
      </c>
      <c r="F1884" s="48" t="inlineStr">
        <is>
          <t>Technicien supérieur en automatisme et interfaces associées</t>
        </is>
      </c>
      <c r="G1884" s="49">
        <f>E1884&amp;" - "&amp;F1884</f>
        <v/>
      </c>
      <c r="H1884" s="36" t="inlineStr">
        <is>
          <t>RAS</t>
        </is>
      </c>
      <c r="I1884" s="45" t="inlineStr"/>
      <c r="J1884" s="45" t="inlineStr">
        <is>
          <t>RNCP37329</t>
        </is>
      </c>
      <c r="K1884" s="45" t="inlineStr">
        <is>
          <t>Technicien supérieur en automatisme et interfaces associées</t>
        </is>
      </c>
      <c r="L1884" s="45" t="inlineStr">
        <is>
          <t>31/12/2030</t>
        </is>
      </c>
      <c r="M1884" s="45" t="inlineStr"/>
      <c r="N1884" s="50" t="inlineStr">
        <is>
          <t>NON</t>
        </is>
      </c>
      <c r="O1884" s="45" t="inlineStr"/>
    </row>
    <row r="1885" customFormat="1" s="3">
      <c r="A1885" s="45" t="n"/>
      <c r="B1885" s="46" t="inlineStr">
        <is>
          <t>24431</t>
        </is>
      </c>
      <c r="C1885" s="46">
        <f>LEFT(Tableau1[[#This Row],[Formacode]],3)</f>
        <v/>
      </c>
      <c r="D1885" s="47" t="n">
        <v>37572</v>
      </c>
      <c r="E1885" s="48">
        <f>"RNCP"&amp;D1885</f>
        <v/>
      </c>
      <c r="F1885" s="48" t="inlineStr">
        <is>
          <t>Grade_Licence - Sciences et Ingénierie - Transformation Numérique des Entreprises</t>
        </is>
      </c>
      <c r="G1885" s="49">
        <f>E1885&amp;" - "&amp;F1885</f>
        <v/>
      </c>
      <c r="H1885" s="36" t="inlineStr">
        <is>
          <t>RAS</t>
        </is>
      </c>
      <c r="I1885" s="45" t="inlineStr"/>
      <c r="J1885" s="45" t="inlineStr">
        <is>
          <t>RNCP37572</t>
        </is>
      </c>
      <c r="K1885" s="45" t="inlineStr">
        <is>
          <t>Grade_Licence - Sciences et Ingénierie - Transformation Numérique des Entreprises</t>
        </is>
      </c>
      <c r="L1885" s="45" t="inlineStr">
        <is>
          <t>31/12/2030</t>
        </is>
      </c>
      <c r="M1885" s="45" t="inlineStr"/>
      <c r="N1885" s="50" t="inlineStr">
        <is>
          <t>NON</t>
        </is>
      </c>
      <c r="O1885" s="45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TP - Electricien d'installation et de maintenance des systèmes automatisés</t>
        </is>
      </c>
      <c r="L1886" s="45" t="inlineStr">
        <is>
          <t>31/12/2030</t>
        </is>
      </c>
      <c r="M1886" s="45" t="inlineStr"/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31/12/2030</t>
        </is>
      </c>
      <c r="M1887" s="45" t="inlineStr"/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31/12/2030</t>
        </is>
      </c>
      <c r="M1888" s="45" t="inlineStr"/>
      <c r="N1888" s="50" t="inlineStr">
        <is>
          <t>NON</t>
        </is>
      </c>
      <c r="O1888" s="45" t="inlineStr"/>
    </row>
    <row r="1889" customFormat="1" s="3">
      <c r="A1889" s="45" t="n"/>
      <c r="B1889" s="46" t="inlineStr">
        <is>
          <t>24447</t>
        </is>
      </c>
      <c r="C1889" s="46">
        <f>LEFT(Tableau1[[#This Row],[Formacode]],3)</f>
        <v/>
      </c>
      <c r="D1889" s="47" t="n">
        <v>36332</v>
      </c>
      <c r="E1889" s="48">
        <f>"RNCP"&amp;D1889</f>
        <v/>
      </c>
      <c r="F1889" s="48" t="inlineStr">
        <is>
          <t>CS - Maintenance des installations oléohydrauliques et pneumatiques</t>
        </is>
      </c>
      <c r="G1889" s="49">
        <f>E1889&amp;" - "&amp;F1889</f>
        <v/>
      </c>
      <c r="H1889" s="36" t="inlineStr">
        <is>
          <t>RAS</t>
        </is>
      </c>
      <c r="I1889" s="45" t="inlineStr"/>
      <c r="J1889" s="45" t="inlineStr">
        <is>
          <t>RNCP36332</t>
        </is>
      </c>
      <c r="K1889" s="45" t="inlineStr">
        <is>
          <t>CS - Maintenance des installations oléohydrauliques et pneumatiques</t>
        </is>
      </c>
      <c r="L1889" s="45" t="inlineStr">
        <is>
          <t>31/12/2030</t>
        </is>
      </c>
      <c r="M1889" s="45" t="inlineStr"/>
      <c r="N1889" s="50" t="inlineStr">
        <is>
          <t>NON</t>
        </is>
      </c>
      <c r="O1889" s="45" t="inlineStr"/>
    </row>
    <row r="1890" customFormat="1" s="3">
      <c r="A1890" s="45" t="n"/>
      <c r="B1890" s="46" t="inlineStr">
        <is>
          <t>24447</t>
        </is>
      </c>
      <c r="C1890" s="46">
        <f>LEFT(Tableau1[[#This Row],[Formacode]],3)</f>
        <v/>
      </c>
      <c r="D1890" s="47" t="n">
        <v>37572</v>
      </c>
      <c r="E1890" s="48">
        <f>"RNCP"&amp;D1890</f>
        <v/>
      </c>
      <c r="F1890" s="48" t="inlineStr">
        <is>
          <t>Grade_Licence - Sciences et Ingénierie - Transformation Numérique des Entreprises</t>
        </is>
      </c>
      <c r="G1890" s="49">
        <f>E1890&amp;" - "&amp;F1890</f>
        <v/>
      </c>
      <c r="H1890" s="36" t="inlineStr">
        <is>
          <t>RAS</t>
        </is>
      </c>
      <c r="I1890" s="45" t="inlineStr"/>
      <c r="J1890" s="45" t="inlineStr">
        <is>
          <t>RNCP37572</t>
        </is>
      </c>
      <c r="K1890" s="45" t="inlineStr">
        <is>
          <t>Grade_Licence - Sciences et Ingénierie - Transformation Numérique des Entreprises</t>
        </is>
      </c>
      <c r="L1890" s="45" t="inlineStr">
        <is>
          <t>31/12/2030</t>
        </is>
      </c>
      <c r="M1890" s="45" t="inlineStr"/>
      <c r="N1890" s="50" t="inlineStr">
        <is>
          <t>NON</t>
        </is>
      </c>
      <c r="O1890" s="45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31/12/2030</t>
        </is>
      </c>
      <c r="M1891" s="45" t="inlineStr"/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31/12/2030</t>
        </is>
      </c>
      <c r="M1892" s="45" t="inlineStr"/>
      <c r="N1892" s="50" t="inlineStr">
        <is>
          <t>NON</t>
        </is>
      </c>
      <c r="O1892" s="45" t="inlineStr"/>
    </row>
    <row r="1893" customFormat="1" s="3">
      <c r="A1893" s="45" t="n"/>
      <c r="B1893" s="46" t="inlineStr">
        <is>
          <t>24451</t>
        </is>
      </c>
      <c r="C1893" s="46">
        <f>LEFT(Tableau1[[#This Row],[Formacode]],3)</f>
        <v/>
      </c>
      <c r="D1893" s="47" t="n">
        <v>37572</v>
      </c>
      <c r="E1893" s="48">
        <f>"RNCP"&amp;D1893</f>
        <v/>
      </c>
      <c r="F1893" s="48" t="inlineStr">
        <is>
          <t>Grade_Licence - Sciences et Ingénierie - Transformation Numérique des Entreprises</t>
        </is>
      </c>
      <c r="G1893" s="49">
        <f>E1893&amp;" - "&amp;F1893</f>
        <v/>
      </c>
      <c r="H1893" s="36" t="inlineStr">
        <is>
          <t>RAS</t>
        </is>
      </c>
      <c r="I1893" s="45" t="inlineStr"/>
      <c r="J1893" s="45" t="inlineStr">
        <is>
          <t>RNCP37572</t>
        </is>
      </c>
      <c r="K1893" s="45" t="inlineStr">
        <is>
          <t>Grade_Licence - Sciences et Ingénierie - Transformation Numérique des Entreprises</t>
        </is>
      </c>
      <c r="L1893" s="45" t="inlineStr">
        <is>
          <t>31/12/2030</t>
        </is>
      </c>
      <c r="M1893" s="45" t="inlineStr"/>
      <c r="N1893" s="50" t="inlineStr">
        <is>
          <t>NON</t>
        </is>
      </c>
      <c r="O1893" s="45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31/12/2030</t>
        </is>
      </c>
      <c r="M1894" s="45" t="inlineStr"/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31/12/2030</t>
        </is>
      </c>
      <c r="M1895" s="45" t="inlineStr"/>
      <c r="N1895" s="50" t="inlineStr">
        <is>
          <t>NON</t>
        </is>
      </c>
      <c r="O1895" s="45" t="inlineStr"/>
    </row>
    <row r="1896" customFormat="1" s="3">
      <c r="A1896" s="45" t="n"/>
      <c r="B1896" s="46" t="inlineStr">
        <is>
          <t>24457</t>
        </is>
      </c>
      <c r="C1896" s="46">
        <f>LEFT(Tableau1[[#This Row],[Formacode]],3)</f>
        <v/>
      </c>
      <c r="D1896" s="47" t="n">
        <v>36332</v>
      </c>
      <c r="E1896" s="48">
        <f>"RNCP"&amp;D1896</f>
        <v/>
      </c>
      <c r="F1896" s="48" t="inlineStr">
        <is>
          <t>CS - Maintenance des installations oléohydrauliques et pneumatiques</t>
        </is>
      </c>
      <c r="G1896" s="49">
        <f>E1896&amp;" - "&amp;F1896</f>
        <v/>
      </c>
      <c r="H1896" s="36" t="inlineStr">
        <is>
          <t>RAS</t>
        </is>
      </c>
      <c r="I1896" s="45" t="inlineStr"/>
      <c r="J1896" s="45" t="inlineStr">
        <is>
          <t>RNCP36332</t>
        </is>
      </c>
      <c r="K1896" s="45" t="inlineStr">
        <is>
          <t>CS - Maintenance des installations oléohydrauliques et pneumatiques</t>
        </is>
      </c>
      <c r="L1896" s="45" t="inlineStr">
        <is>
          <t>31/12/2030</t>
        </is>
      </c>
      <c r="M1896" s="45" t="inlineStr"/>
      <c r="N1896" s="50" t="inlineStr">
        <is>
          <t>NON</t>
        </is>
      </c>
      <c r="O1896" s="45" t="inlineStr"/>
    </row>
    <row r="1897" customFormat="1" s="3">
      <c r="A1897" s="45" t="n"/>
      <c r="B1897" s="46" t="inlineStr">
        <is>
          <t>24457</t>
        </is>
      </c>
      <c r="C1897" s="46">
        <f>LEFT(Tableau1[[#This Row],[Formacode]],3)</f>
        <v/>
      </c>
      <c r="D1897" s="47" t="n">
        <v>37572</v>
      </c>
      <c r="E1897" s="48">
        <f>"RNCP"&amp;D1897</f>
        <v/>
      </c>
      <c r="F1897" s="48" t="inlineStr">
        <is>
          <t>Grade_Licence - Sciences et Ingénierie - Transformation Numérique des Entreprises</t>
        </is>
      </c>
      <c r="G1897" s="49">
        <f>E1897&amp;" - "&amp;F1897</f>
        <v/>
      </c>
      <c r="H1897" s="36" t="inlineStr">
        <is>
          <t>RAS</t>
        </is>
      </c>
      <c r="I1897" s="45" t="inlineStr"/>
      <c r="J1897" s="45" t="inlineStr">
        <is>
          <t>RNCP37572</t>
        </is>
      </c>
      <c r="K1897" s="45" t="inlineStr">
        <is>
          <t>Grade_Licence - Sciences et Ingénierie - Transformation Numérique des Entreprises</t>
        </is>
      </c>
      <c r="L1897" s="45" t="inlineStr">
        <is>
          <t>31/12/2030</t>
        </is>
      </c>
      <c r="M1897" s="45" t="inlineStr"/>
      <c r="N1897" s="50" t="inlineStr">
        <is>
          <t>NON</t>
        </is>
      </c>
      <c r="O1897" s="45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31/12/2030</t>
        </is>
      </c>
      <c r="M1898" s="45" t="inlineStr"/>
      <c r="N1898" s="50" t="inlineStr">
        <is>
          <t>NON</t>
        </is>
      </c>
      <c r="O1898" s="45" t="inlineStr"/>
    </row>
    <row r="1899" customFormat="1" s="3">
      <c r="A1899" s="45" t="n"/>
      <c r="B1899" s="46" t="inlineStr">
        <is>
          <t>24461</t>
        </is>
      </c>
      <c r="C1899" s="46">
        <f>LEFT(Tableau1[[#This Row],[Formacode]],3)</f>
        <v/>
      </c>
      <c r="D1899" s="47" t="n">
        <v>37572</v>
      </c>
      <c r="E1899" s="48">
        <f>"RNCP"&amp;D1899</f>
        <v/>
      </c>
      <c r="F1899" s="48" t="inlineStr">
        <is>
          <t>Grade_Licence - Sciences et Ingénierie - Transformation Numérique des Entreprises</t>
        </is>
      </c>
      <c r="G1899" s="49">
        <f>E1899&amp;" - "&amp;F1899</f>
        <v/>
      </c>
      <c r="H1899" s="36" t="inlineStr">
        <is>
          <t>RAS</t>
        </is>
      </c>
      <c r="I1899" s="45" t="inlineStr"/>
      <c r="J1899" s="45" t="inlineStr">
        <is>
          <t>RNCP37572</t>
        </is>
      </c>
      <c r="K1899" s="45" t="inlineStr">
        <is>
          <t>Grade_Licence - Sciences et Ingénierie - Transformation Numérique des Entreprises</t>
        </is>
      </c>
      <c r="L1899" s="45" t="inlineStr">
        <is>
          <t>31/12/2030</t>
        </is>
      </c>
      <c r="M1899" s="45" t="inlineStr"/>
      <c r="N1899" s="50" t="inlineStr">
        <is>
          <t>NON</t>
        </is>
      </c>
      <c r="O1899" s="45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31/12/2030</t>
        </is>
      </c>
      <c r="M1900" s="45" t="inlineStr"/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BAC PRO - Pilote de ligne de production</t>
        </is>
      </c>
      <c r="L1901" s="45" t="inlineStr">
        <is>
          <t>31/12/2030</t>
        </is>
      </c>
      <c r="M1901" s="45" t="inlineStr"/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BTS - Conception et réalisation de systèmes automatiques</t>
        </is>
      </c>
      <c r="L1902" s="45" t="inlineStr">
        <is>
          <t>31/12/2030</t>
        </is>
      </c>
      <c r="M1902" s="45" t="inlineStr"/>
      <c r="N1902" s="50" t="inlineStr">
        <is>
          <t>NON</t>
        </is>
      </c>
      <c r="O1902" s="45" t="inlineStr"/>
    </row>
    <row r="1903" customFormat="1" s="3">
      <c r="A1903" s="45" t="n"/>
      <c r="B1903" s="46" t="inlineStr">
        <is>
          <t>24472</t>
        </is>
      </c>
      <c r="C1903" s="46">
        <f>LEFT(Tableau1[[#This Row],[Formacode]],3)</f>
        <v/>
      </c>
      <c r="D1903" s="47" t="n">
        <v>37239</v>
      </c>
      <c r="E1903" s="48">
        <f>"RNCP"&amp;D1903</f>
        <v/>
      </c>
      <c r="F1903" s="48" t="inlineStr">
        <is>
          <t>Brevet professionnel - Pilote d'installations de production par procédés</t>
        </is>
      </c>
      <c r="G1903" s="49">
        <f>E1903&amp;" - "&amp;F1903</f>
        <v/>
      </c>
      <c r="H1903" s="36" t="inlineStr">
        <is>
          <t>RAS</t>
        </is>
      </c>
      <c r="I1903" s="45" t="inlineStr"/>
      <c r="J1903" s="45" t="inlineStr">
        <is>
          <t>RNCP37239</t>
        </is>
      </c>
      <c r="K1903" s="45" t="inlineStr">
        <is>
          <t>Brevet professionnel - Pilote d'installations de production par procédés</t>
        </is>
      </c>
      <c r="L1903" s="45" t="inlineStr">
        <is>
          <t>31/12/2030</t>
        </is>
      </c>
      <c r="M1903" s="45" t="inlineStr"/>
      <c r="N1903" s="50" t="inlineStr">
        <is>
          <t>NON</t>
        </is>
      </c>
      <c r="O1903" s="45" t="inlineStr"/>
    </row>
    <row r="1904" customFormat="1" s="3">
      <c r="A1904" s="45" t="n"/>
      <c r="B1904" s="46" t="inlineStr">
        <is>
          <t>24472</t>
        </is>
      </c>
      <c r="C1904" s="46">
        <f>LEFT(Tableau1[[#This Row],[Formacode]],3)</f>
        <v/>
      </c>
      <c r="D1904" s="47" t="n">
        <v>37572</v>
      </c>
      <c r="E1904" s="48">
        <f>"RNCP"&amp;D1904</f>
        <v/>
      </c>
      <c r="F1904" s="48" t="inlineStr">
        <is>
          <t>Grade_Licence - Sciences et Ingénierie - Transformation Numérique des Entreprises</t>
        </is>
      </c>
      <c r="G1904" s="49">
        <f>E1904&amp;" - "&amp;F1904</f>
        <v/>
      </c>
      <c r="H1904" s="36" t="inlineStr">
        <is>
          <t>RAS</t>
        </is>
      </c>
      <c r="I1904" s="45" t="inlineStr"/>
      <c r="J1904" s="45" t="inlineStr">
        <is>
          <t>RNCP37572</t>
        </is>
      </c>
      <c r="K1904" s="45" t="inlineStr">
        <is>
          <t>Grade_Licence - Sciences et Ingénierie - Transformation Numérique des Entreprises</t>
        </is>
      </c>
      <c r="L1904" s="45" t="inlineStr">
        <is>
          <t>31/12/2030</t>
        </is>
      </c>
      <c r="M1904" s="45" t="inlineStr"/>
      <c r="N1904" s="50" t="inlineStr">
        <is>
          <t>NON</t>
        </is>
      </c>
      <c r="O1904" s="45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TP - Technicien supérieur en automatique et informatique industrielle</t>
        </is>
      </c>
      <c r="L1905" s="45" t="inlineStr">
        <is>
          <t>31/12/2030</t>
        </is>
      </c>
      <c r="M1905" s="45" t="inlineStr"/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31/12/2030</t>
        </is>
      </c>
      <c r="M1906" s="45" t="inlineStr"/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31/12/2030</t>
        </is>
      </c>
      <c r="M1907" s="45" t="inlineStr"/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31/12/2030</t>
        </is>
      </c>
      <c r="M1908" s="45" t="inlineStr"/>
      <c r="N1908" s="50" t="inlineStr">
        <is>
          <t>NON</t>
        </is>
      </c>
      <c r="O1908" s="45" t="inlineStr"/>
    </row>
    <row r="1909" customFormat="1" s="3">
      <c r="A1909" s="45" t="n"/>
      <c r="B1909" s="46" t="inlineStr">
        <is>
          <t>24478</t>
        </is>
      </c>
      <c r="C1909" s="46">
        <f>LEFT(Tableau1[[#This Row],[Formacode]],3)</f>
        <v/>
      </c>
      <c r="D1909" s="47" t="n">
        <v>37572</v>
      </c>
      <c r="E1909" s="48">
        <f>"RNCP"&amp;D1909</f>
        <v/>
      </c>
      <c r="F1909" s="48" t="inlineStr">
        <is>
          <t>Grade_Licence - Sciences et Ingénierie - Transformation Numérique des Entreprises</t>
        </is>
      </c>
      <c r="G1909" s="49">
        <f>E1909&amp;" - "&amp;F1909</f>
        <v/>
      </c>
      <c r="H1909" s="36" t="inlineStr">
        <is>
          <t>RAS</t>
        </is>
      </c>
      <c r="I1909" s="45" t="inlineStr"/>
      <c r="J1909" s="45" t="inlineStr">
        <is>
          <t>RNCP37572</t>
        </is>
      </c>
      <c r="K1909" s="45" t="inlineStr">
        <is>
          <t>Grade_Licence - Sciences et Ingénierie - Transformation Numérique des Entreprises</t>
        </is>
      </c>
      <c r="L1909" s="45" t="inlineStr">
        <is>
          <t>31/12/2030</t>
        </is>
      </c>
      <c r="M1909" s="45" t="inlineStr"/>
      <c r="N1909" s="50" t="inlineStr">
        <is>
          <t>NON</t>
        </is>
      </c>
      <c r="O1909" s="45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BTS - Contrôle industriel et régulation automatique</t>
        </is>
      </c>
      <c r="L1910" s="45" t="inlineStr">
        <is>
          <t>31/12/2030</t>
        </is>
      </c>
      <c r="M1910" s="45" t="inlineStr"/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TP - Technicien supérieur en automatique et informatique industrielle</t>
        </is>
      </c>
      <c r="L1911" s="45" t="inlineStr">
        <is>
          <t>31/12/2030</t>
        </is>
      </c>
      <c r="M1911" s="45" t="inlineStr"/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31/12/2030</t>
        </is>
      </c>
      <c r="M1912" s="45" t="inlineStr"/>
      <c r="N1912" s="50" t="inlineStr">
        <is>
          <t>NON</t>
        </is>
      </c>
      <c r="O1912" s="45" t="inlineStr"/>
    </row>
    <row r="1913" customFormat="1" s="3">
      <c r="A1913" s="45" t="n"/>
      <c r="B1913" s="46" t="inlineStr">
        <is>
          <t>24485</t>
        </is>
      </c>
      <c r="C1913" s="46">
        <f>LEFT(Tableau1[[#This Row],[Formacode]],3)</f>
        <v/>
      </c>
      <c r="D1913" s="47" t="n">
        <v>37572</v>
      </c>
      <c r="E1913" s="48">
        <f>"RNCP"&amp;D1913</f>
        <v/>
      </c>
      <c r="F1913" s="48" t="inlineStr">
        <is>
          <t>Grade_Licence - Sciences et Ingénierie - Transformation Numérique des Entreprises</t>
        </is>
      </c>
      <c r="G1913" s="49">
        <f>E1913&amp;" - "&amp;F1913</f>
        <v/>
      </c>
      <c r="H1913" s="36" t="inlineStr">
        <is>
          <t>RAS</t>
        </is>
      </c>
      <c r="I1913" s="45" t="inlineStr"/>
      <c r="J1913" s="45" t="inlineStr">
        <is>
          <t>RNCP37572</t>
        </is>
      </c>
      <c r="K1913" s="45" t="inlineStr">
        <is>
          <t>Grade_Licence - Sciences et Ingénierie - Transformation Numérique des Entreprises</t>
        </is>
      </c>
      <c r="L1913" s="45" t="inlineStr">
        <is>
          <t>31/12/2030</t>
        </is>
      </c>
      <c r="M1913" s="45" t="inlineStr"/>
      <c r="N1913" s="50" t="inlineStr">
        <is>
          <t>NON</t>
        </is>
      </c>
      <c r="O1913" s="45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31/12/2030</t>
        </is>
      </c>
      <c r="M1914" s="45" t="inlineStr"/>
      <c r="N1914" s="50" t="inlineStr">
        <is>
          <t>NON</t>
        </is>
      </c>
      <c r="O1914" s="45" t="inlineStr"/>
    </row>
    <row r="1915" customFormat="1" s="3">
      <c r="A1915" s="45" t="n"/>
      <c r="B1915" s="46" t="inlineStr">
        <is>
          <t>24487</t>
        </is>
      </c>
      <c r="C1915" s="46">
        <f>LEFT(Tableau1[[#This Row],[Formacode]],3)</f>
        <v/>
      </c>
      <c r="D1915" s="47" t="n">
        <v>37572</v>
      </c>
      <c r="E1915" s="48">
        <f>"RNCP"&amp;D1915</f>
        <v/>
      </c>
      <c r="F1915" s="48" t="inlineStr">
        <is>
          <t>Grade_Licence - Sciences et Ingénierie - Transformation Numérique des Entreprises</t>
        </is>
      </c>
      <c r="G1915" s="49">
        <f>E1915&amp;" - "&amp;F1915</f>
        <v/>
      </c>
      <c r="H1915" s="36" t="inlineStr">
        <is>
          <t>RAS</t>
        </is>
      </c>
      <c r="I1915" s="45" t="inlineStr"/>
      <c r="J1915" s="45" t="inlineStr">
        <is>
          <t>RNCP37572</t>
        </is>
      </c>
      <c r="K1915" s="45" t="inlineStr">
        <is>
          <t>Grade_Licence - Sciences et Ingénierie - Transformation Numérique des Entreprises</t>
        </is>
      </c>
      <c r="L1915" s="45" t="inlineStr">
        <is>
          <t>31/12/2030</t>
        </is>
      </c>
      <c r="M1915" s="45" t="inlineStr"/>
      <c r="N1915" s="50" t="inlineStr">
        <is>
          <t>NON</t>
        </is>
      </c>
      <c r="O1915" s="45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31/12/2030</t>
        </is>
      </c>
      <c r="M1916" s="45" t="inlineStr"/>
      <c r="N1916" s="50" t="inlineStr">
        <is>
          <t>NON</t>
        </is>
      </c>
      <c r="O1916" s="45" t="inlineStr"/>
    </row>
    <row r="1917" customFormat="1" s="3">
      <c r="A1917" s="45" t="n"/>
      <c r="B1917" s="46" t="inlineStr">
        <is>
          <t>24489</t>
        </is>
      </c>
      <c r="C1917" s="46">
        <f>LEFT(Tableau1[[#This Row],[Formacode]],3)</f>
        <v/>
      </c>
      <c r="D1917" s="47" t="n">
        <v>37572</v>
      </c>
      <c r="E1917" s="48">
        <f>"RNCP"&amp;D1917</f>
        <v/>
      </c>
      <c r="F1917" s="48" t="inlineStr">
        <is>
          <t>Grade_Licence - Sciences et Ingénierie - Transformation Numérique des Entreprises</t>
        </is>
      </c>
      <c r="G1917" s="49">
        <f>E1917&amp;" - "&amp;F1917</f>
        <v/>
      </c>
      <c r="H1917" s="36" t="inlineStr">
        <is>
          <t>RAS</t>
        </is>
      </c>
      <c r="I1917" s="45" t="inlineStr"/>
      <c r="J1917" s="45" t="inlineStr">
        <is>
          <t>RNCP37572</t>
        </is>
      </c>
      <c r="K1917" s="45" t="inlineStr">
        <is>
          <t>Grade_Licence - Sciences et Ingénierie - Transformation Numérique des Entreprises</t>
        </is>
      </c>
      <c r="L1917" s="45" t="inlineStr">
        <is>
          <t>31/12/2030</t>
        </is>
      </c>
      <c r="M1917" s="45" t="inlineStr"/>
      <c r="N1917" s="50" t="inlineStr">
        <is>
          <t>NON</t>
        </is>
      </c>
      <c r="O1917" s="45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31/12/2030</t>
        </is>
      </c>
      <c r="M1918" s="45" t="inlineStr"/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BTS - Cybersécurité, Informatique et réseaux, Électronique  - Option A : « Informatique et réseaux », Option B : « Électronique et réseaux »</t>
        </is>
      </c>
      <c r="L1919" s="45" t="inlineStr">
        <is>
          <t>31/12/2030</t>
        </is>
      </c>
      <c r="M1919" s="45" t="inlineStr"/>
      <c r="N1919" s="50" t="inlineStr">
        <is>
          <t>NON</t>
        </is>
      </c>
      <c r="O1919" s="45" t="inlineStr"/>
    </row>
    <row r="1920" customFormat="1" s="3">
      <c r="A1920" s="45" t="n"/>
      <c r="B1920" s="46" t="inlineStr">
        <is>
          <t>24491</t>
        </is>
      </c>
      <c r="C1920" s="46">
        <f>LEFT(Tableau1[[#This Row],[Formacode]],3)</f>
        <v/>
      </c>
      <c r="D1920" s="47" t="n">
        <v>37572</v>
      </c>
      <c r="E1920" s="48">
        <f>"RNCP"&amp;D1920</f>
        <v/>
      </c>
      <c r="F1920" s="48" t="inlineStr">
        <is>
          <t>Grade_Licence - Sciences et Ingénierie - Transformation Numérique des Entreprises</t>
        </is>
      </c>
      <c r="G1920" s="49">
        <f>E1920&amp;" - "&amp;F1920</f>
        <v/>
      </c>
      <c r="H1920" s="36" t="inlineStr">
        <is>
          <t>RAS</t>
        </is>
      </c>
      <c r="I1920" s="45" t="inlineStr"/>
      <c r="J1920" s="45" t="inlineStr">
        <is>
          <t>RNCP37572</t>
        </is>
      </c>
      <c r="K1920" s="45" t="inlineStr">
        <is>
          <t>Grade_Licence - Sciences et Ingénierie - Transformation Numérique des Entreprises</t>
        </is>
      </c>
      <c r="L1920" s="45" t="inlineStr">
        <is>
          <t>31/12/2030</t>
        </is>
      </c>
      <c r="M1920" s="45" t="inlineStr"/>
      <c r="N1920" s="50" t="inlineStr">
        <is>
          <t>NON</t>
        </is>
      </c>
      <c r="O1920" s="45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TP - Technicien supérieur en automatique et informatique industrielle</t>
        </is>
      </c>
      <c r="L1921" s="45" t="inlineStr">
        <is>
          <t>31/12/2030</t>
        </is>
      </c>
      <c r="M1921" s="45" t="inlineStr"/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31/12/2030</t>
        </is>
      </c>
      <c r="M1922" s="45" t="inlineStr"/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31/12/2030</t>
        </is>
      </c>
      <c r="M1923" s="45" t="inlineStr"/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31/12/2030</t>
        </is>
      </c>
      <c r="M1924" s="45" t="inlineStr"/>
      <c r="N1924" s="50" t="inlineStr">
        <is>
          <t>NON</t>
        </is>
      </c>
      <c r="O1924" s="45" t="inlineStr"/>
    </row>
    <row r="1925" customFormat="1" s="4">
      <c r="A1925" s="45" t="n"/>
      <c r="B1925" s="46" t="inlineStr">
        <is>
          <t>30801</t>
        </is>
      </c>
      <c r="C1925" s="46">
        <f>LEFT(Tableau1[[#This Row],[Formacode]],3)</f>
        <v/>
      </c>
      <c r="D1925" s="47" t="n">
        <v>37572</v>
      </c>
      <c r="E1925" s="48">
        <f>"RNCP"&amp;D1925</f>
        <v/>
      </c>
      <c r="F1925" s="48" t="inlineStr">
        <is>
          <t>Grade_Licence - Sciences et Ingénierie - Transformation Numérique des Entreprises</t>
        </is>
      </c>
      <c r="G1925" s="49">
        <f>E1925&amp;" - "&amp;F1925</f>
        <v/>
      </c>
      <c r="H1925" s="36" t="inlineStr">
        <is>
          <t>RAS</t>
        </is>
      </c>
      <c r="I1925" s="45" t="inlineStr"/>
      <c r="J1925" s="45" t="inlineStr">
        <is>
          <t>RNCP37572</t>
        </is>
      </c>
      <c r="K1925" s="45" t="inlineStr">
        <is>
          <t>Grade_Licence - Sciences et Ingénierie - Transformation Numérique des Entreprises</t>
        </is>
      </c>
      <c r="L1925" s="45" t="inlineStr">
        <is>
          <t>31/12/2030</t>
        </is>
      </c>
      <c r="M1925" s="45" t="inlineStr"/>
      <c r="N1925" s="50" t="inlineStr">
        <is>
          <t>NON</t>
        </is>
      </c>
      <c r="O1925" s="45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31/12/2030</t>
        </is>
      </c>
      <c r="M1926" s="45" t="inlineStr"/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31/12/2030</t>
        </is>
      </c>
      <c r="M1927" s="45" t="inlineStr"/>
      <c r="N1927" s="50" t="inlineStr">
        <is>
          <t>NON</t>
        </is>
      </c>
      <c r="O1927" s="45" t="inlineStr"/>
    </row>
    <row r="1928" customFormat="1" s="4">
      <c r="A1928" s="45" t="n"/>
      <c r="B1928" s="46" t="inlineStr">
        <is>
          <t>30802</t>
        </is>
      </c>
      <c r="C1928" s="46">
        <f>LEFT(Tableau1[[#This Row],[Formacode]],3)</f>
        <v/>
      </c>
      <c r="D1928" s="47" t="n">
        <v>37572</v>
      </c>
      <c r="E1928" s="48">
        <f>"RNCP"&amp;D1928</f>
        <v/>
      </c>
      <c r="F1928" s="48" t="inlineStr">
        <is>
          <t>Grade_Licence - Sciences et Ingénierie - Transformation Numérique des Entreprises</t>
        </is>
      </c>
      <c r="G1928" s="49">
        <f>E1928&amp;" - "&amp;F1928</f>
        <v/>
      </c>
      <c r="H1928" s="36" t="inlineStr">
        <is>
          <t>RAS</t>
        </is>
      </c>
      <c r="I1928" s="45" t="inlineStr"/>
      <c r="J1928" s="45" t="inlineStr">
        <is>
          <t>RNCP37572</t>
        </is>
      </c>
      <c r="K1928" s="45" t="inlineStr">
        <is>
          <t>Grade_Licence - Sciences et Ingénierie - Transformation Numérique des Entreprises</t>
        </is>
      </c>
      <c r="L1928" s="45" t="inlineStr">
        <is>
          <t>31/12/2030</t>
        </is>
      </c>
      <c r="M1928" s="45" t="inlineStr"/>
      <c r="N1928" s="50" t="inlineStr">
        <is>
          <t>NON</t>
        </is>
      </c>
      <c r="O1928" s="45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31/12/2030</t>
        </is>
      </c>
      <c r="M1929" s="45" t="inlineStr"/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31/12/2030</t>
        </is>
      </c>
      <c r="M1930" s="45" t="inlineStr"/>
      <c r="N1930" s="50" t="inlineStr">
        <is>
          <t>NON</t>
        </is>
      </c>
      <c r="O1930" s="45" t="inlineStr"/>
    </row>
    <row r="1931" customFormat="1" s="4">
      <c r="A1931" s="45" t="n"/>
      <c r="B1931" s="46" t="inlineStr">
        <is>
          <t>30803</t>
        </is>
      </c>
      <c r="C1931" s="46">
        <f>LEFT(Tableau1[[#This Row],[Formacode]],3)</f>
        <v/>
      </c>
      <c r="D1931" s="47" t="n">
        <v>37572</v>
      </c>
      <c r="E1931" s="48">
        <f>"RNCP"&amp;D1931</f>
        <v/>
      </c>
      <c r="F1931" s="48" t="inlineStr">
        <is>
          <t>Grade_Licence - Sciences et Ingénierie - Transformation Numérique des Entreprises</t>
        </is>
      </c>
      <c r="G1931" s="49">
        <f>E1931&amp;" - "&amp;F1931</f>
        <v/>
      </c>
      <c r="H1931" s="36" t="inlineStr">
        <is>
          <t>RAS</t>
        </is>
      </c>
      <c r="I1931" s="45" t="inlineStr"/>
      <c r="J1931" s="45" t="inlineStr">
        <is>
          <t>RNCP37572</t>
        </is>
      </c>
      <c r="K1931" s="45" t="inlineStr">
        <is>
          <t>Grade_Licence - Sciences et Ingénierie - Transformation Numérique des Entreprises</t>
        </is>
      </c>
      <c r="L1931" s="45" t="inlineStr">
        <is>
          <t>31/12/2030</t>
        </is>
      </c>
      <c r="M1931" s="45" t="inlineStr"/>
      <c r="N1931" s="50" t="inlineStr">
        <is>
          <t>NON</t>
        </is>
      </c>
      <c r="O1931" s="45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31/12/2030</t>
        </is>
      </c>
      <c r="M1932" s="45" t="inlineStr"/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31/12/2030</t>
        </is>
      </c>
      <c r="M1933" s="45" t="inlineStr"/>
      <c r="N1933" s="50" t="inlineStr">
        <is>
          <t>NON</t>
        </is>
      </c>
      <c r="O1933" s="45" t="inlineStr"/>
    </row>
    <row r="1934" customFormat="1" s="4">
      <c r="A1934" s="45" t="n"/>
      <c r="B1934" s="46" t="inlineStr">
        <is>
          <t>30804</t>
        </is>
      </c>
      <c r="C1934" s="46">
        <f>LEFT(Tableau1[[#This Row],[Formacode]],3)</f>
        <v/>
      </c>
      <c r="D1934" s="47" t="n">
        <v>37572</v>
      </c>
      <c r="E1934" s="48">
        <f>"RNCP"&amp;D1934</f>
        <v/>
      </c>
      <c r="F1934" s="48" t="inlineStr">
        <is>
          <t>Grade_Licence - Sciences et Ingénierie - Transformation Numérique des Entreprises</t>
        </is>
      </c>
      <c r="G1934" s="49">
        <f>E1934&amp;" - "&amp;F1934</f>
        <v/>
      </c>
      <c r="H1934" s="36" t="inlineStr">
        <is>
          <t>RAS</t>
        </is>
      </c>
      <c r="I1934" s="45" t="inlineStr"/>
      <c r="J1934" s="45" t="inlineStr">
        <is>
          <t>RNCP37572</t>
        </is>
      </c>
      <c r="K1934" s="45" t="inlineStr">
        <is>
          <t>Grade_Licence - Sciences et Ingénierie - Transformation Numérique des Entreprises</t>
        </is>
      </c>
      <c r="L1934" s="45" t="inlineStr">
        <is>
          <t>31/12/2030</t>
        </is>
      </c>
      <c r="M1934" s="45" t="inlineStr"/>
      <c r="N1934" s="50" t="inlineStr">
        <is>
          <t>NON</t>
        </is>
      </c>
      <c r="O1934" s="45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31/12/2030</t>
        </is>
      </c>
      <c r="M1935" s="45" t="inlineStr"/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31/12/2030</t>
        </is>
      </c>
      <c r="M1936" s="45" t="inlineStr"/>
      <c r="N1936" s="50" t="inlineStr">
        <is>
          <t>NON</t>
        </is>
      </c>
      <c r="O1936" s="45" t="inlineStr"/>
    </row>
    <row r="1937" customFormat="1" s="4">
      <c r="A1937" s="45" t="n"/>
      <c r="B1937" s="46" t="inlineStr">
        <is>
          <t>30805</t>
        </is>
      </c>
      <c r="C1937" s="46">
        <f>LEFT(Tableau1[[#This Row],[Formacode]],3)</f>
        <v/>
      </c>
      <c r="D1937" s="47" t="n">
        <v>35959</v>
      </c>
      <c r="E1937" s="48">
        <f>"RNCP"&amp;D1937</f>
        <v/>
      </c>
      <c r="F1937" s="48" t="inlineStr">
        <is>
          <t>Développeur web</t>
        </is>
      </c>
      <c r="G1937" s="49">
        <f>E1937&amp;" - "&amp;F1937</f>
        <v/>
      </c>
      <c r="H1937" s="36" t="inlineStr">
        <is>
          <t>RAS</t>
        </is>
      </c>
      <c r="I1937" s="45" t="inlineStr"/>
      <c r="J1937" s="45" t="inlineStr">
        <is>
          <t>RNCP35959</t>
        </is>
      </c>
      <c r="K1937" s="45" t="inlineStr">
        <is>
          <t>Développeur web</t>
        </is>
      </c>
      <c r="L1937" s="45" t="inlineStr">
        <is>
          <t>31/12/2030</t>
        </is>
      </c>
      <c r="M1937" s="45" t="inlineStr"/>
      <c r="N1937" s="50" t="inlineStr">
        <is>
          <t>NON</t>
        </is>
      </c>
      <c r="O1937" s="45" t="inlineStr"/>
    </row>
    <row r="1938" customFormat="1" s="4">
      <c r="A1938" s="45" t="n"/>
      <c r="B1938" s="46" t="inlineStr">
        <is>
          <t>30805</t>
        </is>
      </c>
      <c r="C1938" s="46">
        <f>LEFT(Tableau1[[#This Row],[Formacode]],3)</f>
        <v/>
      </c>
      <c r="D1938" s="47" t="n">
        <v>37572</v>
      </c>
      <c r="E1938" s="48">
        <f>"RNCP"&amp;D1938</f>
        <v/>
      </c>
      <c r="F1938" s="48" t="inlineStr">
        <is>
          <t>Grade_Licence - Sciences et Ingénierie - Transformation Numérique des Entreprises</t>
        </is>
      </c>
      <c r="G1938" s="49">
        <f>E1938&amp;" - "&amp;F1938</f>
        <v/>
      </c>
      <c r="H1938" s="36" t="inlineStr">
        <is>
          <t>RAS</t>
        </is>
      </c>
      <c r="I1938" s="45" t="inlineStr"/>
      <c r="J1938" s="45" t="inlineStr">
        <is>
          <t>RNCP37572</t>
        </is>
      </c>
      <c r="K1938" s="45" t="inlineStr">
        <is>
          <t>Grade_Licence - Sciences et Ingénierie - Transformation Numérique des Entreprises</t>
        </is>
      </c>
      <c r="L1938" s="45" t="inlineStr">
        <is>
          <t>31/12/2030</t>
        </is>
      </c>
      <c r="M1938" s="45" t="inlineStr"/>
      <c r="N1938" s="50" t="inlineStr">
        <is>
          <t>NON</t>
        </is>
      </c>
      <c r="O1938" s="45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31/12/2030</t>
        </is>
      </c>
      <c r="M1939" s="45" t="inlineStr"/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31/12/2030</t>
        </is>
      </c>
      <c r="M1940" s="45" t="inlineStr"/>
      <c r="N1940" s="50" t="inlineStr">
        <is>
          <t>NON</t>
        </is>
      </c>
      <c r="O1940" s="45" t="inlineStr"/>
    </row>
    <row r="1941" customFormat="1" s="4">
      <c r="A1941" s="45" t="n"/>
      <c r="B1941" s="46" t="inlineStr">
        <is>
          <t>30806</t>
        </is>
      </c>
      <c r="C1941" s="46">
        <f>LEFT(Tableau1[[#This Row],[Formacode]],3)</f>
        <v/>
      </c>
      <c r="D1941" s="47" t="n">
        <v>37572</v>
      </c>
      <c r="E1941" s="48">
        <f>"RNCP"&amp;D1941</f>
        <v/>
      </c>
      <c r="F1941" s="48" t="inlineStr">
        <is>
          <t>Grade_Licence - Sciences et Ingénierie - Transformation Numérique des Entreprises</t>
        </is>
      </c>
      <c r="G1941" s="49">
        <f>E1941&amp;" - "&amp;F1941</f>
        <v/>
      </c>
      <c r="H1941" s="36" t="inlineStr">
        <is>
          <t>RAS</t>
        </is>
      </c>
      <c r="I1941" s="45" t="inlineStr"/>
      <c r="J1941" s="45" t="inlineStr">
        <is>
          <t>RNCP37572</t>
        </is>
      </c>
      <c r="K1941" s="45" t="inlineStr">
        <is>
          <t>Grade_Licence - Sciences et Ingénierie - Transformation Numérique des Entreprises</t>
        </is>
      </c>
      <c r="L1941" s="45" t="inlineStr">
        <is>
          <t>31/12/2030</t>
        </is>
      </c>
      <c r="M1941" s="45" t="inlineStr"/>
      <c r="N1941" s="50" t="inlineStr">
        <is>
          <t>NON</t>
        </is>
      </c>
      <c r="O1941" s="45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31/12/2030</t>
        </is>
      </c>
      <c r="M1942" s="45" t="inlineStr"/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31/12/2030</t>
        </is>
      </c>
      <c r="M1943" s="45" t="inlineStr"/>
      <c r="N1943" s="50" t="inlineStr">
        <is>
          <t>NON</t>
        </is>
      </c>
      <c r="O1943" s="45" t="inlineStr"/>
    </row>
    <row r="1944" customFormat="1" s="4">
      <c r="A1944" s="45" t="n"/>
      <c r="B1944" s="46" t="inlineStr">
        <is>
          <t>30807</t>
        </is>
      </c>
      <c r="C1944" s="46">
        <f>LEFT(Tableau1[[#This Row],[Formacode]],3)</f>
        <v/>
      </c>
      <c r="D1944" s="47" t="n">
        <v>37572</v>
      </c>
      <c r="E1944" s="48">
        <f>"RNCP"&amp;D1944</f>
        <v/>
      </c>
      <c r="F1944" s="48" t="inlineStr">
        <is>
          <t>Grade_Licence - Sciences et Ingénierie - Transformation Numérique des Entreprises</t>
        </is>
      </c>
      <c r="G1944" s="49">
        <f>E1944&amp;" - "&amp;F1944</f>
        <v/>
      </c>
      <c r="H1944" s="36" t="inlineStr">
        <is>
          <t>RAS</t>
        </is>
      </c>
      <c r="I1944" s="45" t="inlineStr"/>
      <c r="J1944" s="45" t="inlineStr">
        <is>
          <t>RNCP37572</t>
        </is>
      </c>
      <c r="K1944" s="45" t="inlineStr">
        <is>
          <t>Grade_Licence - Sciences et Ingénierie - Transformation Numérique des Entreprises</t>
        </is>
      </c>
      <c r="L1944" s="45" t="inlineStr">
        <is>
          <t>31/12/2030</t>
        </is>
      </c>
      <c r="M1944" s="45" t="inlineStr"/>
      <c r="N1944" s="50" t="inlineStr">
        <is>
          <t>NON</t>
        </is>
      </c>
      <c r="O1944" s="45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31/12/2030</t>
        </is>
      </c>
      <c r="M1945" s="45" t="inlineStr"/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31/12/2030</t>
        </is>
      </c>
      <c r="M1946" s="45" t="inlineStr"/>
      <c r="N1946" s="50" t="inlineStr">
        <is>
          <t>NON</t>
        </is>
      </c>
      <c r="O1946" s="45" t="inlineStr"/>
    </row>
    <row r="1947" customFormat="1" s="4">
      <c r="A1947" s="45" t="n"/>
      <c r="B1947" s="46" t="inlineStr">
        <is>
          <t>30808</t>
        </is>
      </c>
      <c r="C1947" s="46">
        <f>LEFT(Tableau1[[#This Row],[Formacode]],3)</f>
        <v/>
      </c>
      <c r="D1947" s="47" t="n">
        <v>37572</v>
      </c>
      <c r="E1947" s="48">
        <f>"RNCP"&amp;D1947</f>
        <v/>
      </c>
      <c r="F1947" s="48" t="inlineStr">
        <is>
          <t>Grade_Licence - Sciences et Ingénierie - Transformation Numérique des Entreprises</t>
        </is>
      </c>
      <c r="G1947" s="49">
        <f>E1947&amp;" - "&amp;F1947</f>
        <v/>
      </c>
      <c r="H1947" s="36" t="inlineStr">
        <is>
          <t>RAS</t>
        </is>
      </c>
      <c r="I1947" s="45" t="inlineStr"/>
      <c r="J1947" s="45" t="inlineStr">
        <is>
          <t>RNCP37572</t>
        </is>
      </c>
      <c r="K1947" s="45" t="inlineStr">
        <is>
          <t>Grade_Licence - Sciences et Ingénierie - Transformation Numérique des Entreprises</t>
        </is>
      </c>
      <c r="L1947" s="45" t="inlineStr">
        <is>
          <t>31/12/2030</t>
        </is>
      </c>
      <c r="M1947" s="45" t="inlineStr"/>
      <c r="N1947" s="50" t="inlineStr">
        <is>
          <t>NON</t>
        </is>
      </c>
      <c r="O1947" s="45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31/12/2030</t>
        </is>
      </c>
      <c r="M1948" s="45" t="inlineStr"/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31/12/2030</t>
        </is>
      </c>
      <c r="M1949" s="45" t="inlineStr"/>
      <c r="N1949" s="50" t="inlineStr">
        <is>
          <t>NON</t>
        </is>
      </c>
      <c r="O1949" s="45" t="inlineStr"/>
    </row>
    <row r="1950" customFormat="1" s="4">
      <c r="A1950" s="45" t="n"/>
      <c r="B1950" s="46" t="inlineStr">
        <is>
          <t>30809</t>
        </is>
      </c>
      <c r="C1950" s="46">
        <f>LEFT(Tableau1[[#This Row],[Formacode]],3)</f>
        <v/>
      </c>
      <c r="D1950" s="47" t="n">
        <v>37572</v>
      </c>
      <c r="E1950" s="48">
        <f>"RNCP"&amp;D1950</f>
        <v/>
      </c>
      <c r="F1950" s="48" t="inlineStr">
        <is>
          <t>Grade_Licence - Sciences et Ingénierie - Transformation Numérique des Entreprises</t>
        </is>
      </c>
      <c r="G1950" s="49">
        <f>E1950&amp;" - "&amp;F1950</f>
        <v/>
      </c>
      <c r="H1950" s="36" t="inlineStr">
        <is>
          <t>RAS</t>
        </is>
      </c>
      <c r="I1950" s="45" t="inlineStr"/>
      <c r="J1950" s="45" t="inlineStr">
        <is>
          <t>RNCP37572</t>
        </is>
      </c>
      <c r="K1950" s="45" t="inlineStr">
        <is>
          <t>Grade_Licence - Sciences et Ingénierie - Transformation Numérique des Entreprises</t>
        </is>
      </c>
      <c r="L1950" s="45" t="inlineStr">
        <is>
          <t>31/12/2030</t>
        </is>
      </c>
      <c r="M1950" s="45" t="inlineStr"/>
      <c r="N1950" s="50" t="inlineStr">
        <is>
          <t>NON</t>
        </is>
      </c>
      <c r="O1950" s="45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31/12/2030</t>
        </is>
      </c>
      <c r="M1951" s="45" t="inlineStr"/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31/12/2030</t>
        </is>
      </c>
      <c r="M1952" s="45" t="inlineStr"/>
      <c r="N1952" s="50" t="inlineStr">
        <is>
          <t>NON</t>
        </is>
      </c>
      <c r="O1952" s="45" t="inlineStr"/>
    </row>
    <row r="1953" customFormat="1" s="4">
      <c r="A1953" s="45" t="n"/>
      <c r="B1953" s="46" t="inlineStr">
        <is>
          <t>30810</t>
        </is>
      </c>
      <c r="C1953" s="46">
        <f>LEFT(Tableau1[[#This Row],[Formacode]],3)</f>
        <v/>
      </c>
      <c r="D1953" s="47" t="n">
        <v>37572</v>
      </c>
      <c r="E1953" s="48">
        <f>"RNCP"&amp;D1953</f>
        <v/>
      </c>
      <c r="F1953" s="48" t="inlineStr">
        <is>
          <t>Grade_Licence - Sciences et Ingénierie - Transformation Numérique des Entreprises</t>
        </is>
      </c>
      <c r="G1953" s="49">
        <f>E1953&amp;" - "&amp;F1953</f>
        <v/>
      </c>
      <c r="H1953" s="36" t="inlineStr">
        <is>
          <t>RAS</t>
        </is>
      </c>
      <c r="I1953" s="45" t="inlineStr"/>
      <c r="J1953" s="45" t="inlineStr">
        <is>
          <t>RNCP37572</t>
        </is>
      </c>
      <c r="K1953" s="45" t="inlineStr">
        <is>
          <t>Grade_Licence - Sciences et Ingénierie - Transformation Numérique des Entreprises</t>
        </is>
      </c>
      <c r="L1953" s="45" t="inlineStr">
        <is>
          <t>31/12/2030</t>
        </is>
      </c>
      <c r="M1953" s="45" t="inlineStr"/>
      <c r="N1953" s="50" t="inlineStr">
        <is>
          <t>NON</t>
        </is>
      </c>
      <c r="O1953" s="45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31/12/2030</t>
        </is>
      </c>
      <c r="M1954" s="45" t="inlineStr"/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31/12/2030</t>
        </is>
      </c>
      <c r="M1955" s="45" t="inlineStr"/>
      <c r="N1955" s="50" t="inlineStr">
        <is>
          <t>NON</t>
        </is>
      </c>
      <c r="O1955" s="45" t="inlineStr"/>
    </row>
    <row r="1956" customFormat="1" s="4">
      <c r="A1956" s="45" t="n"/>
      <c r="B1956" s="46" t="inlineStr">
        <is>
          <t>30811</t>
        </is>
      </c>
      <c r="C1956" s="46">
        <f>LEFT(Tableau1[[#This Row],[Formacode]],3)</f>
        <v/>
      </c>
      <c r="D1956" s="47" t="n">
        <v>37572</v>
      </c>
      <c r="E1956" s="48">
        <f>"RNCP"&amp;D1956</f>
        <v/>
      </c>
      <c r="F1956" s="48" t="inlineStr">
        <is>
          <t>Grade_Licence - Sciences et Ingénierie - Transformation Numérique des Entreprises</t>
        </is>
      </c>
      <c r="G1956" s="49">
        <f>E1956&amp;" - "&amp;F1956</f>
        <v/>
      </c>
      <c r="H1956" s="36" t="inlineStr">
        <is>
          <t>RAS</t>
        </is>
      </c>
      <c r="I1956" s="45" t="inlineStr"/>
      <c r="J1956" s="45" t="inlineStr">
        <is>
          <t>RNCP37572</t>
        </is>
      </c>
      <c r="K1956" s="45" t="inlineStr">
        <is>
          <t>Grade_Licence - Sciences et Ingénierie - Transformation Numérique des Entreprises</t>
        </is>
      </c>
      <c r="L1956" s="45" t="inlineStr">
        <is>
          <t>31/12/2030</t>
        </is>
      </c>
      <c r="M1956" s="45" t="inlineStr"/>
      <c r="N1956" s="50" t="inlineStr">
        <is>
          <t>NON</t>
        </is>
      </c>
      <c r="O1956" s="45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31/12/2030</t>
        </is>
      </c>
      <c r="M1957" s="45" t="inlineStr"/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31/12/2030</t>
        </is>
      </c>
      <c r="M1958" s="45" t="inlineStr"/>
      <c r="N1958" s="50" t="inlineStr">
        <is>
          <t>NON</t>
        </is>
      </c>
      <c r="O1958" s="45" t="inlineStr"/>
    </row>
    <row r="1959" customFormat="1" s="4">
      <c r="A1959" s="45" t="n"/>
      <c r="B1959" s="46" t="inlineStr">
        <is>
          <t>30812</t>
        </is>
      </c>
      <c r="C1959" s="46">
        <f>LEFT(Tableau1[[#This Row],[Formacode]],3)</f>
        <v/>
      </c>
      <c r="D1959" s="47" t="n">
        <v>36061</v>
      </c>
      <c r="E1959" s="48">
        <f>"RNCP"&amp;D1959</f>
        <v/>
      </c>
      <c r="F1959" s="48" t="inlineStr">
        <is>
          <t>TP - Administrateur système DevOps</t>
        </is>
      </c>
      <c r="G1959" s="49">
        <f>E1959&amp;" - "&amp;F1959</f>
        <v/>
      </c>
      <c r="H1959" s="36" t="inlineStr">
        <is>
          <t>RAS</t>
        </is>
      </c>
      <c r="I1959" s="45" t="inlineStr"/>
      <c r="J1959" s="45" t="inlineStr">
        <is>
          <t>RNCP36061</t>
        </is>
      </c>
      <c r="K1959" s="45" t="inlineStr">
        <is>
          <t>TP - Administrateur système DevOps</t>
        </is>
      </c>
      <c r="L1959" s="45" t="inlineStr">
        <is>
          <t>31/12/2030</t>
        </is>
      </c>
      <c r="M1959" s="45" t="inlineStr"/>
      <c r="N1959" s="50" t="inlineStr">
        <is>
          <t>NON</t>
        </is>
      </c>
      <c r="O1959" s="45" t="inlineStr"/>
    </row>
    <row r="1960" customFormat="1" s="4">
      <c r="A1960" s="45" t="n"/>
      <c r="B1960" s="46" t="inlineStr">
        <is>
          <t>30812</t>
        </is>
      </c>
      <c r="C1960" s="46">
        <f>LEFT(Tableau1[[#This Row],[Formacode]],3)</f>
        <v/>
      </c>
      <c r="D1960" s="47" t="n">
        <v>37572</v>
      </c>
      <c r="E1960" s="48">
        <f>"RNCP"&amp;D1960</f>
        <v/>
      </c>
      <c r="F1960" s="48" t="inlineStr">
        <is>
          <t>Grade_Licence - Sciences et Ingénierie - Transformation Numérique des Entreprises</t>
        </is>
      </c>
      <c r="G1960" s="49">
        <f>E1960&amp;" - "&amp;F1960</f>
        <v/>
      </c>
      <c r="H1960" s="36" t="inlineStr">
        <is>
          <t>RAS</t>
        </is>
      </c>
      <c r="I1960" s="45" t="inlineStr"/>
      <c r="J1960" s="45" t="inlineStr">
        <is>
          <t>RNCP37572</t>
        </is>
      </c>
      <c r="K1960" s="45" t="inlineStr">
        <is>
          <t>Grade_Licence - Sciences et Ingénierie - Transformation Numérique des Entreprises</t>
        </is>
      </c>
      <c r="L1960" s="45" t="inlineStr">
        <is>
          <t>31/12/2030</t>
        </is>
      </c>
      <c r="M1960" s="45" t="inlineStr"/>
      <c r="N1960" s="50" t="inlineStr">
        <is>
          <t>NON</t>
        </is>
      </c>
      <c r="O1960" s="45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31/12/2030</t>
        </is>
      </c>
      <c r="M1961" s="45" t="inlineStr"/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31/12/2030</t>
        </is>
      </c>
      <c r="M1962" s="45" t="inlineStr"/>
      <c r="N1962" s="50" t="inlineStr">
        <is>
          <t>NON</t>
        </is>
      </c>
      <c r="O1962" s="45" t="inlineStr"/>
    </row>
    <row r="1963" customFormat="1" s="4">
      <c r="A1963" s="45" t="n"/>
      <c r="B1963" s="46" t="inlineStr">
        <is>
          <t>30813</t>
        </is>
      </c>
      <c r="C1963" s="46">
        <f>LEFT(Tableau1[[#This Row],[Formacode]],3)</f>
        <v/>
      </c>
      <c r="D1963" s="47" t="n">
        <v>37572</v>
      </c>
      <c r="E1963" s="48">
        <f>"RNCP"&amp;D1963</f>
        <v/>
      </c>
      <c r="F1963" s="48" t="inlineStr">
        <is>
          <t>Grade_Licence - Sciences et Ingénierie - Transformation Numérique des Entreprises</t>
        </is>
      </c>
      <c r="G1963" s="49">
        <f>E1963&amp;" - "&amp;F1963</f>
        <v/>
      </c>
      <c r="H1963" s="36" t="inlineStr">
        <is>
          <t>RAS</t>
        </is>
      </c>
      <c r="I1963" s="45" t="inlineStr"/>
      <c r="J1963" s="45" t="inlineStr">
        <is>
          <t>RNCP37572</t>
        </is>
      </c>
      <c r="K1963" s="45" t="inlineStr">
        <is>
          <t>Grade_Licence - Sciences et Ingénierie - Transformation Numérique des Entreprises</t>
        </is>
      </c>
      <c r="L1963" s="45" t="inlineStr">
        <is>
          <t>31/12/2030</t>
        </is>
      </c>
      <c r="M1963" s="45" t="inlineStr"/>
      <c r="N1963" s="50" t="inlineStr">
        <is>
          <t>NON</t>
        </is>
      </c>
      <c r="O1963" s="45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31/12/2030</t>
        </is>
      </c>
      <c r="M1964" s="45" t="inlineStr"/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31/12/2030</t>
        </is>
      </c>
      <c r="M1965" s="45" t="inlineStr"/>
      <c r="N1965" s="50" t="inlineStr">
        <is>
          <t>NON</t>
        </is>
      </c>
      <c r="O1965" s="45" t="inlineStr"/>
    </row>
    <row r="1966" customFormat="1" s="4">
      <c r="A1966" s="45" t="n"/>
      <c r="B1966" s="46" t="inlineStr">
        <is>
          <t>30815</t>
        </is>
      </c>
      <c r="C1966" s="46">
        <f>LEFT(Tableau1[[#This Row],[Formacode]],3)</f>
        <v/>
      </c>
      <c r="D1966" s="47" t="n">
        <v>37572</v>
      </c>
      <c r="E1966" s="48">
        <f>"RNCP"&amp;D1966</f>
        <v/>
      </c>
      <c r="F1966" s="48" t="inlineStr">
        <is>
          <t>Grade_Licence - Sciences et Ingénierie - Transformation Numérique des Entreprises</t>
        </is>
      </c>
      <c r="G1966" s="49">
        <f>E1966&amp;" - "&amp;F1966</f>
        <v/>
      </c>
      <c r="H1966" s="36" t="inlineStr">
        <is>
          <t>RAS</t>
        </is>
      </c>
      <c r="I1966" s="45" t="inlineStr"/>
      <c r="J1966" s="45" t="inlineStr">
        <is>
          <t>RNCP37572</t>
        </is>
      </c>
      <c r="K1966" s="45" t="inlineStr">
        <is>
          <t>Grade_Licence - Sciences et Ingénierie - Transformation Numérique des Entreprises</t>
        </is>
      </c>
      <c r="L1966" s="45" t="inlineStr">
        <is>
          <t>31/12/2030</t>
        </is>
      </c>
      <c r="M1966" s="45" t="inlineStr"/>
      <c r="N1966" s="50" t="inlineStr">
        <is>
          <t>NON</t>
        </is>
      </c>
      <c r="O1966" s="45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31/12/2030</t>
        </is>
      </c>
      <c r="M1967" s="45" t="inlineStr"/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31/12/2030</t>
        </is>
      </c>
      <c r="M1968" s="45" t="inlineStr"/>
      <c r="N1968" s="50" t="inlineStr">
        <is>
          <t>NON</t>
        </is>
      </c>
      <c r="O1968" s="45" t="inlineStr"/>
    </row>
    <row r="1969" customFormat="1" s="4">
      <c r="A1969" s="45" t="n"/>
      <c r="B1969" s="46" t="inlineStr">
        <is>
          <t>30820</t>
        </is>
      </c>
      <c r="C1969" s="46">
        <f>LEFT(Tableau1[[#This Row],[Formacode]],3)</f>
        <v/>
      </c>
      <c r="D1969" s="47" t="n">
        <v>37572</v>
      </c>
      <c r="E1969" s="48">
        <f>"RNCP"&amp;D1969</f>
        <v/>
      </c>
      <c r="F1969" s="48" t="inlineStr">
        <is>
          <t>Grade_Licence - Sciences et Ingénierie - Transformation Numérique des Entreprises</t>
        </is>
      </c>
      <c r="G1969" s="49">
        <f>E1969&amp;" - "&amp;F1969</f>
        <v/>
      </c>
      <c r="H1969" s="36" t="inlineStr">
        <is>
          <t>RAS</t>
        </is>
      </c>
      <c r="I1969" s="45" t="inlineStr"/>
      <c r="J1969" s="45" t="inlineStr">
        <is>
          <t>RNCP37572</t>
        </is>
      </c>
      <c r="K1969" s="45" t="inlineStr">
        <is>
          <t>Grade_Licence - Sciences et Ingénierie - Transformation Numérique des Entreprises</t>
        </is>
      </c>
      <c r="L1969" s="45" t="inlineStr">
        <is>
          <t>31/12/2030</t>
        </is>
      </c>
      <c r="M1969" s="45" t="inlineStr"/>
      <c r="N1969" s="50" t="inlineStr">
        <is>
          <t>NON</t>
        </is>
      </c>
      <c r="O1969" s="45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31/12/2030</t>
        </is>
      </c>
      <c r="M1970" s="45" t="inlineStr"/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31/12/2030</t>
        </is>
      </c>
      <c r="M1971" s="45" t="inlineStr"/>
      <c r="N1971" s="50" t="inlineStr">
        <is>
          <t>NON</t>
        </is>
      </c>
      <c r="O1971" s="45" t="inlineStr"/>
    </row>
    <row r="1972" customFormat="1" s="4">
      <c r="A1972" s="45" t="n"/>
      <c r="B1972" s="46" t="inlineStr">
        <is>
          <t>30821</t>
        </is>
      </c>
      <c r="C1972" s="46">
        <f>LEFT(Tableau1[[#This Row],[Formacode]],3)</f>
        <v/>
      </c>
      <c r="D1972" s="47" t="n">
        <v>37572</v>
      </c>
      <c r="E1972" s="48">
        <f>"RNCP"&amp;D1972</f>
        <v/>
      </c>
      <c r="F1972" s="48" t="inlineStr">
        <is>
          <t>Grade_Licence - Sciences et Ingénierie - Transformation Numérique des Entreprises</t>
        </is>
      </c>
      <c r="G1972" s="49">
        <f>E1972&amp;" - "&amp;F1972</f>
        <v/>
      </c>
      <c r="H1972" s="36" t="inlineStr">
        <is>
          <t>RAS</t>
        </is>
      </c>
      <c r="I1972" s="45" t="inlineStr"/>
      <c r="J1972" s="45" t="inlineStr">
        <is>
          <t>RNCP37572</t>
        </is>
      </c>
      <c r="K1972" s="45" t="inlineStr">
        <is>
          <t>Grade_Licence - Sciences et Ingénierie - Transformation Numérique des Entreprises</t>
        </is>
      </c>
      <c r="L1972" s="45" t="inlineStr">
        <is>
          <t>31/12/2030</t>
        </is>
      </c>
      <c r="M1972" s="45" t="inlineStr"/>
      <c r="N1972" s="50" t="inlineStr">
        <is>
          <t>NON</t>
        </is>
      </c>
      <c r="O1972" s="45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31/12/2030</t>
        </is>
      </c>
      <c r="M1973" s="45" t="inlineStr"/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31/12/2030</t>
        </is>
      </c>
      <c r="M1974" s="45" t="inlineStr"/>
      <c r="N1974" s="50" t="inlineStr">
        <is>
          <t>NON</t>
        </is>
      </c>
      <c r="O1974" s="45" t="inlineStr"/>
    </row>
    <row r="1975" customFormat="1" s="4">
      <c r="A1975" s="45" t="n"/>
      <c r="B1975" s="46" t="inlineStr">
        <is>
          <t>30823</t>
        </is>
      </c>
      <c r="C1975" s="46">
        <f>LEFT(Tableau1[[#This Row],[Formacode]],3)</f>
        <v/>
      </c>
      <c r="D1975" s="47" t="n">
        <v>37572</v>
      </c>
      <c r="E1975" s="48">
        <f>"RNCP"&amp;D1975</f>
        <v/>
      </c>
      <c r="F1975" s="48" t="inlineStr">
        <is>
          <t>Grade_Licence - Sciences et Ingénierie - Transformation Numérique des Entreprises</t>
        </is>
      </c>
      <c r="G1975" s="49">
        <f>E1975&amp;" - "&amp;F1975</f>
        <v/>
      </c>
      <c r="H1975" s="36" t="inlineStr">
        <is>
          <t>RAS</t>
        </is>
      </c>
      <c r="I1975" s="45" t="inlineStr"/>
      <c r="J1975" s="45" t="inlineStr">
        <is>
          <t>RNCP37572</t>
        </is>
      </c>
      <c r="K1975" s="45" t="inlineStr">
        <is>
          <t>Grade_Licence - Sciences et Ingénierie - Transformation Numérique des Entreprises</t>
        </is>
      </c>
      <c r="L1975" s="45" t="inlineStr">
        <is>
          <t>31/12/2030</t>
        </is>
      </c>
      <c r="M1975" s="45" t="inlineStr"/>
      <c r="N1975" s="50" t="inlineStr">
        <is>
          <t>NON</t>
        </is>
      </c>
      <c r="O1975" s="45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31/12/2030</t>
        </is>
      </c>
      <c r="M1976" s="45" t="inlineStr"/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31/12/2030</t>
        </is>
      </c>
      <c r="M1977" s="45" t="inlineStr"/>
      <c r="N1977" s="50" t="inlineStr">
        <is>
          <t>NON</t>
        </is>
      </c>
      <c r="O1977" s="45" t="inlineStr"/>
    </row>
    <row r="1978" customFormat="1" s="4">
      <c r="A1978" s="45" t="n"/>
      <c r="B1978" s="46" t="inlineStr">
        <is>
          <t>30825</t>
        </is>
      </c>
      <c r="C1978" s="46">
        <f>LEFT(Tableau1[[#This Row],[Formacode]],3)</f>
        <v/>
      </c>
      <c r="D1978" s="47" t="n">
        <v>37572</v>
      </c>
      <c r="E1978" s="48">
        <f>"RNCP"&amp;D1978</f>
        <v/>
      </c>
      <c r="F1978" s="48" t="inlineStr">
        <is>
          <t>Grade_Licence - Sciences et Ingénierie - Transformation Numérique des Entreprises</t>
        </is>
      </c>
      <c r="G1978" s="49">
        <f>E1978&amp;" - "&amp;F1978</f>
        <v/>
      </c>
      <c r="H1978" s="36" t="inlineStr">
        <is>
          <t>RAS</t>
        </is>
      </c>
      <c r="I1978" s="45" t="inlineStr"/>
      <c r="J1978" s="45" t="inlineStr">
        <is>
          <t>RNCP37572</t>
        </is>
      </c>
      <c r="K1978" s="45" t="inlineStr">
        <is>
          <t>Grade_Licence - Sciences et Ingénierie - Transformation Numérique des Entreprises</t>
        </is>
      </c>
      <c r="L1978" s="45" t="inlineStr">
        <is>
          <t>31/12/2030</t>
        </is>
      </c>
      <c r="M1978" s="45" t="inlineStr"/>
      <c r="N1978" s="50" t="inlineStr">
        <is>
          <t>NON</t>
        </is>
      </c>
      <c r="O1978" s="45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31/12/2030</t>
        </is>
      </c>
      <c r="M1979" s="45" t="inlineStr"/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31/12/2030</t>
        </is>
      </c>
      <c r="M1980" s="45" t="inlineStr"/>
      <c r="N1980" s="50" t="inlineStr">
        <is>
          <t>NON</t>
        </is>
      </c>
      <c r="O1980" s="45" t="inlineStr"/>
    </row>
    <row r="1981" customFormat="1" s="4">
      <c r="A1981" s="45" t="n"/>
      <c r="B1981" s="46" t="inlineStr">
        <is>
          <t>30827</t>
        </is>
      </c>
      <c r="C1981" s="46">
        <f>LEFT(Tableau1[[#This Row],[Formacode]],3)</f>
        <v/>
      </c>
      <c r="D1981" s="47" t="n">
        <v>37572</v>
      </c>
      <c r="E1981" s="48">
        <f>"RNCP"&amp;D1981</f>
        <v/>
      </c>
      <c r="F1981" s="48" t="inlineStr">
        <is>
          <t>Grade_Licence - Sciences et Ingénierie - Transformation Numérique des Entreprises</t>
        </is>
      </c>
      <c r="G1981" s="49">
        <f>E1981&amp;" - "&amp;F1981</f>
        <v/>
      </c>
      <c r="H1981" s="36" t="inlineStr">
        <is>
          <t>RAS</t>
        </is>
      </c>
      <c r="I1981" s="45" t="inlineStr"/>
      <c r="J1981" s="45" t="inlineStr">
        <is>
          <t>RNCP37572</t>
        </is>
      </c>
      <c r="K1981" s="45" t="inlineStr">
        <is>
          <t>Grade_Licence - Sciences et Ingénierie - Transformation Numérique des Entreprises</t>
        </is>
      </c>
      <c r="L1981" s="45" t="inlineStr">
        <is>
          <t>31/12/2030</t>
        </is>
      </c>
      <c r="M1981" s="45" t="inlineStr"/>
      <c r="N1981" s="50" t="inlineStr">
        <is>
          <t>NON</t>
        </is>
      </c>
      <c r="O1981" s="45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31/12/2030</t>
        </is>
      </c>
      <c r="M1982" s="45" t="inlineStr"/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31/12/2030</t>
        </is>
      </c>
      <c r="M1983" s="45" t="inlineStr"/>
      <c r="N1983" s="50" t="inlineStr">
        <is>
          <t>NON</t>
        </is>
      </c>
      <c r="O1983" s="45" t="inlineStr"/>
    </row>
    <row r="1984" customFormat="1" s="4">
      <c r="A1984" s="45" t="n"/>
      <c r="B1984" s="46" t="inlineStr">
        <is>
          <t>30831</t>
        </is>
      </c>
      <c r="C1984" s="46">
        <f>LEFT(Tableau1[[#This Row],[Formacode]],3)</f>
        <v/>
      </c>
      <c r="D1984" s="47" t="n">
        <v>37572</v>
      </c>
      <c r="E1984" s="48">
        <f>"RNCP"&amp;D1984</f>
        <v/>
      </c>
      <c r="F1984" s="48" t="inlineStr">
        <is>
          <t>Grade_Licence - Sciences et Ingénierie - Transformation Numérique des Entreprises</t>
        </is>
      </c>
      <c r="G1984" s="49">
        <f>E1984&amp;" - "&amp;F1984</f>
        <v/>
      </c>
      <c r="H1984" s="36" t="inlineStr">
        <is>
          <t>RAS</t>
        </is>
      </c>
      <c r="I1984" s="45" t="inlineStr"/>
      <c r="J1984" s="45" t="inlineStr">
        <is>
          <t>RNCP37572</t>
        </is>
      </c>
      <c r="K1984" s="45" t="inlineStr">
        <is>
          <t>Grade_Licence - Sciences et Ingénierie - Transformation Numérique des Entreprises</t>
        </is>
      </c>
      <c r="L1984" s="45" t="inlineStr">
        <is>
          <t>31/12/2030</t>
        </is>
      </c>
      <c r="M1984" s="45" t="inlineStr"/>
      <c r="N1984" s="50" t="inlineStr">
        <is>
          <t>NON</t>
        </is>
      </c>
      <c r="O1984" s="45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31/12/2030</t>
        </is>
      </c>
      <c r="M1985" s="45" t="inlineStr"/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31/12/2030</t>
        </is>
      </c>
      <c r="M1986" s="45" t="inlineStr"/>
      <c r="N1986" s="50" t="inlineStr">
        <is>
          <t>NON</t>
        </is>
      </c>
      <c r="O1986" s="45" t="inlineStr"/>
    </row>
    <row r="1987" customFormat="1" s="4">
      <c r="A1987" s="45" t="n"/>
      <c r="B1987" s="46" t="inlineStr">
        <is>
          <t>30855</t>
        </is>
      </c>
      <c r="C1987" s="46">
        <f>LEFT(Tableau1[[#This Row],[Formacode]],3)</f>
        <v/>
      </c>
      <c r="D1987" s="47" t="n">
        <v>37572</v>
      </c>
      <c r="E1987" s="48">
        <f>"RNCP"&amp;D1987</f>
        <v/>
      </c>
      <c r="F1987" s="48" t="inlineStr">
        <is>
          <t>Grade_Licence - Sciences et Ingénierie - Transformation Numérique des Entreprises</t>
        </is>
      </c>
      <c r="G1987" s="49">
        <f>E1987&amp;" - "&amp;F1987</f>
        <v/>
      </c>
      <c r="H1987" s="36" t="inlineStr">
        <is>
          <t>RAS</t>
        </is>
      </c>
      <c r="I1987" s="45" t="inlineStr"/>
      <c r="J1987" s="45" t="inlineStr">
        <is>
          <t>RNCP37572</t>
        </is>
      </c>
      <c r="K1987" s="45" t="inlineStr">
        <is>
          <t>Grade_Licence - Sciences et Ingénierie - Transformation Numérique des Entreprises</t>
        </is>
      </c>
      <c r="L1987" s="45" t="inlineStr">
        <is>
          <t>31/12/2030</t>
        </is>
      </c>
      <c r="M1987" s="45" t="inlineStr"/>
      <c r="N1987" s="50" t="inlineStr">
        <is>
          <t>NON</t>
        </is>
      </c>
      <c r="O1987" s="45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31/12/2030</t>
        </is>
      </c>
      <c r="M1988" s="45" t="inlineStr"/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31/12/2030</t>
        </is>
      </c>
      <c r="M1989" s="45" t="inlineStr"/>
      <c r="N1989" s="50" t="inlineStr">
        <is>
          <t>NON</t>
        </is>
      </c>
      <c r="O1989" s="45" t="inlineStr"/>
    </row>
    <row r="1990" customFormat="1" s="4">
      <c r="A1990" s="45" t="n"/>
      <c r="B1990" s="46" t="inlineStr">
        <is>
          <t>30857</t>
        </is>
      </c>
      <c r="C1990" s="46">
        <f>LEFT(Tableau1[[#This Row],[Formacode]],3)</f>
        <v/>
      </c>
      <c r="D1990" s="47" t="n">
        <v>37572</v>
      </c>
      <c r="E1990" s="48">
        <f>"RNCP"&amp;D1990</f>
        <v/>
      </c>
      <c r="F1990" s="48" t="inlineStr">
        <is>
          <t>Grade_Licence - Sciences et Ingénierie - Transformation Numérique des Entreprises</t>
        </is>
      </c>
      <c r="G1990" s="49">
        <f>E1990&amp;" - "&amp;F1990</f>
        <v/>
      </c>
      <c r="H1990" s="36" t="inlineStr">
        <is>
          <t>RAS</t>
        </is>
      </c>
      <c r="I1990" s="45" t="inlineStr"/>
      <c r="J1990" s="45" t="inlineStr">
        <is>
          <t>RNCP37572</t>
        </is>
      </c>
      <c r="K1990" s="45" t="inlineStr">
        <is>
          <t>Grade_Licence - Sciences et Ingénierie - Transformation Numérique des Entreprises</t>
        </is>
      </c>
      <c r="L1990" s="45" t="inlineStr">
        <is>
          <t>31/12/2030</t>
        </is>
      </c>
      <c r="M1990" s="45" t="inlineStr"/>
      <c r="N1990" s="50" t="inlineStr">
        <is>
          <t>NON</t>
        </is>
      </c>
      <c r="O1990" s="45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31/12/2030</t>
        </is>
      </c>
      <c r="M1991" s="45" t="inlineStr"/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31/12/2030</t>
        </is>
      </c>
      <c r="M1992" s="45" t="inlineStr"/>
      <c r="N1992" s="50" t="inlineStr">
        <is>
          <t>NON</t>
        </is>
      </c>
      <c r="O1992" s="45" t="inlineStr"/>
    </row>
    <row r="1993" customFormat="1" s="4">
      <c r="A1993" s="45" t="n"/>
      <c r="B1993" s="46" t="inlineStr">
        <is>
          <t>30860</t>
        </is>
      </c>
      <c r="C1993" s="46">
        <f>LEFT(Tableau1[[#This Row],[Formacode]],3)</f>
        <v/>
      </c>
      <c r="D1993" s="47" t="n">
        <v>37572</v>
      </c>
      <c r="E1993" s="48">
        <f>"RNCP"&amp;D1993</f>
        <v/>
      </c>
      <c r="F1993" s="48" t="inlineStr">
        <is>
          <t>Grade_Licence - Sciences et Ingénierie - Transformation Numérique des Entreprises</t>
        </is>
      </c>
      <c r="G1993" s="49">
        <f>E1993&amp;" - "&amp;F1993</f>
        <v/>
      </c>
      <c r="H1993" s="36" t="inlineStr">
        <is>
          <t>RAS</t>
        </is>
      </c>
      <c r="I1993" s="45" t="inlineStr"/>
      <c r="J1993" s="45" t="inlineStr">
        <is>
          <t>RNCP37572</t>
        </is>
      </c>
      <c r="K1993" s="45" t="inlineStr">
        <is>
          <t>Grade_Licence - Sciences et Ingénierie - Transformation Numérique des Entreprises</t>
        </is>
      </c>
      <c r="L1993" s="45" t="inlineStr">
        <is>
          <t>31/12/2030</t>
        </is>
      </c>
      <c r="M1993" s="45" t="inlineStr"/>
      <c r="N1993" s="50" t="inlineStr">
        <is>
          <t>NON</t>
        </is>
      </c>
      <c r="O1993" s="45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31/12/2030</t>
        </is>
      </c>
      <c r="M1994" s="45" t="inlineStr"/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31/12/2030</t>
        </is>
      </c>
      <c r="M1995" s="45" t="inlineStr"/>
      <c r="N1995" s="50" t="inlineStr">
        <is>
          <t>NON</t>
        </is>
      </c>
      <c r="O1995" s="45" t="inlineStr"/>
    </row>
    <row r="1996" customFormat="1" s="4">
      <c r="A1996" s="45" t="n"/>
      <c r="B1996" s="46" t="inlineStr">
        <is>
          <t>30867</t>
        </is>
      </c>
      <c r="C1996" s="46">
        <f>LEFT(Tableau1[[#This Row],[Formacode]],3)</f>
        <v/>
      </c>
      <c r="D1996" s="47" t="n">
        <v>37572</v>
      </c>
      <c r="E1996" s="48">
        <f>"RNCP"&amp;D1996</f>
        <v/>
      </c>
      <c r="F1996" s="48" t="inlineStr">
        <is>
          <t>Grade_Licence - Sciences et Ingénierie - Transformation Numérique des Entreprises</t>
        </is>
      </c>
      <c r="G1996" s="49">
        <f>E1996&amp;" - "&amp;F1996</f>
        <v/>
      </c>
      <c r="H1996" s="36" t="inlineStr">
        <is>
          <t>RAS</t>
        </is>
      </c>
      <c r="I1996" s="45" t="inlineStr"/>
      <c r="J1996" s="45" t="inlineStr">
        <is>
          <t>RNCP37572</t>
        </is>
      </c>
      <c r="K1996" s="45" t="inlineStr">
        <is>
          <t>Grade_Licence - Sciences et Ingénierie - Transformation Numérique des Entreprises</t>
        </is>
      </c>
      <c r="L1996" s="45" t="inlineStr">
        <is>
          <t>31/12/2030</t>
        </is>
      </c>
      <c r="M1996" s="45" t="inlineStr"/>
      <c r="N1996" s="50" t="inlineStr">
        <is>
          <t>NON</t>
        </is>
      </c>
      <c r="O1996" s="45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31/12/2030</t>
        </is>
      </c>
      <c r="M1997" s="45" t="inlineStr"/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31/12/2030</t>
        </is>
      </c>
      <c r="M1998" s="45" t="inlineStr"/>
      <c r="N1998" s="50" t="inlineStr">
        <is>
          <t>NON</t>
        </is>
      </c>
      <c r="O1998" s="45" t="inlineStr"/>
    </row>
    <row r="1999" customFormat="1" s="4">
      <c r="A1999" s="45" t="n"/>
      <c r="B1999" s="46" t="inlineStr">
        <is>
          <t>30869</t>
        </is>
      </c>
      <c r="C1999" s="46">
        <f>LEFT(Tableau1[[#This Row],[Formacode]],3)</f>
        <v/>
      </c>
      <c r="D1999" s="47" t="n">
        <v>37572</v>
      </c>
      <c r="E1999" s="48">
        <f>"RNCP"&amp;D1999</f>
        <v/>
      </c>
      <c r="F1999" s="48" t="inlineStr">
        <is>
          <t>Grade_Licence - Sciences et Ingénierie - Transformation Numérique des Entreprises</t>
        </is>
      </c>
      <c r="G1999" s="49">
        <f>E1999&amp;" - "&amp;F1999</f>
        <v/>
      </c>
      <c r="H1999" s="36" t="inlineStr">
        <is>
          <t>RAS</t>
        </is>
      </c>
      <c r="I1999" s="45" t="inlineStr"/>
      <c r="J1999" s="45" t="inlineStr">
        <is>
          <t>RNCP37572</t>
        </is>
      </c>
      <c r="K1999" s="45" t="inlineStr">
        <is>
          <t>Grade_Licence - Sciences et Ingénierie - Transformation Numérique des Entreprises</t>
        </is>
      </c>
      <c r="L1999" s="45" t="inlineStr">
        <is>
          <t>31/12/2030</t>
        </is>
      </c>
      <c r="M1999" s="45" t="inlineStr"/>
      <c r="N1999" s="50" t="inlineStr">
        <is>
          <t>NON</t>
        </is>
      </c>
      <c r="O1999" s="45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31/12/2030</t>
        </is>
      </c>
      <c r="M2000" s="45" t="inlineStr"/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31/12/2030</t>
        </is>
      </c>
      <c r="M2001" s="45" t="inlineStr"/>
      <c r="N2001" s="50" t="inlineStr">
        <is>
          <t>NON</t>
        </is>
      </c>
      <c r="O2001" s="45" t="inlineStr"/>
    </row>
    <row r="2002" customFormat="1" s="4">
      <c r="A2002" s="45" t="n"/>
      <c r="B2002" s="46" t="inlineStr">
        <is>
          <t>30881</t>
        </is>
      </c>
      <c r="C2002" s="46">
        <f>LEFT(Tableau1[[#This Row],[Formacode]],3)</f>
        <v/>
      </c>
      <c r="D2002" s="47" t="n">
        <v>37572</v>
      </c>
      <c r="E2002" s="48">
        <f>"RNCP"&amp;D2002</f>
        <v/>
      </c>
      <c r="F2002" s="48" t="inlineStr">
        <is>
          <t>Grade_Licence - Sciences et Ingénierie - Transformation Numérique des Entreprises</t>
        </is>
      </c>
      <c r="G2002" s="49">
        <f>E2002&amp;" - "&amp;F2002</f>
        <v/>
      </c>
      <c r="H2002" s="36" t="inlineStr">
        <is>
          <t>RAS</t>
        </is>
      </c>
      <c r="I2002" s="45" t="inlineStr"/>
      <c r="J2002" s="45" t="inlineStr">
        <is>
          <t>RNCP37572</t>
        </is>
      </c>
      <c r="K2002" s="45" t="inlineStr">
        <is>
          <t>Grade_Licence - Sciences et Ingénierie - Transformation Numérique des Entreprises</t>
        </is>
      </c>
      <c r="L2002" s="45" t="inlineStr">
        <is>
          <t>31/12/2030</t>
        </is>
      </c>
      <c r="M2002" s="45" t="inlineStr"/>
      <c r="N2002" s="50" t="inlineStr">
        <is>
          <t>NON</t>
        </is>
      </c>
      <c r="O2002" s="45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31/12/2030</t>
        </is>
      </c>
      <c r="M2003" s="45" t="inlineStr"/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31/12/2030</t>
        </is>
      </c>
      <c r="M2004" s="45" t="inlineStr"/>
      <c r="N2004" s="50" t="inlineStr">
        <is>
          <t>NON</t>
        </is>
      </c>
      <c r="O2004" s="45" t="inlineStr"/>
    </row>
    <row r="2005" customFormat="1" s="4">
      <c r="A2005" s="45" t="n"/>
      <c r="B2005" s="46" t="inlineStr">
        <is>
          <t>30882</t>
        </is>
      </c>
      <c r="C2005" s="46">
        <f>LEFT(Tableau1[[#This Row],[Formacode]],3)</f>
        <v/>
      </c>
      <c r="D2005" s="47" t="n">
        <v>37572</v>
      </c>
      <c r="E2005" s="48">
        <f>"RNCP"&amp;D2005</f>
        <v/>
      </c>
      <c r="F2005" s="48" t="inlineStr">
        <is>
          <t>Grade_Licence - Sciences et Ingénierie - Transformation Numérique des Entreprises</t>
        </is>
      </c>
      <c r="G2005" s="49">
        <f>E2005&amp;" - "&amp;F2005</f>
        <v/>
      </c>
      <c r="H2005" s="36" t="inlineStr">
        <is>
          <t>RAS</t>
        </is>
      </c>
      <c r="I2005" s="45" t="inlineStr"/>
      <c r="J2005" s="45" t="inlineStr">
        <is>
          <t>RNCP37572</t>
        </is>
      </c>
      <c r="K2005" s="45" t="inlineStr">
        <is>
          <t>Grade_Licence - Sciences et Ingénierie - Transformation Numérique des Entreprises</t>
        </is>
      </c>
      <c r="L2005" s="45" t="inlineStr">
        <is>
          <t>31/12/2030</t>
        </is>
      </c>
      <c r="M2005" s="45" t="inlineStr"/>
      <c r="N2005" s="50" t="inlineStr">
        <is>
          <t>NON</t>
        </is>
      </c>
      <c r="O2005" s="45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31/12/2030</t>
        </is>
      </c>
      <c r="M2006" s="45" t="inlineStr"/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31/12/2030</t>
        </is>
      </c>
      <c r="M2007" s="45" t="inlineStr"/>
      <c r="N2007" s="50" t="inlineStr">
        <is>
          <t>NON</t>
        </is>
      </c>
      <c r="O2007" s="45" t="inlineStr"/>
    </row>
    <row r="2008" customFormat="1" s="4">
      <c r="A2008" s="45" t="n"/>
      <c r="B2008" s="46" t="inlineStr">
        <is>
          <t>30884</t>
        </is>
      </c>
      <c r="C2008" s="46">
        <f>LEFT(Tableau1[[#This Row],[Formacode]],3)</f>
        <v/>
      </c>
      <c r="D2008" s="47" t="n">
        <v>37572</v>
      </c>
      <c r="E2008" s="48">
        <f>"RNCP"&amp;D2008</f>
        <v/>
      </c>
      <c r="F2008" s="48" t="inlineStr">
        <is>
          <t>Grade_Licence - Sciences et Ingénierie - Transformation Numérique des Entreprises</t>
        </is>
      </c>
      <c r="G2008" s="49">
        <f>E2008&amp;" - "&amp;F2008</f>
        <v/>
      </c>
      <c r="H2008" s="36" t="inlineStr">
        <is>
          <t>RAS</t>
        </is>
      </c>
      <c r="I2008" s="45" t="inlineStr"/>
      <c r="J2008" s="45" t="inlineStr">
        <is>
          <t>RNCP37572</t>
        </is>
      </c>
      <c r="K2008" s="45" t="inlineStr">
        <is>
          <t>Grade_Licence - Sciences et Ingénierie - Transformation Numérique des Entreprises</t>
        </is>
      </c>
      <c r="L2008" s="45" t="inlineStr">
        <is>
          <t>31/12/2030</t>
        </is>
      </c>
      <c r="M2008" s="45" t="inlineStr"/>
      <c r="N2008" s="50" t="inlineStr">
        <is>
          <t>NON</t>
        </is>
      </c>
      <c r="O2008" s="45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31/12/2030</t>
        </is>
      </c>
      <c r="M2009" s="45" t="inlineStr"/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31/12/2030</t>
        </is>
      </c>
      <c r="M2010" s="45" t="inlineStr"/>
      <c r="N2010" s="50" t="inlineStr">
        <is>
          <t>NON</t>
        </is>
      </c>
      <c r="O2010" s="45" t="inlineStr"/>
    </row>
    <row r="2011" customFormat="1" s="4">
      <c r="A2011" s="45" t="n"/>
      <c r="B2011" s="46" t="inlineStr">
        <is>
          <t>30885</t>
        </is>
      </c>
      <c r="C2011" s="46">
        <f>LEFT(Tableau1[[#This Row],[Formacode]],3)</f>
        <v/>
      </c>
      <c r="D2011" s="47" t="n">
        <v>37572</v>
      </c>
      <c r="E2011" s="48">
        <f>"RNCP"&amp;D2011</f>
        <v/>
      </c>
      <c r="F2011" s="48" t="inlineStr">
        <is>
          <t>Grade_Licence - Sciences et Ingénierie - Transformation Numérique des Entreprises</t>
        </is>
      </c>
      <c r="G2011" s="49">
        <f>E2011&amp;" - "&amp;F2011</f>
        <v/>
      </c>
      <c r="H2011" s="36" t="inlineStr">
        <is>
          <t>RAS</t>
        </is>
      </c>
      <c r="I2011" s="45" t="inlineStr"/>
      <c r="J2011" s="45" t="inlineStr">
        <is>
          <t>RNCP37572</t>
        </is>
      </c>
      <c r="K2011" s="45" t="inlineStr">
        <is>
          <t>Grade_Licence - Sciences et Ingénierie - Transformation Numérique des Entreprises</t>
        </is>
      </c>
      <c r="L2011" s="45" t="inlineStr">
        <is>
          <t>31/12/2030</t>
        </is>
      </c>
      <c r="M2011" s="45" t="inlineStr"/>
      <c r="N2011" s="50" t="inlineStr">
        <is>
          <t>NON</t>
        </is>
      </c>
      <c r="O2011" s="45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31/12/2030</t>
        </is>
      </c>
      <c r="M2012" s="45" t="inlineStr"/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31/12/2030</t>
        </is>
      </c>
      <c r="M2013" s="45" t="inlineStr"/>
      <c r="N2013" s="50" t="inlineStr">
        <is>
          <t>NON</t>
        </is>
      </c>
      <c r="O2013" s="45" t="inlineStr"/>
    </row>
    <row r="2014" customFormat="1" s="4">
      <c r="A2014" s="45" t="n"/>
      <c r="B2014" s="46" t="inlineStr">
        <is>
          <t>30886</t>
        </is>
      </c>
      <c r="C2014" s="46">
        <f>LEFT(Tableau1[[#This Row],[Formacode]],3)</f>
        <v/>
      </c>
      <c r="D2014" s="47" t="n">
        <v>37572</v>
      </c>
      <c r="E2014" s="48">
        <f>"RNCP"&amp;D2014</f>
        <v/>
      </c>
      <c r="F2014" s="48" t="inlineStr">
        <is>
          <t>Grade_Licence - Sciences et Ingénierie - Transformation Numérique des Entreprises</t>
        </is>
      </c>
      <c r="G2014" s="49">
        <f>E2014&amp;" - "&amp;F2014</f>
        <v/>
      </c>
      <c r="H2014" s="36" t="inlineStr">
        <is>
          <t>RAS</t>
        </is>
      </c>
      <c r="I2014" s="45" t="inlineStr"/>
      <c r="J2014" s="45" t="inlineStr">
        <is>
          <t>RNCP37572</t>
        </is>
      </c>
      <c r="K2014" s="45" t="inlineStr">
        <is>
          <t>Grade_Licence - Sciences et Ingénierie - Transformation Numérique des Entreprises</t>
        </is>
      </c>
      <c r="L2014" s="45" t="inlineStr">
        <is>
          <t>31/12/2030</t>
        </is>
      </c>
      <c r="M2014" s="45" t="inlineStr"/>
      <c r="N2014" s="50" t="inlineStr">
        <is>
          <t>NON</t>
        </is>
      </c>
      <c r="O2014" s="45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31/12/2030</t>
        </is>
      </c>
      <c r="M2015" s="45" t="inlineStr"/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31/12/2030</t>
        </is>
      </c>
      <c r="M2016" s="45" t="inlineStr"/>
      <c r="N2016" s="50" t="inlineStr">
        <is>
          <t>NON</t>
        </is>
      </c>
      <c r="O2016" s="45" t="inlineStr"/>
    </row>
    <row r="2017" customFormat="1" s="4">
      <c r="A2017" s="45" t="n"/>
      <c r="B2017" s="46" t="inlineStr">
        <is>
          <t>30887</t>
        </is>
      </c>
      <c r="C2017" s="46">
        <f>LEFT(Tableau1[[#This Row],[Formacode]],3)</f>
        <v/>
      </c>
      <c r="D2017" s="47" t="n">
        <v>37572</v>
      </c>
      <c r="E2017" s="48">
        <f>"RNCP"&amp;D2017</f>
        <v/>
      </c>
      <c r="F2017" s="48" t="inlineStr">
        <is>
          <t>Grade_Licence - Sciences et Ingénierie - Transformation Numérique des Entreprises</t>
        </is>
      </c>
      <c r="G2017" s="49">
        <f>E2017&amp;" - "&amp;F2017</f>
        <v/>
      </c>
      <c r="H2017" s="36" t="inlineStr">
        <is>
          <t>RAS</t>
        </is>
      </c>
      <c r="I2017" s="45" t="inlineStr"/>
      <c r="J2017" s="45" t="inlineStr">
        <is>
          <t>RNCP37572</t>
        </is>
      </c>
      <c r="K2017" s="45" t="inlineStr">
        <is>
          <t>Grade_Licence - Sciences et Ingénierie - Transformation Numérique des Entreprises</t>
        </is>
      </c>
      <c r="L2017" s="45" t="inlineStr">
        <is>
          <t>31/12/2030</t>
        </is>
      </c>
      <c r="M2017" s="45" t="inlineStr"/>
      <c r="N2017" s="50" t="inlineStr">
        <is>
          <t>NON</t>
        </is>
      </c>
      <c r="O2017" s="45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31/12/2030</t>
        </is>
      </c>
      <c r="M2018" s="45" t="inlineStr"/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31/12/2030</t>
        </is>
      </c>
      <c r="M2019" s="45" t="inlineStr"/>
      <c r="N2019" s="50" t="inlineStr">
        <is>
          <t>NON</t>
        </is>
      </c>
      <c r="O2019" s="45" t="inlineStr"/>
    </row>
    <row r="2020" customFormat="1" s="4">
      <c r="A2020" s="45" t="n"/>
      <c r="B2020" s="46" t="inlineStr">
        <is>
          <t>30896</t>
        </is>
      </c>
      <c r="C2020" s="46">
        <f>LEFT(Tableau1[[#This Row],[Formacode]],3)</f>
        <v/>
      </c>
      <c r="D2020" s="47" t="n">
        <v>37572</v>
      </c>
      <c r="E2020" s="48">
        <f>"RNCP"&amp;D2020</f>
        <v/>
      </c>
      <c r="F2020" s="48" t="inlineStr">
        <is>
          <t>Grade_Licence - Sciences et Ingénierie - Transformation Numérique des Entreprises</t>
        </is>
      </c>
      <c r="G2020" s="49">
        <f>E2020&amp;" - "&amp;F2020</f>
        <v/>
      </c>
      <c r="H2020" s="36" t="inlineStr">
        <is>
          <t>RAS</t>
        </is>
      </c>
      <c r="I2020" s="45" t="inlineStr"/>
      <c r="J2020" s="45" t="inlineStr">
        <is>
          <t>RNCP37572</t>
        </is>
      </c>
      <c r="K2020" s="45" t="inlineStr">
        <is>
          <t>Grade_Licence - Sciences et Ingénierie - Transformation Numérique des Entreprises</t>
        </is>
      </c>
      <c r="L2020" s="45" t="inlineStr">
        <is>
          <t>31/12/2030</t>
        </is>
      </c>
      <c r="M2020" s="45" t="inlineStr"/>
      <c r="N2020" s="50" t="inlineStr">
        <is>
          <t>NON</t>
        </is>
      </c>
      <c r="O2020" s="45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31/12/2030</t>
        </is>
      </c>
      <c r="M2021" s="45" t="inlineStr"/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31/12/2030</t>
        </is>
      </c>
      <c r="M2022" s="45" t="inlineStr"/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TP - Technicien en géomatique</t>
        </is>
      </c>
      <c r="L2023" s="45" t="inlineStr">
        <is>
          <t>31/12/2030</t>
        </is>
      </c>
      <c r="M2023" s="45" t="inlineStr"/>
      <c r="N2023" s="50" t="inlineStr">
        <is>
          <t>NON</t>
        </is>
      </c>
      <c r="O2023" s="45" t="inlineStr"/>
    </row>
    <row r="2024" customFormat="1" s="3">
      <c r="A2024" s="45" t="n"/>
      <c r="B2024" s="46" t="inlineStr">
        <is>
          <t>31002</t>
        </is>
      </c>
      <c r="C2024" s="46">
        <f>LEFT(Tableau1[[#This Row],[Formacode]],3)</f>
        <v/>
      </c>
      <c r="D2024" s="47" t="n">
        <v>38018</v>
      </c>
      <c r="E2024" s="48">
        <f>"RNCP"&amp;D2024</f>
        <v/>
      </c>
      <c r="F2024" s="48" t="inlineStr">
        <is>
          <t>Chef de projet digital</t>
        </is>
      </c>
      <c r="G2024" s="49">
        <f>E2024&amp;" - "&amp;F2024</f>
        <v/>
      </c>
      <c r="H2024" s="36" t="inlineStr">
        <is>
          <t>RAS</t>
        </is>
      </c>
      <c r="I2024" s="45" t="inlineStr"/>
      <c r="J2024" s="45" t="inlineStr">
        <is>
          <t>RNCP38018</t>
        </is>
      </c>
      <c r="K2024" s="45" t="inlineStr">
        <is>
          <t>Chef de projet digital</t>
        </is>
      </c>
      <c r="L2024" s="45" t="inlineStr">
        <is>
          <t>31/12/2030</t>
        </is>
      </c>
      <c r="M2024" s="45" t="inlineStr"/>
      <c r="N2024" s="50" t="inlineStr">
        <is>
          <t>NON</t>
        </is>
      </c>
      <c r="O2024" s="45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TP - Agent de reconditionnement numérique</t>
        </is>
      </c>
      <c r="L2025" s="45" t="inlineStr">
        <is>
          <t>31/12/2030</t>
        </is>
      </c>
      <c r="M2025" s="45" t="inlineStr"/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Diplôme visé - Expert en Ingénierie Informatique et Innovation Numérique</t>
        </is>
      </c>
      <c r="L2026" s="45" t="inlineStr">
        <is>
          <t>31/12/2030</t>
        </is>
      </c>
      <c r="M2026" s="45" t="inlineStr"/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Titre ingénieur - Ingénieur diplômé de l'Institut supérieur d'électronique de Paris</t>
        </is>
      </c>
      <c r="L2027" s="45" t="inlineStr">
        <is>
          <t>31/12/2030</t>
        </is>
      </c>
      <c r="M2027" s="45" t="inlineStr"/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31/12/2030</t>
        </is>
      </c>
      <c r="M2028" s="45" t="inlineStr"/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31/12/2030</t>
        </is>
      </c>
      <c r="M2029" s="45" t="inlineStr"/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31/12/2030</t>
        </is>
      </c>
      <c r="M2030" s="45" t="inlineStr"/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31/12/2030</t>
        </is>
      </c>
      <c r="M2031" s="45" t="inlineStr"/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31/12/2030</t>
        </is>
      </c>
      <c r="M2032" s="45" t="inlineStr"/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31/12/2030</t>
        </is>
      </c>
      <c r="M2033" s="45" t="inlineStr"/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Titre ingénieur - Ingénieur diplômé de l’ESIEE IT - CCI Paris Ile-de-France Éducation</t>
        </is>
      </c>
      <c r="L2034" s="45" t="inlineStr">
        <is>
          <t>31/12/2030</t>
        </is>
      </c>
      <c r="M2034" s="45" t="inlineStr"/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TP - Technicien en géomatique</t>
        </is>
      </c>
      <c r="L2035" s="45" t="inlineStr">
        <is>
          <t>31/12/2030</t>
        </is>
      </c>
      <c r="M2035" s="45" t="inlineStr"/>
      <c r="N2035" s="50" t="inlineStr">
        <is>
          <t>NON</t>
        </is>
      </c>
      <c r="O2035" s="45" t="inlineStr"/>
    </row>
    <row r="2036" customFormat="1" s="3">
      <c r="A2036" s="45" t="n"/>
      <c r="B2036" s="46" t="inlineStr">
        <is>
          <t>31003</t>
        </is>
      </c>
      <c r="C2036" s="46">
        <f>LEFT(Tableau1[[#This Row],[Formacode]],3)</f>
        <v/>
      </c>
      <c r="D2036" s="47" t="n">
        <v>38018</v>
      </c>
      <c r="E2036" s="48">
        <f>"RNCP"&amp;D2036</f>
        <v/>
      </c>
      <c r="F2036" s="48" t="inlineStr">
        <is>
          <t>Chef de projet digital</t>
        </is>
      </c>
      <c r="G2036" s="49">
        <f>E2036&amp;" - "&amp;F2036</f>
        <v/>
      </c>
      <c r="H2036" s="36" t="inlineStr">
        <is>
          <t>RAS</t>
        </is>
      </c>
      <c r="I2036" s="45" t="inlineStr"/>
      <c r="J2036" s="45" t="inlineStr">
        <is>
          <t>RNCP38018</t>
        </is>
      </c>
      <c r="K2036" s="45" t="inlineStr">
        <is>
          <t>Chef de projet digital</t>
        </is>
      </c>
      <c r="L2036" s="45" t="inlineStr">
        <is>
          <t>31/12/2030</t>
        </is>
      </c>
      <c r="M2036" s="45" t="inlineStr"/>
      <c r="N2036" s="50" t="inlineStr">
        <is>
          <t>NON</t>
        </is>
      </c>
      <c r="O2036" s="45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Diplôme visé - Expert en Ingénierie Informatique et Innovation Numérique</t>
        </is>
      </c>
      <c r="L2037" s="45" t="inlineStr">
        <is>
          <t>31/12/2030</t>
        </is>
      </c>
      <c r="M2037" s="45" t="inlineStr"/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Titre ingénieur - Ingénieur diplômé de l'Institut supérieur d'électronique de Paris</t>
        </is>
      </c>
      <c r="L2038" s="45" t="inlineStr">
        <is>
          <t>31/12/2030</t>
        </is>
      </c>
      <c r="M2038" s="45" t="inlineStr"/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31/12/2030</t>
        </is>
      </c>
      <c r="M2039" s="45" t="inlineStr"/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31/12/2030</t>
        </is>
      </c>
      <c r="M2040" s="45" t="inlineStr"/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31/12/2030</t>
        </is>
      </c>
      <c r="M2041" s="45" t="inlineStr"/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31/12/2030</t>
        </is>
      </c>
      <c r="M2042" s="45" t="inlineStr"/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Titre ingénieur - Ingénieur diplômé de l’ESIEE IT - CCI Paris Ile-de-France Éducation</t>
        </is>
      </c>
      <c r="L2043" s="45" t="inlineStr">
        <is>
          <t>31/12/2030</t>
        </is>
      </c>
      <c r="M2043" s="45" t="inlineStr"/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TP - Technicien en géomatique</t>
        </is>
      </c>
      <c r="L2044" s="45" t="inlineStr">
        <is>
          <t>31/12/2030</t>
        </is>
      </c>
      <c r="M2044" s="45" t="inlineStr"/>
      <c r="N2044" s="50" t="inlineStr">
        <is>
          <t>NON</t>
        </is>
      </c>
      <c r="O2044" s="45" t="inlineStr"/>
    </row>
    <row r="2045" customFormat="1" s="3">
      <c r="A2045" s="45" t="n"/>
      <c r="B2045" s="46" t="inlineStr">
        <is>
          <t>31004</t>
        </is>
      </c>
      <c r="C2045" s="46">
        <f>LEFT(Tableau1[[#This Row],[Formacode]],3)</f>
        <v/>
      </c>
      <c r="D2045" s="47" t="n">
        <v>38018</v>
      </c>
      <c r="E2045" s="48">
        <f>"RNCP"&amp;D2045</f>
        <v/>
      </c>
      <c r="F2045" s="48" t="inlineStr">
        <is>
          <t>Chef de projet digital</t>
        </is>
      </c>
      <c r="G2045" s="49">
        <f>E2045&amp;" - "&amp;F2045</f>
        <v/>
      </c>
      <c r="H2045" s="36" t="inlineStr">
        <is>
          <t>RAS</t>
        </is>
      </c>
      <c r="I2045" s="45" t="inlineStr"/>
      <c r="J2045" s="45" t="inlineStr">
        <is>
          <t>RNCP38018</t>
        </is>
      </c>
      <c r="K2045" s="45" t="inlineStr">
        <is>
          <t>Chef de projet digital</t>
        </is>
      </c>
      <c r="L2045" s="45" t="inlineStr">
        <is>
          <t>31/12/2030</t>
        </is>
      </c>
      <c r="M2045" s="45" t="inlineStr"/>
      <c r="N2045" s="50" t="inlineStr">
        <is>
          <t>NON</t>
        </is>
      </c>
      <c r="O2045" s="45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Diplôme visé - Expert en Ingénierie Informatique et Innovation Numérique</t>
        </is>
      </c>
      <c r="L2046" s="45" t="inlineStr">
        <is>
          <t>31/12/2030</t>
        </is>
      </c>
      <c r="M2046" s="45" t="inlineStr"/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Titre ingénieur - Ingénieur diplômé de l'Institut supérieur d'électronique de Paris</t>
        </is>
      </c>
      <c r="L2047" s="45" t="inlineStr">
        <is>
          <t>31/12/2030</t>
        </is>
      </c>
      <c r="M2047" s="45" t="inlineStr"/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31/12/2030</t>
        </is>
      </c>
      <c r="M2048" s="45" t="inlineStr"/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31/12/2030</t>
        </is>
      </c>
      <c r="M2049" s="45" t="inlineStr"/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31/12/2030</t>
        </is>
      </c>
      <c r="M2050" s="45" t="inlineStr"/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31/12/2030</t>
        </is>
      </c>
      <c r="M2051" s="45" t="inlineStr"/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31/12/2030</t>
        </is>
      </c>
      <c r="M2052" s="45" t="inlineStr"/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Titre ingénieur - Ingénieur diplômé de l’ESIEE IT - CCI Paris Ile-de-France Éducation</t>
        </is>
      </c>
      <c r="L2053" s="45" t="inlineStr">
        <is>
          <t>31/12/2030</t>
        </is>
      </c>
      <c r="M2053" s="45" t="inlineStr"/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TP - Technicien en géomatique</t>
        </is>
      </c>
      <c r="L2054" s="45" t="inlineStr">
        <is>
          <t>31/12/2030</t>
        </is>
      </c>
      <c r="M2054" s="45" t="inlineStr"/>
      <c r="N2054" s="50" t="inlineStr">
        <is>
          <t>NON</t>
        </is>
      </c>
      <c r="O2054" s="45" t="inlineStr"/>
    </row>
    <row r="2055" customFormat="1" s="3">
      <c r="A2055" s="45" t="n"/>
      <c r="B2055" s="46" t="inlineStr">
        <is>
          <t>31005</t>
        </is>
      </c>
      <c r="C2055" s="46">
        <f>LEFT(Tableau1[[#This Row],[Formacode]],3)</f>
        <v/>
      </c>
      <c r="D2055" s="47" t="n">
        <v>38018</v>
      </c>
      <c r="E2055" s="48">
        <f>"RNCP"&amp;D2055</f>
        <v/>
      </c>
      <c r="F2055" s="48" t="inlineStr">
        <is>
          <t>Chef de projet digital</t>
        </is>
      </c>
      <c r="G2055" s="49">
        <f>E2055&amp;" - "&amp;F2055</f>
        <v/>
      </c>
      <c r="H2055" s="36" t="inlineStr">
        <is>
          <t>RAS</t>
        </is>
      </c>
      <c r="I2055" s="45" t="inlineStr"/>
      <c r="J2055" s="45" t="inlineStr">
        <is>
          <t>RNCP38018</t>
        </is>
      </c>
      <c r="K2055" s="45" t="inlineStr">
        <is>
          <t>Chef de projet digital</t>
        </is>
      </c>
      <c r="L2055" s="45" t="inlineStr">
        <is>
          <t>31/12/2030</t>
        </is>
      </c>
      <c r="M2055" s="45" t="inlineStr"/>
      <c r="N2055" s="50" t="inlineStr">
        <is>
          <t>NON</t>
        </is>
      </c>
      <c r="O2055" s="45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Diplôme visé - Expert en Ingénierie Informatique et Innovation Numérique</t>
        </is>
      </c>
      <c r="L2056" s="45" t="inlineStr">
        <is>
          <t>31/12/2030</t>
        </is>
      </c>
      <c r="M2056" s="45" t="inlineStr"/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Titre ingénieur - Ingénieur diplômé de l'Institut supérieur d'électronique de Paris</t>
        </is>
      </c>
      <c r="L2057" s="45" t="inlineStr">
        <is>
          <t>31/12/2030</t>
        </is>
      </c>
      <c r="M2057" s="45" t="inlineStr"/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31/12/2030</t>
        </is>
      </c>
      <c r="M2058" s="45" t="inlineStr"/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31/12/2030</t>
        </is>
      </c>
      <c r="M2059" s="45" t="inlineStr"/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31/12/2030</t>
        </is>
      </c>
      <c r="M2060" s="45" t="inlineStr"/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31/12/2030</t>
        </is>
      </c>
      <c r="M2061" s="45" t="inlineStr"/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Titre ingénieur - Ingénieur diplômé de l’ESIEE IT - CCI Paris Ile-de-France Éducation</t>
        </is>
      </c>
      <c r="L2062" s="45" t="inlineStr">
        <is>
          <t>31/12/2030</t>
        </is>
      </c>
      <c r="M2062" s="45" t="inlineStr"/>
      <c r="N2062" s="50" t="inlineStr">
        <is>
          <t>NON</t>
        </is>
      </c>
      <c r="O2062" s="45" t="inlineStr"/>
    </row>
    <row r="2063" customFormat="1" s="3">
      <c r="A2063" s="45" t="n"/>
      <c r="B2063" s="46" t="inlineStr">
        <is>
          <t>31006</t>
        </is>
      </c>
      <c r="C2063" s="46">
        <f>LEFT(Tableau1[[#This Row],[Formacode]],3)</f>
        <v/>
      </c>
      <c r="D2063" s="47" t="n">
        <v>35517</v>
      </c>
      <c r="E2063" s="48">
        <f>"RNCP"&amp;D2063</f>
        <v/>
      </c>
      <c r="F2063" s="48" t="inlineStr">
        <is>
          <t>CS - Services numériques aux organisations</t>
        </is>
      </c>
      <c r="G2063" s="49">
        <f>E2063&amp;" - "&amp;F2063</f>
        <v/>
      </c>
      <c r="H2063" s="36" t="inlineStr">
        <is>
          <t>RAS</t>
        </is>
      </c>
      <c r="I2063" s="45" t="inlineStr"/>
      <c r="J2063" s="45" t="inlineStr">
        <is>
          <t>RNCP35517</t>
        </is>
      </c>
      <c r="K2063" s="45" t="inlineStr">
        <is>
          <t>CS - Services numériques aux organisations</t>
        </is>
      </c>
      <c r="L2063" s="45" t="inlineStr">
        <is>
          <t>31/12/2030</t>
        </is>
      </c>
      <c r="M2063" s="45" t="inlineStr"/>
      <c r="N2063" s="50" t="inlineStr">
        <is>
          <t>NON</t>
        </is>
      </c>
      <c r="O2063" s="45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TP - Technicien en géomatique</t>
        </is>
      </c>
      <c r="L2064" s="45" t="inlineStr">
        <is>
          <t>31/12/2030</t>
        </is>
      </c>
      <c r="M2064" s="45" t="inlineStr"/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BTS - Cybersécurité, Informatique et réseaux, Électronique  - Option A : « Informatique et réseaux », Option B : « Électronique et réseaux »</t>
        </is>
      </c>
      <c r="L2065" s="45" t="inlineStr">
        <is>
          <t>31/12/2030</t>
        </is>
      </c>
      <c r="M2065" s="45" t="inlineStr"/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CS - Cybersécurité</t>
        </is>
      </c>
      <c r="L2066" s="45" t="inlineStr">
        <is>
          <t>31/12/2030</t>
        </is>
      </c>
      <c r="M2066" s="45" t="inlineStr"/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BAC PRO - Cybersécurité, Informatique et réseaux, Electronique</t>
        </is>
      </c>
      <c r="L2067" s="45" t="inlineStr">
        <is>
          <t>31/12/2030</t>
        </is>
      </c>
      <c r="M2067" s="45" t="inlineStr"/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TP - Développeur web et web mobile</t>
        </is>
      </c>
      <c r="L2068" s="45" t="inlineStr">
        <is>
          <t>31/12/2030</t>
        </is>
      </c>
      <c r="M2068" s="45" t="inlineStr"/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TP - Administrateur d'infrastructures sécurisées</t>
        </is>
      </c>
      <c r="L2069" s="45" t="inlineStr">
        <is>
          <t>31/12/2030</t>
        </is>
      </c>
      <c r="M2069" s="45" t="inlineStr"/>
      <c r="N2069" s="50" t="inlineStr">
        <is>
          <t>NON</t>
        </is>
      </c>
      <c r="O2069" s="45" t="inlineStr"/>
    </row>
    <row r="2070" customFormat="1" s="3">
      <c r="A2070" s="45" t="n"/>
      <c r="B2070" s="46" t="inlineStr">
        <is>
          <t>31006</t>
        </is>
      </c>
      <c r="C2070" s="46">
        <f>LEFT(Tableau1[[#This Row],[Formacode]],3)</f>
        <v/>
      </c>
      <c r="D2070" s="47" t="n">
        <v>37778</v>
      </c>
      <c r="E2070" s="48">
        <f>"RNCP"&amp;D2070</f>
        <v/>
      </c>
      <c r="F2070" s="48" t="inlineStr">
        <is>
          <t>Développeur de solutions numériques sécurisées</t>
        </is>
      </c>
      <c r="G2070" s="49">
        <f>E2070&amp;" - "&amp;F2070</f>
        <v/>
      </c>
      <c r="H2070" s="36" t="inlineStr">
        <is>
          <t>RAS</t>
        </is>
      </c>
      <c r="I2070" s="45" t="inlineStr"/>
      <c r="J2070" s="45" t="inlineStr">
        <is>
          <t>RNCP37778</t>
        </is>
      </c>
      <c r="K2070" s="45" t="inlineStr">
        <is>
          <t>Développeur de solutions numériques sécurisées</t>
        </is>
      </c>
      <c r="L2070" s="45" t="inlineStr">
        <is>
          <t>31/12/2030</t>
        </is>
      </c>
      <c r="M2070" s="45" t="inlineStr"/>
      <c r="N2070" s="50" t="inlineStr">
        <is>
          <t>NON</t>
        </is>
      </c>
      <c r="O2070" s="45" t="inlineStr"/>
    </row>
    <row r="2071" customFormat="1" s="3">
      <c r="A2071" s="45" t="n"/>
      <c r="B2071" s="46" t="inlineStr">
        <is>
          <t>31006</t>
        </is>
      </c>
      <c r="C2071" s="46">
        <f>LEFT(Tableau1[[#This Row],[Formacode]],3)</f>
        <v/>
      </c>
      <c r="D2071" s="47" t="n">
        <v>37796</v>
      </c>
      <c r="E2071" s="48">
        <f>"RNCP"&amp;D2071</f>
        <v/>
      </c>
      <c r="F2071" s="48" t="inlineStr">
        <is>
          <t>Gestionnaire de la sécurité des données, des réseaux et des systèmes</t>
        </is>
      </c>
      <c r="G2071" s="49">
        <f>E2071&amp;" - "&amp;F2071</f>
        <v/>
      </c>
      <c r="H2071" s="36" t="inlineStr">
        <is>
          <t>RAS</t>
        </is>
      </c>
      <c r="I2071" s="45" t="inlineStr"/>
      <c r="J2071" s="45" t="inlineStr">
        <is>
          <t>RNCP37796</t>
        </is>
      </c>
      <c r="K2071" s="45" t="inlineStr">
        <is>
          <t>Gestionnaire de la sécurité des données, des réseaux et des systèmes</t>
        </is>
      </c>
      <c r="L2071" s="45" t="inlineStr">
        <is>
          <t>31/12/2030</t>
        </is>
      </c>
      <c r="M2071" s="45" t="inlineStr"/>
      <c r="N2071" s="50" t="inlineStr">
        <is>
          <t>NON</t>
        </is>
      </c>
      <c r="O2071" s="45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TP - Concepteur développeur d'applications</t>
        </is>
      </c>
      <c r="L2072" s="45" t="inlineStr">
        <is>
          <t>31/12/2030</t>
        </is>
      </c>
      <c r="M2072" s="45" t="inlineStr"/>
      <c r="N2072" s="50" t="inlineStr">
        <is>
          <t>NON</t>
        </is>
      </c>
      <c r="O2072" s="45" t="inlineStr"/>
    </row>
    <row r="2073" customFormat="1" s="3">
      <c r="A2073" s="45" t="n"/>
      <c r="B2073" s="46" t="inlineStr">
        <is>
          <t>31006</t>
        </is>
      </c>
      <c r="C2073" s="46">
        <f>LEFT(Tableau1[[#This Row],[Formacode]],3)</f>
        <v/>
      </c>
      <c r="D2073" s="47" t="n">
        <v>37985</v>
      </c>
      <c r="E2073" s="48">
        <f>"RNCP"&amp;D2073</f>
        <v/>
      </c>
      <c r="F2073" s="48" t="inlineStr">
        <is>
          <t>Expert en ingénierie logicielle</t>
        </is>
      </c>
      <c r="G2073" s="49">
        <f>E2073&amp;" - "&amp;F2073</f>
        <v/>
      </c>
      <c r="H2073" s="36" t="inlineStr">
        <is>
          <t>RAS</t>
        </is>
      </c>
      <c r="I2073" s="45" t="inlineStr"/>
      <c r="J2073" s="45" t="inlineStr">
        <is>
          <t>RNCP37985</t>
        </is>
      </c>
      <c r="K2073" s="45" t="inlineStr">
        <is>
          <t>Expert en ingénierie logicielle</t>
        </is>
      </c>
      <c r="L2073" s="45" t="inlineStr">
        <is>
          <t>31/12/2030</t>
        </is>
      </c>
      <c r="M2073" s="45" t="inlineStr"/>
      <c r="N2073" s="50" t="inlineStr">
        <is>
          <t>NON</t>
        </is>
      </c>
      <c r="O2073" s="45" t="inlineStr"/>
    </row>
    <row r="2074" customFormat="1" s="3">
      <c r="A2074" s="45" t="n"/>
      <c r="B2074" s="46" t="inlineStr">
        <is>
          <t>31006</t>
        </is>
      </c>
      <c r="C2074" s="46">
        <f>LEFT(Tableau1[[#This Row],[Formacode]],3)</f>
        <v/>
      </c>
      <c r="D2074" s="47" t="n">
        <v>37987</v>
      </c>
      <c r="E2074" s="48">
        <f>"RNCP"&amp;D2074</f>
        <v/>
      </c>
      <c r="F2074" s="48" t="inlineStr">
        <is>
          <t>Spécialiste en cybersécurité</t>
        </is>
      </c>
      <c r="G2074" s="49">
        <f>E2074&amp;" - "&amp;F2074</f>
        <v/>
      </c>
      <c r="H2074" s="36" t="inlineStr">
        <is>
          <t>RAS</t>
        </is>
      </c>
      <c r="I2074" s="45" t="inlineStr"/>
      <c r="J2074" s="45" t="inlineStr">
        <is>
          <t>RNCP37987</t>
        </is>
      </c>
      <c r="K2074" s="45" t="inlineStr">
        <is>
          <t>Spécialiste en cybersécurité</t>
        </is>
      </c>
      <c r="L2074" s="45" t="inlineStr">
        <is>
          <t>31/12/2030</t>
        </is>
      </c>
      <c r="M2074" s="45" t="inlineStr"/>
      <c r="N2074" s="50" t="inlineStr">
        <is>
          <t>NON</t>
        </is>
      </c>
      <c r="O2074" s="45" t="inlineStr"/>
    </row>
    <row r="2075" customFormat="1" s="3">
      <c r="A2075" s="45" t="n"/>
      <c r="B2075" s="46" t="inlineStr">
        <is>
          <t>31006</t>
        </is>
      </c>
      <c r="C2075" s="46">
        <f>LEFT(Tableau1[[#This Row],[Formacode]],3)</f>
        <v/>
      </c>
      <c r="D2075" s="47" t="n">
        <v>38018</v>
      </c>
      <c r="E2075" s="48">
        <f>"RNCP"&amp;D2075</f>
        <v/>
      </c>
      <c r="F2075" s="48" t="inlineStr">
        <is>
          <t>Chef de projet digital</t>
        </is>
      </c>
      <c r="G2075" s="49">
        <f>E2075&amp;" - "&amp;F2075</f>
        <v/>
      </c>
      <c r="H2075" s="36" t="inlineStr">
        <is>
          <t>RAS</t>
        </is>
      </c>
      <c r="I2075" s="45" t="inlineStr"/>
      <c r="J2075" s="45" t="inlineStr">
        <is>
          <t>RNCP38018</t>
        </is>
      </c>
      <c r="K2075" s="45" t="inlineStr">
        <is>
          <t>Chef de projet digital</t>
        </is>
      </c>
      <c r="L2075" s="45" t="inlineStr">
        <is>
          <t>31/12/2030</t>
        </is>
      </c>
      <c r="M2075" s="45" t="inlineStr"/>
      <c r="N2075" s="50" t="inlineStr">
        <is>
          <t>NON</t>
        </is>
      </c>
      <c r="O2075" s="45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31/12/2030</t>
        </is>
      </c>
      <c r="M2076" s="45" t="inlineStr"/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31/12/2030</t>
        </is>
      </c>
      <c r="M2077" s="45" t="inlineStr"/>
      <c r="N2077" s="50" t="inlineStr">
        <is>
          <t>NON</t>
        </is>
      </c>
      <c r="O2077" s="45" t="inlineStr"/>
    </row>
    <row r="2078" customFormat="1" s="3">
      <c r="A2078" s="45" t="n"/>
      <c r="B2078" s="46" t="inlineStr">
        <is>
          <t>31006</t>
        </is>
      </c>
      <c r="C2078" s="46">
        <f>LEFT(Tableau1[[#This Row],[Formacode]],3)</f>
        <v/>
      </c>
      <c r="D2078" s="47" t="n">
        <v>38463</v>
      </c>
      <c r="E2078" s="48">
        <f>"RNCP"&amp;D2078</f>
        <v/>
      </c>
      <c r="F2078" s="48" t="inlineStr">
        <is>
          <t>Expert en développement de solutions de cybersécurité</t>
        </is>
      </c>
      <c r="G2078" s="49">
        <f>E2078&amp;" - "&amp;F2078</f>
        <v/>
      </c>
      <c r="H2078" s="36" t="inlineStr">
        <is>
          <t>RAS</t>
        </is>
      </c>
      <c r="I2078" s="45" t="inlineStr"/>
      <c r="J2078" s="45" t="inlineStr">
        <is>
          <t>RNCP38463</t>
        </is>
      </c>
      <c r="K2078" s="45" t="inlineStr">
        <is>
          <t>Expert en développement de solutions de cybersécurité</t>
        </is>
      </c>
      <c r="L2078" s="45" t="inlineStr">
        <is>
          <t>31/12/2030</t>
        </is>
      </c>
      <c r="M2078" s="45" t="inlineStr"/>
      <c r="N2078" s="50" t="inlineStr">
        <is>
          <t>NON</t>
        </is>
      </c>
      <c r="O2078" s="45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31/12/2030</t>
        </is>
      </c>
      <c r="M2079" s="45" t="inlineStr"/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31/12/2030</t>
        </is>
      </c>
      <c r="M2080" s="45" t="inlineStr"/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Diplôme visé - Expert en Ingénierie Informatique et Innovation Numérique</t>
        </is>
      </c>
      <c r="L2081" s="45" t="inlineStr">
        <is>
          <t>31/12/2030</t>
        </is>
      </c>
      <c r="M2081" s="45" t="inlineStr"/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Titre ingénieur - Ingénieur diplômé de l'Institut supérieur d'électronique de Paris</t>
        </is>
      </c>
      <c r="L2082" s="45" t="inlineStr">
        <is>
          <t>31/12/2030</t>
        </is>
      </c>
      <c r="M2082" s="45" t="inlineStr"/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31/12/2030</t>
        </is>
      </c>
      <c r="M2083" s="45" t="inlineStr"/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31/12/2030</t>
        </is>
      </c>
      <c r="M2084" s="45" t="inlineStr"/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31/12/2030</t>
        </is>
      </c>
      <c r="M2085" s="45" t="inlineStr"/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31/12/2030</t>
        </is>
      </c>
      <c r="M2086" s="45" t="inlineStr"/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31/12/2030</t>
        </is>
      </c>
      <c r="M2087" s="45" t="inlineStr"/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31/12/2030</t>
        </is>
      </c>
      <c r="M2088" s="45" t="inlineStr"/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31/12/2030</t>
        </is>
      </c>
      <c r="M2089" s="45" t="inlineStr"/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31/12/2030</t>
        </is>
      </c>
      <c r="M2090" s="45" t="inlineStr"/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31/12/2030</t>
        </is>
      </c>
      <c r="M2091" s="45" t="inlineStr"/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Grade_Licence - Sciences et Ingénierie - Systèmes Numériques pour la Santé</t>
        </is>
      </c>
      <c r="L2092" s="45" t="inlineStr">
        <is>
          <t>31/12/2030</t>
        </is>
      </c>
      <c r="M2092" s="45" t="inlineStr"/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31/12/2030</t>
        </is>
      </c>
      <c r="M2093" s="45" t="inlineStr"/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31/12/2030</t>
        </is>
      </c>
      <c r="M2094" s="45" t="inlineStr"/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31/12/2030</t>
        </is>
      </c>
      <c r="M2095" s="45" t="inlineStr"/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31/12/2030</t>
        </is>
      </c>
      <c r="M2096" s="45" t="inlineStr"/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Titre ingénieur - Ingénieur diplômé de l’ESIEE IT - CCI Paris Ile-de-France Éducation</t>
        </is>
      </c>
      <c r="L2097" s="45" t="inlineStr">
        <is>
          <t>31/12/2030</t>
        </is>
      </c>
      <c r="M2097" s="45" t="inlineStr"/>
      <c r="N2097" s="50" t="inlineStr">
        <is>
          <t>NON</t>
        </is>
      </c>
      <c r="O2097" s="45" t="inlineStr"/>
    </row>
    <row r="2098" customFormat="1" s="3">
      <c r="A2098" s="45" t="n"/>
      <c r="B2098" s="46" t="inlineStr">
        <is>
          <t>31008</t>
        </is>
      </c>
      <c r="C2098" s="46">
        <f>LEFT(Tableau1[[#This Row],[Formacode]],3)</f>
        <v/>
      </c>
      <c r="D2098" s="47" t="n">
        <v>35435</v>
      </c>
      <c r="E2098" s="48">
        <f>"RNCP"&amp;D2098</f>
        <v/>
      </c>
      <c r="F2098" s="48" t="inlineStr">
        <is>
          <t>Manager en ingénierie informatique</t>
        </is>
      </c>
      <c r="G2098" s="49">
        <f>E2098&amp;" - "&amp;F2098</f>
        <v/>
      </c>
      <c r="H2098" s="36" t="inlineStr">
        <is>
          <t>RAS</t>
        </is>
      </c>
      <c r="I2098" s="45" t="inlineStr"/>
      <c r="J2098" s="45" t="inlineStr">
        <is>
          <t>RNCP35435</t>
        </is>
      </c>
      <c r="K2098" s="45" t="inlineStr">
        <is>
          <t>Manager en ingénierie informatique</t>
        </is>
      </c>
      <c r="L2098" s="45" t="inlineStr">
        <is>
          <t>31/12/2030</t>
        </is>
      </c>
      <c r="M2098" s="45" t="inlineStr"/>
      <c r="N2098" s="50" t="inlineStr">
        <is>
          <t>NON</t>
        </is>
      </c>
      <c r="O2098" s="45" t="inlineStr"/>
    </row>
    <row r="2099" customFormat="1" s="3">
      <c r="A2099" s="45" t="n"/>
      <c r="B2099" s="46" t="inlineStr">
        <is>
          <t>31008</t>
        </is>
      </c>
      <c r="C2099" s="46">
        <f>LEFT(Tableau1[[#This Row],[Formacode]],3)</f>
        <v/>
      </c>
      <c r="D2099" s="47" t="n">
        <v>35584</v>
      </c>
      <c r="E2099" s="48">
        <f>"RNCP"&amp;D2099</f>
        <v/>
      </c>
      <c r="F2099" s="48" t="inlineStr">
        <is>
          <t>Expert en informatique et système d'information</t>
        </is>
      </c>
      <c r="G2099" s="49">
        <f>E2099&amp;" - "&amp;F2099</f>
        <v/>
      </c>
      <c r="H2099" s="36" t="inlineStr">
        <is>
          <t>RAS</t>
        </is>
      </c>
      <c r="I2099" s="45" t="inlineStr"/>
      <c r="J2099" s="45" t="inlineStr">
        <is>
          <t>RNCP35584</t>
        </is>
      </c>
      <c r="K2099" s="45" t="inlineStr">
        <is>
          <t>Expert en informatique et système d'information</t>
        </is>
      </c>
      <c r="L2099" s="45" t="inlineStr">
        <is>
          <t>31/12/2030</t>
        </is>
      </c>
      <c r="M2099" s="45" t="inlineStr"/>
      <c r="N2099" s="50" t="inlineStr">
        <is>
          <t>NON</t>
        </is>
      </c>
      <c r="O2099" s="45" t="inlineStr"/>
    </row>
    <row r="2100" customFormat="1" s="3">
      <c r="A2100" s="45" t="n"/>
      <c r="B2100" s="46" t="inlineStr">
        <is>
          <t>31008</t>
        </is>
      </c>
      <c r="C2100" s="46">
        <f>LEFT(Tableau1[[#This Row],[Formacode]],3)</f>
        <v/>
      </c>
      <c r="D2100" s="47" t="n">
        <v>36061</v>
      </c>
      <c r="E2100" s="48">
        <f>"RNCP"&amp;D2100</f>
        <v/>
      </c>
      <c r="F2100" s="48" t="inlineStr">
        <is>
          <t>TP - Administrateur système DevOps</t>
        </is>
      </c>
      <c r="G2100" s="49">
        <f>E2100&amp;" - "&amp;F2100</f>
        <v/>
      </c>
      <c r="H2100" s="36" t="inlineStr">
        <is>
          <t>RAS</t>
        </is>
      </c>
      <c r="I2100" s="45" t="inlineStr"/>
      <c r="J2100" s="45" t="inlineStr">
        <is>
          <t>RNCP36061</t>
        </is>
      </c>
      <c r="K2100" s="45" t="inlineStr">
        <is>
          <t>TP - Administrateur système DevOps</t>
        </is>
      </c>
      <c r="L2100" s="45" t="inlineStr">
        <is>
          <t>31/12/2030</t>
        </is>
      </c>
      <c r="M2100" s="45" t="inlineStr"/>
      <c r="N2100" s="50" t="inlineStr">
        <is>
          <t>NON</t>
        </is>
      </c>
      <c r="O2100" s="45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31/12/2030</t>
        </is>
      </c>
      <c r="M2101" s="45" t="inlineStr"/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TP - Technicien en géomatique</t>
        </is>
      </c>
      <c r="L2102" s="45" t="inlineStr">
        <is>
          <t>31/12/2030</t>
        </is>
      </c>
      <c r="M2102" s="45" t="inlineStr"/>
      <c r="N2102" s="50" t="inlineStr">
        <is>
          <t>NON</t>
        </is>
      </c>
      <c r="O2102" s="45" t="inlineStr"/>
    </row>
    <row r="2103" customFormat="1" s="3">
      <c r="A2103" s="45" t="n"/>
      <c r="B2103" s="46" t="inlineStr">
        <is>
          <t>31008</t>
        </is>
      </c>
      <c r="C2103" s="46">
        <f>LEFT(Tableau1[[#This Row],[Formacode]],3)</f>
        <v/>
      </c>
      <c r="D2103" s="47" t="n">
        <v>37621</v>
      </c>
      <c r="E2103" s="48">
        <f>"RNCP"&amp;D2103</f>
        <v/>
      </c>
      <c r="F2103" s="48" t="inlineStr">
        <is>
          <t>Consultant en systèmes d’information (MS)</t>
        </is>
      </c>
      <c r="G2103" s="49">
        <f>E2103&amp;" - "&amp;F2103</f>
        <v/>
      </c>
      <c r="H2103" s="36" t="inlineStr">
        <is>
          <t>RAS</t>
        </is>
      </c>
      <c r="I2103" s="45" t="inlineStr"/>
      <c r="J2103" s="45" t="inlineStr">
        <is>
          <t>RNCP37621</t>
        </is>
      </c>
      <c r="K2103" s="45" t="inlineStr">
        <is>
          <t>Consultant en systèmes d’information (MS)</t>
        </is>
      </c>
      <c r="L2103" s="45" t="inlineStr">
        <is>
          <t>31/12/2030</t>
        </is>
      </c>
      <c r="M2103" s="45" t="inlineStr"/>
      <c r="N2103" s="50" t="inlineStr">
        <is>
          <t>NON</t>
        </is>
      </c>
      <c r="O2103" s="45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TP - Administrateur d'infrastructures sécurisées</t>
        </is>
      </c>
      <c r="L2104" s="45" t="inlineStr">
        <is>
          <t>31/12/2030</t>
        </is>
      </c>
      <c r="M2104" s="45" t="inlineStr"/>
      <c r="N2104" s="50" t="inlineStr">
        <is>
          <t>NON</t>
        </is>
      </c>
      <c r="O2104" s="45" t="inlineStr"/>
    </row>
    <row r="2105" customFormat="1" s="3">
      <c r="A2105" s="45" t="n"/>
      <c r="B2105" s="46" t="inlineStr">
        <is>
          <t>31008</t>
        </is>
      </c>
      <c r="C2105" s="46">
        <f>LEFT(Tableau1[[#This Row],[Formacode]],3)</f>
        <v/>
      </c>
      <c r="D2105" s="47" t="n">
        <v>37682</v>
      </c>
      <c r="E2105" s="48">
        <f>"RNCP"&amp;D2105</f>
        <v/>
      </c>
      <c r="F2105" s="48" t="inlineStr">
        <is>
          <t>TP - Technicien supérieur systèmes et réseaux</t>
        </is>
      </c>
      <c r="G2105" s="49">
        <f>E2105&amp;" - "&amp;F2105</f>
        <v/>
      </c>
      <c r="H2105" s="36" t="inlineStr">
        <is>
          <t>RAS</t>
        </is>
      </c>
      <c r="I2105" s="45" t="inlineStr"/>
      <c r="J2105" s="45" t="inlineStr">
        <is>
          <t>RNCP37682</t>
        </is>
      </c>
      <c r="K2105" s="45" t="inlineStr">
        <is>
          <t>TP - Technicien supérieur systèmes et réseaux</t>
        </is>
      </c>
      <c r="L2105" s="45" t="inlineStr">
        <is>
          <t>31/12/2030</t>
        </is>
      </c>
      <c r="M2105" s="45" t="inlineStr"/>
      <c r="N2105" s="50" t="inlineStr">
        <is>
          <t>NON</t>
        </is>
      </c>
      <c r="O2105" s="45" t="inlineStr"/>
    </row>
    <row r="2106" customFormat="1" s="3">
      <c r="A2106" s="45" t="n"/>
      <c r="B2106" s="46" t="inlineStr">
        <is>
          <t>31008</t>
        </is>
      </c>
      <c r="C2106" s="46">
        <f>LEFT(Tableau1[[#This Row],[Formacode]],3)</f>
        <v/>
      </c>
      <c r="D2106" s="47" t="n">
        <v>37785</v>
      </c>
      <c r="E2106" s="48">
        <f>"RNCP"&amp;D2106</f>
        <v/>
      </c>
      <c r="F2106" s="48" t="inlineStr">
        <is>
          <t>Expert en numérisation des systèmes et processus de production industriels</t>
        </is>
      </c>
      <c r="G2106" s="49">
        <f>E2106&amp;" - "&amp;F2106</f>
        <v/>
      </c>
      <c r="H2106" s="36" t="inlineStr">
        <is>
          <t>RAS</t>
        </is>
      </c>
      <c r="I2106" s="45" t="inlineStr"/>
      <c r="J2106" s="45" t="inlineStr">
        <is>
          <t>RNCP37785</t>
        </is>
      </c>
      <c r="K2106" s="45" t="inlineStr">
        <is>
          <t>Expert en numérisation des systèmes et processus de production industriels</t>
        </is>
      </c>
      <c r="L2106" s="45" t="inlineStr">
        <is>
          <t>31/12/2030</t>
        </is>
      </c>
      <c r="M2106" s="45" t="inlineStr"/>
      <c r="N2106" s="50" t="inlineStr">
        <is>
          <t>NON</t>
        </is>
      </c>
      <c r="O2106" s="45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TP - Concepteur développeur d'applications</t>
        </is>
      </c>
      <c r="L2107" s="45" t="inlineStr">
        <is>
          <t>31/12/2030</t>
        </is>
      </c>
      <c r="M2107" s="45" t="inlineStr"/>
      <c r="N2107" s="50" t="inlineStr">
        <is>
          <t>NON</t>
        </is>
      </c>
      <c r="O2107" s="45" t="inlineStr"/>
    </row>
    <row r="2108" customFormat="1" s="3">
      <c r="A2108" s="45" t="n"/>
      <c r="B2108" s="46" t="inlineStr">
        <is>
          <t>31008</t>
        </is>
      </c>
      <c r="C2108" s="46">
        <f>LEFT(Tableau1[[#This Row],[Formacode]],3)</f>
        <v/>
      </c>
      <c r="D2108" s="47" t="n">
        <v>37985</v>
      </c>
      <c r="E2108" s="48">
        <f>"RNCP"&amp;D2108</f>
        <v/>
      </c>
      <c r="F2108" s="48" t="inlineStr">
        <is>
          <t>Expert en ingénierie logicielle</t>
        </is>
      </c>
      <c r="G2108" s="49">
        <f>E2108&amp;" - "&amp;F2108</f>
        <v/>
      </c>
      <c r="H2108" s="36" t="inlineStr">
        <is>
          <t>RAS</t>
        </is>
      </c>
      <c r="I2108" s="45" t="inlineStr"/>
      <c r="J2108" s="45" t="inlineStr">
        <is>
          <t>RNCP37985</t>
        </is>
      </c>
      <c r="K2108" s="45" t="inlineStr">
        <is>
          <t>Expert en ingénierie logicielle</t>
        </is>
      </c>
      <c r="L2108" s="45" t="inlineStr">
        <is>
          <t>31/12/2030</t>
        </is>
      </c>
      <c r="M2108" s="45" t="inlineStr"/>
      <c r="N2108" s="50" t="inlineStr">
        <is>
          <t>NON</t>
        </is>
      </c>
      <c r="O2108" s="45" t="inlineStr"/>
    </row>
    <row r="2109" customFormat="1" s="3">
      <c r="A2109" s="45" t="n"/>
      <c r="B2109" s="46" t="inlineStr">
        <is>
          <t>31008</t>
        </is>
      </c>
      <c r="C2109" s="46">
        <f>LEFT(Tableau1[[#This Row],[Formacode]],3)</f>
        <v/>
      </c>
      <c r="D2109" s="47" t="n">
        <v>38018</v>
      </c>
      <c r="E2109" s="48">
        <f>"RNCP"&amp;D2109</f>
        <v/>
      </c>
      <c r="F2109" s="48" t="inlineStr">
        <is>
          <t>Chef de projet digital</t>
        </is>
      </c>
      <c r="G2109" s="49">
        <f>E2109&amp;" - "&amp;F2109</f>
        <v/>
      </c>
      <c r="H2109" s="36" t="inlineStr">
        <is>
          <t>RAS</t>
        </is>
      </c>
      <c r="I2109" s="45" t="inlineStr"/>
      <c r="J2109" s="45" t="inlineStr">
        <is>
          <t>RNCP38018</t>
        </is>
      </c>
      <c r="K2109" s="45" t="inlineStr">
        <is>
          <t>Chef de projet digital</t>
        </is>
      </c>
      <c r="L2109" s="45" t="inlineStr">
        <is>
          <t>31/12/2030</t>
        </is>
      </c>
      <c r="M2109" s="45" t="inlineStr"/>
      <c r="N2109" s="50" t="inlineStr">
        <is>
          <t>NON</t>
        </is>
      </c>
      <c r="O2109" s="45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31/12/2030</t>
        </is>
      </c>
      <c r="M2110" s="45" t="inlineStr"/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31/12/2030</t>
        </is>
      </c>
      <c r="M2111" s="45" t="inlineStr"/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31/12/2030</t>
        </is>
      </c>
      <c r="M2112" s="45" t="inlineStr"/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31/12/2030</t>
        </is>
      </c>
      <c r="M2113" s="45" t="inlineStr"/>
      <c r="N2113" s="50" t="inlineStr">
        <is>
          <t>NON</t>
        </is>
      </c>
      <c r="O2113" s="45" t="inlineStr"/>
    </row>
    <row r="2114" customFormat="1" s="3">
      <c r="A2114" s="45" t="n"/>
      <c r="B2114" s="46" t="inlineStr">
        <is>
          <t>31008</t>
        </is>
      </c>
      <c r="C2114" s="46">
        <f>LEFT(Tableau1[[#This Row],[Formacode]],3)</f>
        <v/>
      </c>
      <c r="D2114" s="47" t="n">
        <v>38777</v>
      </c>
      <c r="E2114" s="48">
        <f>"RNCP"&amp;D2114</f>
        <v/>
      </c>
      <c r="F2114" s="48" t="inlineStr">
        <is>
          <t>Architecte en intelligence artificielle</t>
        </is>
      </c>
      <c r="G2114" s="49">
        <f>E2114&amp;" - "&amp;F2114</f>
        <v/>
      </c>
      <c r="H2114" s="36" t="inlineStr">
        <is>
          <t>RAS</t>
        </is>
      </c>
      <c r="I2114" s="45" t="inlineStr"/>
      <c r="J2114" s="45" t="inlineStr">
        <is>
          <t>RNCP38777</t>
        </is>
      </c>
      <c r="K2114" s="45" t="inlineStr">
        <is>
          <t>Architecte en intelligence artificielle</t>
        </is>
      </c>
      <c r="L2114" s="45" t="inlineStr">
        <is>
          <t>31/12/2030</t>
        </is>
      </c>
      <c r="M2114" s="45" t="inlineStr"/>
      <c r="N2114" s="50" t="inlineStr">
        <is>
          <t>NON</t>
        </is>
      </c>
      <c r="O2114" s="45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31/12/2030</t>
        </is>
      </c>
      <c r="M2115" s="45" t="inlineStr"/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31/12/2030</t>
        </is>
      </c>
      <c r="M2116" s="45" t="inlineStr"/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31/12/2030</t>
        </is>
      </c>
      <c r="M2117" s="45" t="inlineStr"/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Diplôme visé - Expert en Ingénierie Informatique et Innovation Numérique</t>
        </is>
      </c>
      <c r="L2118" s="45" t="inlineStr">
        <is>
          <t>31/12/2030</t>
        </is>
      </c>
      <c r="M2118" s="45" t="inlineStr"/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Titre ingénieur - Ingénieur diplômé de l'Institut supérieur d'électronique de Paris</t>
        </is>
      </c>
      <c r="L2119" s="45" t="inlineStr">
        <is>
          <t>31/12/2030</t>
        </is>
      </c>
      <c r="M2119" s="45" t="inlineStr"/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31/12/2030</t>
        </is>
      </c>
      <c r="M2120" s="45" t="inlineStr"/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31/12/2030</t>
        </is>
      </c>
      <c r="M2121" s="45" t="inlineStr"/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31/12/2030</t>
        </is>
      </c>
      <c r="M2122" s="45" t="inlineStr"/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31/12/2030</t>
        </is>
      </c>
      <c r="M2123" s="45" t="inlineStr"/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31/12/2030</t>
        </is>
      </c>
      <c r="M2124" s="45" t="inlineStr"/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31/12/2030</t>
        </is>
      </c>
      <c r="M2125" s="45" t="inlineStr"/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31/12/2030</t>
        </is>
      </c>
      <c r="M2126" s="45" t="inlineStr"/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31/12/2030</t>
        </is>
      </c>
      <c r="M2127" s="45" t="inlineStr"/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31/12/2030</t>
        </is>
      </c>
      <c r="M2128" s="45" t="inlineStr"/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31/12/2030</t>
        </is>
      </c>
      <c r="M2129" s="45" t="inlineStr"/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31/12/2030</t>
        </is>
      </c>
      <c r="M2130" s="45" t="inlineStr"/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31/12/2030</t>
        </is>
      </c>
      <c r="M2131" s="45" t="inlineStr"/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31/12/2030</t>
        </is>
      </c>
      <c r="M2132" s="45" t="inlineStr"/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31/12/2030</t>
        </is>
      </c>
      <c r="M2133" s="45" t="inlineStr"/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TP - Technicien informatique de proximité</t>
        </is>
      </c>
      <c r="L2134" s="45" t="inlineStr">
        <is>
          <t>31/12/2030</t>
        </is>
      </c>
      <c r="M2134" s="45" t="inlineStr"/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31/12/2030</t>
        </is>
      </c>
      <c r="M2135" s="45" t="inlineStr"/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31/12/2030</t>
        </is>
      </c>
      <c r="M2136" s="45" t="inlineStr"/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31/12/2030</t>
        </is>
      </c>
      <c r="M2137" s="45" t="inlineStr"/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31/12/2030</t>
        </is>
      </c>
      <c r="M2138" s="45" t="inlineStr"/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31/12/2030</t>
        </is>
      </c>
      <c r="M2139" s="45" t="inlineStr"/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Titre ingénieur - Ingénieur diplômé de l’ESIEE IT - CCI Paris Ile-de-France Éducation</t>
        </is>
      </c>
      <c r="L2140" s="45" t="inlineStr">
        <is>
          <t>31/12/2030</t>
        </is>
      </c>
      <c r="M2140" s="45" t="inlineStr"/>
      <c r="N2140" s="50" t="inlineStr">
        <is>
          <t>NON</t>
        </is>
      </c>
      <c r="O2140" s="45" t="inlineStr"/>
    </row>
    <row r="2141" customFormat="1" s="3">
      <c r="A2141" s="45" t="n"/>
      <c r="B2141" s="46" t="inlineStr">
        <is>
          <t>31023</t>
        </is>
      </c>
      <c r="C2141" s="46">
        <f>LEFT(Tableau1[[#This Row],[Formacode]],3)</f>
        <v/>
      </c>
      <c r="D2141" s="47" t="n">
        <v>35584</v>
      </c>
      <c r="E2141" s="48">
        <f>"RNCP"&amp;D2141</f>
        <v/>
      </c>
      <c r="F2141" s="48" t="inlineStr">
        <is>
          <t>Expert en informatique et système d'information</t>
        </is>
      </c>
      <c r="G2141" s="49">
        <f>E2141&amp;" - "&amp;F2141</f>
        <v/>
      </c>
      <c r="H2141" s="36" t="inlineStr">
        <is>
          <t>RAS</t>
        </is>
      </c>
      <c r="I2141" s="45" t="inlineStr"/>
      <c r="J2141" s="45" t="inlineStr">
        <is>
          <t>RNCP35584</t>
        </is>
      </c>
      <c r="K2141" s="45" t="inlineStr">
        <is>
          <t>Expert en informatique et système d'information</t>
        </is>
      </c>
      <c r="L2141" s="45" t="inlineStr">
        <is>
          <t>31/12/2030</t>
        </is>
      </c>
      <c r="M2141" s="45" t="inlineStr"/>
      <c r="N2141" s="50" t="inlineStr">
        <is>
          <t>NON</t>
        </is>
      </c>
      <c r="O2141" s="45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TP - Technicien en géomatique</t>
        </is>
      </c>
      <c r="L2142" s="45" t="inlineStr">
        <is>
          <t>31/12/2030</t>
        </is>
      </c>
      <c r="M2142" s="45" t="inlineStr"/>
      <c r="N2142" s="50" t="inlineStr">
        <is>
          <t>NON</t>
        </is>
      </c>
      <c r="O2142" s="45" t="inlineStr"/>
    </row>
    <row r="2143" customFormat="1" s="3">
      <c r="A2143" s="45" t="n"/>
      <c r="B2143" s="46" t="inlineStr">
        <is>
          <t>31023</t>
        </is>
      </c>
      <c r="C2143" s="46">
        <f>LEFT(Tableau1[[#This Row],[Formacode]],3)</f>
        <v/>
      </c>
      <c r="D2143" s="47" t="n">
        <v>37422</v>
      </c>
      <c r="E2143" s="48">
        <f>"RNCP"&amp;D2143</f>
        <v/>
      </c>
      <c r="F2143" s="48" t="inlineStr">
        <is>
          <t>Data Engineer</t>
        </is>
      </c>
      <c r="G2143" s="49">
        <f>E2143&amp;" - "&amp;F2143</f>
        <v/>
      </c>
      <c r="H2143" s="36" t="inlineStr">
        <is>
          <t>RAS</t>
        </is>
      </c>
      <c r="I2143" s="45" t="inlineStr"/>
      <c r="J2143" s="45" t="inlineStr">
        <is>
          <t>RNCP37422</t>
        </is>
      </c>
      <c r="K2143" s="45" t="inlineStr">
        <is>
          <t>Data Engineer</t>
        </is>
      </c>
      <c r="L2143" s="45" t="inlineStr">
        <is>
          <t>31/12/2030</t>
        </is>
      </c>
      <c r="M2143" s="45" t="inlineStr"/>
      <c r="N2143" s="50" t="inlineStr">
        <is>
          <t>NON</t>
        </is>
      </c>
      <c r="O2143" s="45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31/12/2030</t>
        </is>
      </c>
      <c r="M2144" s="45" t="inlineStr"/>
      <c r="N2144" s="50" t="inlineStr">
        <is>
          <t>NON</t>
        </is>
      </c>
      <c r="O2144" s="45" t="inlineStr"/>
    </row>
    <row r="2145" customFormat="1" s="3">
      <c r="A2145" s="45" t="n"/>
      <c r="B2145" s="46" t="inlineStr">
        <is>
          <t>31023</t>
        </is>
      </c>
      <c r="C2145" s="46">
        <f>LEFT(Tableau1[[#This Row],[Formacode]],3)</f>
        <v/>
      </c>
      <c r="D2145" s="47" t="n">
        <v>38018</v>
      </c>
      <c r="E2145" s="48">
        <f>"RNCP"&amp;D2145</f>
        <v/>
      </c>
      <c r="F2145" s="48" t="inlineStr">
        <is>
          <t>Chef de projet digital</t>
        </is>
      </c>
      <c r="G2145" s="49">
        <f>E2145&amp;" - "&amp;F2145</f>
        <v/>
      </c>
      <c r="H2145" s="36" t="inlineStr">
        <is>
          <t>RAS</t>
        </is>
      </c>
      <c r="I2145" s="45" t="inlineStr"/>
      <c r="J2145" s="45" t="inlineStr">
        <is>
          <t>RNCP38018</t>
        </is>
      </c>
      <c r="K2145" s="45" t="inlineStr">
        <is>
          <t>Chef de projet digital</t>
        </is>
      </c>
      <c r="L2145" s="45" t="inlineStr">
        <is>
          <t>31/12/2030</t>
        </is>
      </c>
      <c r="M2145" s="45" t="inlineStr"/>
      <c r="N2145" s="50" t="inlineStr">
        <is>
          <t>NON</t>
        </is>
      </c>
      <c r="O2145" s="45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31/12/2030</t>
        </is>
      </c>
      <c r="M2146" s="45" t="inlineStr"/>
      <c r="N2146" s="50" t="inlineStr">
        <is>
          <t>NON</t>
        </is>
      </c>
      <c r="O2146" s="45" t="inlineStr"/>
    </row>
    <row r="2147" customFormat="1" s="3">
      <c r="A2147" s="45" t="n"/>
      <c r="B2147" s="46" t="inlineStr">
        <is>
          <t>31023</t>
        </is>
      </c>
      <c r="C2147" s="46">
        <f>LEFT(Tableau1[[#This Row],[Formacode]],3)</f>
        <v/>
      </c>
      <c r="D2147" s="47" t="n">
        <v>38777</v>
      </c>
      <c r="E2147" s="48">
        <f>"RNCP"&amp;D2147</f>
        <v/>
      </c>
      <c r="F2147" s="48" t="inlineStr">
        <is>
          <t>Architecte en intelligence artificielle</t>
        </is>
      </c>
      <c r="G2147" s="49">
        <f>E2147&amp;" - "&amp;F2147</f>
        <v/>
      </c>
      <c r="H2147" s="36" t="inlineStr">
        <is>
          <t>RAS</t>
        </is>
      </c>
      <c r="I2147" s="45" t="inlineStr"/>
      <c r="J2147" s="45" t="inlineStr">
        <is>
          <t>RNCP38777</t>
        </is>
      </c>
      <c r="K2147" s="45" t="inlineStr">
        <is>
          <t>Architecte en intelligence artificielle</t>
        </is>
      </c>
      <c r="L2147" s="45" t="inlineStr">
        <is>
          <t>31/12/2030</t>
        </is>
      </c>
      <c r="M2147" s="45" t="inlineStr"/>
      <c r="N2147" s="50" t="inlineStr">
        <is>
          <t>NON</t>
        </is>
      </c>
      <c r="O2147" s="45" t="inlineStr"/>
    </row>
    <row r="2148" customFormat="1" s="3">
      <c r="A2148" s="45" t="n"/>
      <c r="B2148" s="46" t="inlineStr">
        <is>
          <t>31023</t>
        </is>
      </c>
      <c r="C2148" s="46">
        <f>LEFT(Tableau1[[#This Row],[Formacode]],3)</f>
        <v/>
      </c>
      <c r="D2148" s="47" t="n">
        <v>38919</v>
      </c>
      <c r="E2148" s="48">
        <f>"RNCP"&amp;D2148</f>
        <v/>
      </c>
      <c r="F2148" s="48" t="inlineStr">
        <is>
          <t>Data engineer</t>
        </is>
      </c>
      <c r="G2148" s="49">
        <f>E2148&amp;" - "&amp;F2148</f>
        <v/>
      </c>
      <c r="H2148" s="36" t="inlineStr">
        <is>
          <t>RAS</t>
        </is>
      </c>
      <c r="I2148" s="45" t="inlineStr"/>
      <c r="J2148" s="45" t="inlineStr">
        <is>
          <t>RNCP38919</t>
        </is>
      </c>
      <c r="K2148" s="45" t="inlineStr">
        <is>
          <t>Data engineer</t>
        </is>
      </c>
      <c r="L2148" s="45" t="inlineStr">
        <is>
          <t>31/12/2030</t>
        </is>
      </c>
      <c r="M2148" s="45" t="inlineStr"/>
      <c r="N2148" s="50" t="inlineStr">
        <is>
          <t>NON</t>
        </is>
      </c>
      <c r="O2148" s="45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Diplôme visé - Expert en Ingénierie Informatique et Innovation Numérique</t>
        </is>
      </c>
      <c r="L2149" s="45" t="inlineStr">
        <is>
          <t>31/12/2030</t>
        </is>
      </c>
      <c r="M2149" s="45" t="inlineStr"/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Titre ingénieur - Ingénieur diplômé de l'Institut supérieur d'électronique de Paris</t>
        </is>
      </c>
      <c r="L2150" s="45" t="inlineStr">
        <is>
          <t>31/12/2030</t>
        </is>
      </c>
      <c r="M2150" s="45" t="inlineStr"/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31/12/2030</t>
        </is>
      </c>
      <c r="M2151" s="45" t="inlineStr"/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31/12/2030</t>
        </is>
      </c>
      <c r="M2152" s="45" t="inlineStr"/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31/12/2030</t>
        </is>
      </c>
      <c r="M2153" s="45" t="inlineStr"/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31/12/2030</t>
        </is>
      </c>
      <c r="M2154" s="45" t="inlineStr"/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31/12/2030</t>
        </is>
      </c>
      <c r="M2155" s="45" t="inlineStr"/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31/12/2030</t>
        </is>
      </c>
      <c r="M2156" s="45" t="inlineStr"/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31/12/2030</t>
        </is>
      </c>
      <c r="M2157" s="45" t="inlineStr"/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31/12/2030</t>
        </is>
      </c>
      <c r="M2158" s="45" t="inlineStr"/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31/12/2030</t>
        </is>
      </c>
      <c r="M2159" s="45" t="inlineStr"/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31/12/2030</t>
        </is>
      </c>
      <c r="M2160" s="45" t="inlineStr"/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Titre ingénieur - Ingénieur diplômé de l’ESIEE IT - CCI Paris Ile-de-France Éducation</t>
        </is>
      </c>
      <c r="L2161" s="45" t="inlineStr">
        <is>
          <t>31/12/2030</t>
        </is>
      </c>
      <c r="M2161" s="45" t="inlineStr"/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TP - Technicien en géomatique</t>
        </is>
      </c>
      <c r="L2162" s="45" t="inlineStr">
        <is>
          <t>31/12/2030</t>
        </is>
      </c>
      <c r="M2162" s="45" t="inlineStr"/>
      <c r="N2162" s="50" t="inlineStr">
        <is>
          <t>NON</t>
        </is>
      </c>
      <c r="O2162" s="45" t="inlineStr"/>
    </row>
    <row r="2163" customFormat="1" s="3">
      <c r="A2163" s="45" t="n"/>
      <c r="B2163" s="46" t="inlineStr">
        <is>
          <t>31028</t>
        </is>
      </c>
      <c r="C2163" s="46">
        <f>LEFT(Tableau1[[#This Row],[Formacode]],3)</f>
        <v/>
      </c>
      <c r="D2163" s="47" t="n">
        <v>38018</v>
      </c>
      <c r="E2163" s="48">
        <f>"RNCP"&amp;D2163</f>
        <v/>
      </c>
      <c r="F2163" s="48" t="inlineStr">
        <is>
          <t>Chef de projet digital</t>
        </is>
      </c>
      <c r="G2163" s="49">
        <f>E2163&amp;" - "&amp;F2163</f>
        <v/>
      </c>
      <c r="H2163" s="36" t="inlineStr">
        <is>
          <t>RAS</t>
        </is>
      </c>
      <c r="I2163" s="45" t="inlineStr"/>
      <c r="J2163" s="45" t="inlineStr">
        <is>
          <t>RNCP38018</t>
        </is>
      </c>
      <c r="K2163" s="45" t="inlineStr">
        <is>
          <t>Chef de projet digital</t>
        </is>
      </c>
      <c r="L2163" s="45" t="inlineStr">
        <is>
          <t>31/12/2030</t>
        </is>
      </c>
      <c r="M2163" s="45" t="inlineStr"/>
      <c r="N2163" s="50" t="inlineStr">
        <is>
          <t>NON</t>
        </is>
      </c>
      <c r="O2163" s="45" t="inlineStr"/>
    </row>
    <row r="2164" customFormat="1" s="3">
      <c r="A2164" s="45" t="n"/>
      <c r="B2164" s="46" t="inlineStr">
        <is>
          <t>31028</t>
        </is>
      </c>
      <c r="C2164" s="46">
        <f>LEFT(Tableau1[[#This Row],[Formacode]],3)</f>
        <v/>
      </c>
      <c r="D2164" s="47" t="n">
        <v>38777</v>
      </c>
      <c r="E2164" s="48">
        <f>"RNCP"&amp;D2164</f>
        <v/>
      </c>
      <c r="F2164" s="48" t="inlineStr">
        <is>
          <t>Architecte en intelligence artificielle</t>
        </is>
      </c>
      <c r="G2164" s="49">
        <f>E2164&amp;" - "&amp;F2164</f>
        <v/>
      </c>
      <c r="H2164" s="36" t="inlineStr">
        <is>
          <t>RAS</t>
        </is>
      </c>
      <c r="I2164" s="45" t="inlineStr"/>
      <c r="J2164" s="45" t="inlineStr">
        <is>
          <t>RNCP38777</t>
        </is>
      </c>
      <c r="K2164" s="45" t="inlineStr">
        <is>
          <t>Architecte en intelligence artificielle</t>
        </is>
      </c>
      <c r="L2164" s="45" t="inlineStr">
        <is>
          <t>31/12/2030</t>
        </is>
      </c>
      <c r="M2164" s="45" t="inlineStr"/>
      <c r="N2164" s="50" t="inlineStr">
        <is>
          <t>NON</t>
        </is>
      </c>
      <c r="O2164" s="45" t="inlineStr"/>
    </row>
    <row r="2165" customFormat="1" s="3">
      <c r="A2165" s="45" t="n"/>
      <c r="B2165" s="46" t="inlineStr">
        <is>
          <t>31028</t>
        </is>
      </c>
      <c r="C2165" s="46">
        <f>LEFT(Tableau1[[#This Row],[Formacode]],3)</f>
        <v/>
      </c>
      <c r="D2165" s="47" t="n">
        <v>38919</v>
      </c>
      <c r="E2165" s="48">
        <f>"RNCP"&amp;D2165</f>
        <v/>
      </c>
      <c r="F2165" s="48" t="inlineStr">
        <is>
          <t>Data engineer</t>
        </is>
      </c>
      <c r="G2165" s="49">
        <f>E2165&amp;" - "&amp;F2165</f>
        <v/>
      </c>
      <c r="H2165" s="36" t="inlineStr">
        <is>
          <t>RAS</t>
        </is>
      </c>
      <c r="I2165" s="45" t="inlineStr"/>
      <c r="J2165" s="45" t="inlineStr">
        <is>
          <t>RNCP38919</t>
        </is>
      </c>
      <c r="K2165" s="45" t="inlineStr">
        <is>
          <t>Data engineer</t>
        </is>
      </c>
      <c r="L2165" s="45" t="inlineStr">
        <is>
          <t>31/12/2030</t>
        </is>
      </c>
      <c r="M2165" s="45" t="inlineStr"/>
      <c r="N2165" s="50" t="inlineStr">
        <is>
          <t>NON</t>
        </is>
      </c>
      <c r="O2165" s="45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Diplôme visé - Expert en Ingénierie Informatique et Innovation Numérique</t>
        </is>
      </c>
      <c r="L2166" s="45" t="inlineStr">
        <is>
          <t>31/12/2030</t>
        </is>
      </c>
      <c r="M2166" s="45" t="inlineStr"/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Titre ingénieur - Ingénieur diplômé de l'Institut supérieur d'électronique de Paris</t>
        </is>
      </c>
      <c r="L2167" s="45" t="inlineStr">
        <is>
          <t>31/12/2030</t>
        </is>
      </c>
      <c r="M2167" s="45" t="inlineStr"/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31/12/2030</t>
        </is>
      </c>
      <c r="M2168" s="45" t="inlineStr"/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31/12/2030</t>
        </is>
      </c>
      <c r="M2169" s="45" t="inlineStr"/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31/12/2030</t>
        </is>
      </c>
      <c r="M2170" s="45" t="inlineStr"/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31/12/2030</t>
        </is>
      </c>
      <c r="M2171" s="45" t="inlineStr"/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31/12/2030</t>
        </is>
      </c>
      <c r="M2172" s="45" t="inlineStr"/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31/12/2030</t>
        </is>
      </c>
      <c r="M2173" s="45" t="inlineStr"/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31/12/2030</t>
        </is>
      </c>
      <c r="M2174" s="45" t="inlineStr"/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31/12/2030</t>
        </is>
      </c>
      <c r="M2175" s="45" t="inlineStr"/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Titre ingénieur - Ingénieur diplômé de l’ESIEE IT - CCI Paris Ile-de-France Éducation</t>
        </is>
      </c>
      <c r="L2176" s="45" t="inlineStr">
        <is>
          <t>31/12/2030</t>
        </is>
      </c>
      <c r="M2176" s="45" t="inlineStr"/>
      <c r="N2176" s="50" t="inlineStr">
        <is>
          <t>NON</t>
        </is>
      </c>
      <c r="O2176" s="45" t="inlineStr"/>
    </row>
    <row r="2177" customFormat="1" s="3">
      <c r="A2177" s="45" t="n"/>
      <c r="B2177" s="46" t="inlineStr">
        <is>
          <t>31032</t>
        </is>
      </c>
      <c r="C2177" s="46">
        <f>LEFT(Tableau1[[#This Row],[Formacode]],3)</f>
        <v/>
      </c>
      <c r="D2177" s="47" t="n">
        <v>36061</v>
      </c>
      <c r="E2177" s="48">
        <f>"RNCP"&amp;D2177</f>
        <v/>
      </c>
      <c r="F2177" s="48" t="inlineStr">
        <is>
          <t>TP - Administrateur système DevOps</t>
        </is>
      </c>
      <c r="G2177" s="49">
        <f>E2177&amp;" - "&amp;F2177</f>
        <v/>
      </c>
      <c r="H2177" s="36" t="inlineStr">
        <is>
          <t>RAS</t>
        </is>
      </c>
      <c r="I2177" s="45" t="inlineStr"/>
      <c r="J2177" s="45" t="inlineStr">
        <is>
          <t>RNCP36061</t>
        </is>
      </c>
      <c r="K2177" s="45" t="inlineStr">
        <is>
          <t>TP - Administrateur système DevOps</t>
        </is>
      </c>
      <c r="L2177" s="45" t="inlineStr">
        <is>
          <t>31/12/2030</t>
        </is>
      </c>
      <c r="M2177" s="45" t="inlineStr"/>
      <c r="N2177" s="50" t="inlineStr">
        <is>
          <t>NON</t>
        </is>
      </c>
      <c r="O2177" s="45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TP - Technicien en géomatique</t>
        </is>
      </c>
      <c r="L2178" s="45" t="inlineStr">
        <is>
          <t>31/12/2030</t>
        </is>
      </c>
      <c r="M2178" s="45" t="inlineStr"/>
      <c r="N2178" s="50" t="inlineStr">
        <is>
          <t>NON</t>
        </is>
      </c>
      <c r="O2178" s="45" t="inlineStr"/>
    </row>
    <row r="2179" customFormat="1" s="3">
      <c r="A2179" s="45" t="n"/>
      <c r="B2179" s="46" t="inlineStr">
        <is>
          <t>31032</t>
        </is>
      </c>
      <c r="C2179" s="46">
        <f>LEFT(Tableau1[[#This Row],[Formacode]],3)</f>
        <v/>
      </c>
      <c r="D2179" s="47" t="n">
        <v>38018</v>
      </c>
      <c r="E2179" s="48">
        <f>"RNCP"&amp;D2179</f>
        <v/>
      </c>
      <c r="F2179" s="48" t="inlineStr">
        <is>
          <t>Chef de projet digital</t>
        </is>
      </c>
      <c r="G2179" s="49">
        <f>E2179&amp;" - "&amp;F2179</f>
        <v/>
      </c>
      <c r="H2179" s="36" t="inlineStr">
        <is>
          <t>RAS</t>
        </is>
      </c>
      <c r="I2179" s="45" t="inlineStr"/>
      <c r="J2179" s="45" t="inlineStr">
        <is>
          <t>RNCP38018</t>
        </is>
      </c>
      <c r="K2179" s="45" t="inlineStr">
        <is>
          <t>Chef de projet digital</t>
        </is>
      </c>
      <c r="L2179" s="45" t="inlineStr">
        <is>
          <t>31/12/2030</t>
        </is>
      </c>
      <c r="M2179" s="45" t="inlineStr"/>
      <c r="N2179" s="50" t="inlineStr">
        <is>
          <t>NON</t>
        </is>
      </c>
      <c r="O2179" s="45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Diplôme visé - Expert en Ingénierie Informatique et Innovation Numérique</t>
        </is>
      </c>
      <c r="L2180" s="45" t="inlineStr">
        <is>
          <t>31/12/2030</t>
        </is>
      </c>
      <c r="M2180" s="45" t="inlineStr"/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Titre ingénieur - Ingénieur diplômé de l'Institut supérieur d'électronique de Paris</t>
        </is>
      </c>
      <c r="L2181" s="45" t="inlineStr">
        <is>
          <t>31/12/2030</t>
        </is>
      </c>
      <c r="M2181" s="45" t="inlineStr"/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31/12/2030</t>
        </is>
      </c>
      <c r="M2182" s="45" t="inlineStr"/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31/12/2030</t>
        </is>
      </c>
      <c r="M2183" s="45" t="inlineStr"/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31/12/2030</t>
        </is>
      </c>
      <c r="M2184" s="45" t="inlineStr"/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31/12/2030</t>
        </is>
      </c>
      <c r="M2185" s="45" t="inlineStr"/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31/12/2030</t>
        </is>
      </c>
      <c r="M2186" s="45" t="inlineStr"/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31/12/2030</t>
        </is>
      </c>
      <c r="M2187" s="45" t="inlineStr"/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Titre ingénieur - Ingénieur diplômé de l’ESIEE IT - CCI Paris Ile-de-France Éducation</t>
        </is>
      </c>
      <c r="L2188" s="45" t="inlineStr">
        <is>
          <t>31/12/2030</t>
        </is>
      </c>
      <c r="M2188" s="45" t="inlineStr"/>
      <c r="N2188" s="50" t="inlineStr">
        <is>
          <t>NON</t>
        </is>
      </c>
      <c r="O2188" s="45" t="inlineStr"/>
    </row>
    <row r="2189" customFormat="1" s="3">
      <c r="A2189" s="45" t="n"/>
      <c r="B2189" s="46" t="inlineStr">
        <is>
          <t>31034</t>
        </is>
      </c>
      <c r="C2189" s="46">
        <f>LEFT(Tableau1[[#This Row],[Formacode]],3)</f>
        <v/>
      </c>
      <c r="D2189" s="47" t="n">
        <v>35594</v>
      </c>
      <c r="E2189" s="48">
        <f>"RNCP"&amp;D2189</f>
        <v/>
      </c>
      <c r="F2189" s="48" t="inlineStr">
        <is>
          <t>Administrateur systèmes, réseaux et bases de données</t>
        </is>
      </c>
      <c r="G2189" s="49">
        <f>E2189&amp;" - "&amp;F2189</f>
        <v/>
      </c>
      <c r="H2189" s="36" t="inlineStr">
        <is>
          <t>RAS</t>
        </is>
      </c>
      <c r="I2189" s="45" t="inlineStr"/>
      <c r="J2189" s="45" t="inlineStr">
        <is>
          <t>RNCP35594</t>
        </is>
      </c>
      <c r="K2189" s="45" t="inlineStr">
        <is>
          <t>Administrateur systèmes, réseaux et bases de données</t>
        </is>
      </c>
      <c r="L2189" s="45" t="inlineStr">
        <is>
          <t>31/12/2030</t>
        </is>
      </c>
      <c r="M2189" s="45" t="inlineStr"/>
      <c r="N2189" s="50" t="inlineStr">
        <is>
          <t>NON</t>
        </is>
      </c>
      <c r="O2189" s="45" t="inlineStr"/>
    </row>
    <row r="2190" customFormat="1" s="3">
      <c r="A2190" s="45" t="n"/>
      <c r="B2190" s="46" t="inlineStr">
        <is>
          <t>31034</t>
        </is>
      </c>
      <c r="C2190" s="46">
        <f>LEFT(Tableau1[[#This Row],[Formacode]],3)</f>
        <v/>
      </c>
      <c r="D2190" s="47" t="n">
        <v>36061</v>
      </c>
      <c r="E2190" s="48">
        <f>"RNCP"&amp;D2190</f>
        <v/>
      </c>
      <c r="F2190" s="48" t="inlineStr">
        <is>
          <t>TP - Administrateur système DevOps</t>
        </is>
      </c>
      <c r="G2190" s="49">
        <f>E2190&amp;" - "&amp;F2190</f>
        <v/>
      </c>
      <c r="H2190" s="36" t="inlineStr">
        <is>
          <t>RAS</t>
        </is>
      </c>
      <c r="I2190" s="45" t="inlineStr"/>
      <c r="J2190" s="45" t="inlineStr">
        <is>
          <t>RNCP36061</t>
        </is>
      </c>
      <c r="K2190" s="45" t="inlineStr">
        <is>
          <t>TP - Administrateur système DevOps</t>
        </is>
      </c>
      <c r="L2190" s="45" t="inlineStr">
        <is>
          <t>31/12/2030</t>
        </is>
      </c>
      <c r="M2190" s="45" t="inlineStr"/>
      <c r="N2190" s="50" t="inlineStr">
        <is>
          <t>NON</t>
        </is>
      </c>
      <c r="O2190" s="45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31/12/2030</t>
        </is>
      </c>
      <c r="M2191" s="45" t="inlineStr"/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TP - Technicien en géomatique</t>
        </is>
      </c>
      <c r="L2192" s="45" t="inlineStr">
        <is>
          <t>31/12/2030</t>
        </is>
      </c>
      <c r="M2192" s="45" t="inlineStr"/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TP - Administrateur d'infrastructures sécurisées</t>
        </is>
      </c>
      <c r="L2193" s="45" t="inlineStr">
        <is>
          <t>31/12/2030</t>
        </is>
      </c>
      <c r="M2193" s="45" t="inlineStr"/>
      <c r="N2193" s="50" t="inlineStr">
        <is>
          <t>NON</t>
        </is>
      </c>
      <c r="O2193" s="45" t="inlineStr"/>
    </row>
    <row r="2194" customFormat="1" s="3">
      <c r="A2194" s="45" t="n"/>
      <c r="B2194" s="46" t="inlineStr">
        <is>
          <t>31034</t>
        </is>
      </c>
      <c r="C2194" s="46">
        <f>LEFT(Tableau1[[#This Row],[Formacode]],3)</f>
        <v/>
      </c>
      <c r="D2194" s="47" t="n">
        <v>38018</v>
      </c>
      <c r="E2194" s="48">
        <f>"RNCP"&amp;D2194</f>
        <v/>
      </c>
      <c r="F2194" s="48" t="inlineStr">
        <is>
          <t>Chef de projet digital</t>
        </is>
      </c>
      <c r="G2194" s="49">
        <f>E2194&amp;" - "&amp;F2194</f>
        <v/>
      </c>
      <c r="H2194" s="36" t="inlineStr">
        <is>
          <t>RAS</t>
        </is>
      </c>
      <c r="I2194" s="45" t="inlineStr"/>
      <c r="J2194" s="45" t="inlineStr">
        <is>
          <t>RNCP38018</t>
        </is>
      </c>
      <c r="K2194" s="45" t="inlineStr">
        <is>
          <t>Chef de projet digital</t>
        </is>
      </c>
      <c r="L2194" s="45" t="inlineStr">
        <is>
          <t>31/12/2030</t>
        </is>
      </c>
      <c r="M2194" s="45" t="inlineStr"/>
      <c r="N2194" s="50" t="inlineStr">
        <is>
          <t>NON</t>
        </is>
      </c>
      <c r="O2194" s="45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31/12/2030</t>
        </is>
      </c>
      <c r="M2195" s="45" t="inlineStr"/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31/12/2030</t>
        </is>
      </c>
      <c r="M2196" s="45" t="inlineStr"/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31/12/2030</t>
        </is>
      </c>
      <c r="M2197" s="45" t="inlineStr"/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Diplôme visé - Expert en Ingénierie Informatique et Innovation Numérique</t>
        </is>
      </c>
      <c r="L2198" s="45" t="inlineStr">
        <is>
          <t>31/12/2030</t>
        </is>
      </c>
      <c r="M2198" s="45" t="inlineStr"/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Titre ingénieur - Ingénieur diplômé de l'Institut supérieur d'électronique de Paris</t>
        </is>
      </c>
      <c r="L2199" s="45" t="inlineStr">
        <is>
          <t>31/12/2030</t>
        </is>
      </c>
      <c r="M2199" s="45" t="inlineStr"/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31/12/2030</t>
        </is>
      </c>
      <c r="M2200" s="45" t="inlineStr"/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31/12/2030</t>
        </is>
      </c>
      <c r="M2201" s="45" t="inlineStr"/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31/12/2030</t>
        </is>
      </c>
      <c r="M2202" s="45" t="inlineStr"/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31/12/2030</t>
        </is>
      </c>
      <c r="M2203" s="45" t="inlineStr"/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31/12/2030</t>
        </is>
      </c>
      <c r="M2204" s="45" t="inlineStr"/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31/12/2030</t>
        </is>
      </c>
      <c r="M2205" s="45" t="inlineStr"/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Titre ingénieur - Ingénieur diplômé de l’ESIEE IT - CCI Paris Ile-de-France Éducation</t>
        </is>
      </c>
      <c r="L2206" s="45" t="inlineStr">
        <is>
          <t>31/12/2030</t>
        </is>
      </c>
      <c r="M2206" s="45" t="inlineStr"/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TP - Technicien en géomatique</t>
        </is>
      </c>
      <c r="L2207" s="45" t="inlineStr">
        <is>
          <t>31/12/2030</t>
        </is>
      </c>
      <c r="M2207" s="45" t="inlineStr"/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TP - Concepteur développeur d'applications</t>
        </is>
      </c>
      <c r="L2208" s="45" t="inlineStr">
        <is>
          <t>31/12/2030</t>
        </is>
      </c>
      <c r="M2208" s="45" t="inlineStr"/>
      <c r="N2208" s="50" t="inlineStr">
        <is>
          <t>NON</t>
        </is>
      </c>
      <c r="O2208" s="45" t="inlineStr"/>
    </row>
    <row r="2209" customFormat="1" s="3">
      <c r="A2209" s="45" t="n"/>
      <c r="B2209" s="46" t="inlineStr">
        <is>
          <t>31036</t>
        </is>
      </c>
      <c r="C2209" s="46">
        <f>LEFT(Tableau1[[#This Row],[Formacode]],3)</f>
        <v/>
      </c>
      <c r="D2209" s="47" t="n">
        <v>38018</v>
      </c>
      <c r="E2209" s="48">
        <f>"RNCP"&amp;D2209</f>
        <v/>
      </c>
      <c r="F2209" s="48" t="inlineStr">
        <is>
          <t>Chef de projet digital</t>
        </is>
      </c>
      <c r="G2209" s="49">
        <f>E2209&amp;" - "&amp;F2209</f>
        <v/>
      </c>
      <c r="H2209" s="36" t="inlineStr">
        <is>
          <t>RAS</t>
        </is>
      </c>
      <c r="I2209" s="45" t="inlineStr"/>
      <c r="J2209" s="45" t="inlineStr">
        <is>
          <t>RNCP38018</t>
        </is>
      </c>
      <c r="K2209" s="45" t="inlineStr">
        <is>
          <t>Chef de projet digital</t>
        </is>
      </c>
      <c r="L2209" s="45" t="inlineStr">
        <is>
          <t>31/12/2030</t>
        </is>
      </c>
      <c r="M2209" s="45" t="inlineStr"/>
      <c r="N2209" s="50" t="inlineStr">
        <is>
          <t>NON</t>
        </is>
      </c>
      <c r="O2209" s="45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Diplôme visé - Expert en Ingénierie Informatique et Innovation Numérique</t>
        </is>
      </c>
      <c r="L2210" s="45" t="inlineStr">
        <is>
          <t>31/12/2030</t>
        </is>
      </c>
      <c r="M2210" s="45" t="inlineStr"/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Titre ingénieur - Ingénieur diplômé de l'Institut supérieur d'électronique de Paris</t>
        </is>
      </c>
      <c r="L2211" s="45" t="inlineStr">
        <is>
          <t>31/12/2030</t>
        </is>
      </c>
      <c r="M2211" s="45" t="inlineStr"/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31/12/2030</t>
        </is>
      </c>
      <c r="M2212" s="45" t="inlineStr"/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31/12/2030</t>
        </is>
      </c>
      <c r="M2213" s="45" t="inlineStr"/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31/12/2030</t>
        </is>
      </c>
      <c r="M2214" s="45" t="inlineStr"/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31/12/2030</t>
        </is>
      </c>
      <c r="M2215" s="45" t="inlineStr"/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Grade_Licence - Sciences et Ingénierie - Systèmes Numériques pour la Santé</t>
        </is>
      </c>
      <c r="L2216" s="45" t="inlineStr">
        <is>
          <t>31/12/2030</t>
        </is>
      </c>
      <c r="M2216" s="45" t="inlineStr"/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31/12/2030</t>
        </is>
      </c>
      <c r="M2217" s="45" t="inlineStr"/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Titre ingénieur - Ingénieur diplômé de l’ESIEE IT - CCI Paris Ile-de-France Éducation</t>
        </is>
      </c>
      <c r="L2218" s="45" t="inlineStr">
        <is>
          <t>31/12/2030</t>
        </is>
      </c>
      <c r="M2218" s="45" t="inlineStr"/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TP - Technicien en géomatique</t>
        </is>
      </c>
      <c r="L2219" s="45" t="inlineStr">
        <is>
          <t>31/12/2030</t>
        </is>
      </c>
      <c r="M2219" s="45" t="inlineStr"/>
      <c r="N2219" s="50" t="inlineStr">
        <is>
          <t>NON</t>
        </is>
      </c>
      <c r="O2219" s="45" t="inlineStr"/>
    </row>
    <row r="2220" customFormat="1" s="3">
      <c r="A2220" s="45" t="n"/>
      <c r="B2220" s="46" t="inlineStr">
        <is>
          <t>31038</t>
        </is>
      </c>
      <c r="C2220" s="46">
        <f>LEFT(Tableau1[[#This Row],[Formacode]],3)</f>
        <v/>
      </c>
      <c r="D2220" s="47" t="n">
        <v>37796</v>
      </c>
      <c r="E2220" s="48">
        <f>"RNCP"&amp;D2220</f>
        <v/>
      </c>
      <c r="F2220" s="48" t="inlineStr">
        <is>
          <t>Gestionnaire de la sécurité des données, des réseaux et des systèmes</t>
        </is>
      </c>
      <c r="G2220" s="49">
        <f>E2220&amp;" - "&amp;F2220</f>
        <v/>
      </c>
      <c r="H2220" s="36" t="inlineStr">
        <is>
          <t>RAS</t>
        </is>
      </c>
      <c r="I2220" s="45" t="inlineStr"/>
      <c r="J2220" s="45" t="inlineStr">
        <is>
          <t>RNCP37796</t>
        </is>
      </c>
      <c r="K2220" s="45" t="inlineStr">
        <is>
          <t>Gestionnaire de la sécurité des données, des réseaux et des systèmes</t>
        </is>
      </c>
      <c r="L2220" s="45" t="inlineStr">
        <is>
          <t>31/12/2030</t>
        </is>
      </c>
      <c r="M2220" s="45" t="inlineStr"/>
      <c r="N2220" s="50" t="inlineStr">
        <is>
          <t>NON</t>
        </is>
      </c>
      <c r="O2220" s="45" t="inlineStr"/>
    </row>
    <row r="2221" customFormat="1" s="3">
      <c r="A2221" s="45" t="n"/>
      <c r="B2221" s="46" t="inlineStr">
        <is>
          <t>31038</t>
        </is>
      </c>
      <c r="C2221" s="46">
        <f>LEFT(Tableau1[[#This Row],[Formacode]],3)</f>
        <v/>
      </c>
      <c r="D2221" s="47" t="n">
        <v>38018</v>
      </c>
      <c r="E2221" s="48">
        <f>"RNCP"&amp;D2221</f>
        <v/>
      </c>
      <c r="F2221" s="48" t="inlineStr">
        <is>
          <t>Chef de projet digital</t>
        </is>
      </c>
      <c r="G2221" s="49">
        <f>E2221&amp;" - "&amp;F2221</f>
        <v/>
      </c>
      <c r="H2221" s="36" t="inlineStr">
        <is>
          <t>RAS</t>
        </is>
      </c>
      <c r="I2221" s="45" t="inlineStr"/>
      <c r="J2221" s="45" t="inlineStr">
        <is>
          <t>RNCP38018</t>
        </is>
      </c>
      <c r="K2221" s="45" t="inlineStr">
        <is>
          <t>Chef de projet digital</t>
        </is>
      </c>
      <c r="L2221" s="45" t="inlineStr">
        <is>
          <t>31/12/2030</t>
        </is>
      </c>
      <c r="M2221" s="45" t="inlineStr"/>
      <c r="N2221" s="50" t="inlineStr">
        <is>
          <t>NON</t>
        </is>
      </c>
      <c r="O2221" s="45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Diplôme visé - Expert en Ingénierie Informatique et Innovation Numérique</t>
        </is>
      </c>
      <c r="L2222" s="45" t="inlineStr">
        <is>
          <t>31/12/2030</t>
        </is>
      </c>
      <c r="M2222" s="45" t="inlineStr"/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Titre ingénieur - Ingénieur diplômé de l'Institut supérieur d'électronique de Paris</t>
        </is>
      </c>
      <c r="L2223" s="45" t="inlineStr">
        <is>
          <t>31/12/2030</t>
        </is>
      </c>
      <c r="M2223" s="45" t="inlineStr"/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31/12/2030</t>
        </is>
      </c>
      <c r="M2224" s="45" t="inlineStr"/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31/12/2030</t>
        </is>
      </c>
      <c r="M2225" s="45" t="inlineStr"/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31/12/2030</t>
        </is>
      </c>
      <c r="M2226" s="45" t="inlineStr"/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31/12/2030</t>
        </is>
      </c>
      <c r="M2227" s="45" t="inlineStr"/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31/12/2030</t>
        </is>
      </c>
      <c r="M2228" s="45" t="inlineStr"/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Titre ingénieur - Ingénieur diplômé de l’ESIEE IT - CCI Paris Ile-de-France Éducation</t>
        </is>
      </c>
      <c r="L2229" s="45" t="inlineStr">
        <is>
          <t>31/12/2030</t>
        </is>
      </c>
      <c r="M2229" s="45" t="inlineStr"/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TP - Technicien en géomatique</t>
        </is>
      </c>
      <c r="L2230" s="45" t="inlineStr">
        <is>
          <t>31/12/2030</t>
        </is>
      </c>
      <c r="M2230" s="45" t="inlineStr"/>
      <c r="N2230" s="50" t="inlineStr">
        <is>
          <t>NON</t>
        </is>
      </c>
      <c r="O2230" s="45" t="inlineStr"/>
    </row>
    <row r="2231" customFormat="1" s="3">
      <c r="A2231" s="45" t="n"/>
      <c r="B2231" s="46" t="inlineStr">
        <is>
          <t>31049</t>
        </is>
      </c>
      <c r="C2231" s="46">
        <f>LEFT(Tableau1[[#This Row],[Formacode]],3)</f>
        <v/>
      </c>
      <c r="D2231" s="47" t="n">
        <v>37785</v>
      </c>
      <c r="E2231" s="48">
        <f>"RNCP"&amp;D2231</f>
        <v/>
      </c>
      <c r="F2231" s="48" t="inlineStr">
        <is>
          <t>Expert en numérisation des systèmes et processus de production industriels</t>
        </is>
      </c>
      <c r="G2231" s="49">
        <f>E2231&amp;" - "&amp;F2231</f>
        <v/>
      </c>
      <c r="H2231" s="36" t="inlineStr">
        <is>
          <t>RAS</t>
        </is>
      </c>
      <c r="I2231" s="45" t="inlineStr"/>
      <c r="J2231" s="45" t="inlineStr">
        <is>
          <t>RNCP37785</t>
        </is>
      </c>
      <c r="K2231" s="45" t="inlineStr">
        <is>
          <t>Expert en numérisation des systèmes et processus de production industriels</t>
        </is>
      </c>
      <c r="L2231" s="45" t="inlineStr">
        <is>
          <t>31/12/2030</t>
        </is>
      </c>
      <c r="M2231" s="45" t="inlineStr"/>
      <c r="N2231" s="50" t="inlineStr">
        <is>
          <t>NON</t>
        </is>
      </c>
      <c r="O2231" s="45" t="inlineStr"/>
    </row>
    <row r="2232" customFormat="1" s="3">
      <c r="A2232" s="45" t="n"/>
      <c r="B2232" s="46" t="inlineStr">
        <is>
          <t>31049</t>
        </is>
      </c>
      <c r="C2232" s="46">
        <f>LEFT(Tableau1[[#This Row],[Formacode]],3)</f>
        <v/>
      </c>
      <c r="D2232" s="47" t="n">
        <v>38018</v>
      </c>
      <c r="E2232" s="48">
        <f>"RNCP"&amp;D2232</f>
        <v/>
      </c>
      <c r="F2232" s="48" t="inlineStr">
        <is>
          <t>Chef de projet digital</t>
        </is>
      </c>
      <c r="G2232" s="49">
        <f>E2232&amp;" - "&amp;F2232</f>
        <v/>
      </c>
      <c r="H2232" s="36" t="inlineStr">
        <is>
          <t>RAS</t>
        </is>
      </c>
      <c r="I2232" s="45" t="inlineStr"/>
      <c r="J2232" s="45" t="inlineStr">
        <is>
          <t>RNCP38018</t>
        </is>
      </c>
      <c r="K2232" s="45" t="inlineStr">
        <is>
          <t>Chef de projet digital</t>
        </is>
      </c>
      <c r="L2232" s="45" t="inlineStr">
        <is>
          <t>31/12/2030</t>
        </is>
      </c>
      <c r="M2232" s="45" t="inlineStr"/>
      <c r="N2232" s="50" t="inlineStr">
        <is>
          <t>NON</t>
        </is>
      </c>
      <c r="O2232" s="45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Diplôme visé - Expert en Ingénierie Informatique et Innovation Numérique</t>
        </is>
      </c>
      <c r="L2233" s="45" t="inlineStr">
        <is>
          <t>31/12/2030</t>
        </is>
      </c>
      <c r="M2233" s="45" t="inlineStr"/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Titre ingénieur - Ingénieur diplômé de l'Institut supérieur d'électronique de Paris</t>
        </is>
      </c>
      <c r="L2234" s="45" t="inlineStr">
        <is>
          <t>31/12/2030</t>
        </is>
      </c>
      <c r="M2234" s="45" t="inlineStr"/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31/12/2030</t>
        </is>
      </c>
      <c r="M2235" s="45" t="inlineStr"/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31/12/2030</t>
        </is>
      </c>
      <c r="M2236" s="45" t="inlineStr"/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31/12/2030</t>
        </is>
      </c>
      <c r="M2237" s="45" t="inlineStr"/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31/12/2030</t>
        </is>
      </c>
      <c r="M2238" s="45" t="inlineStr"/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Titre ingénieur - Ingénieur diplômé de l’ESIEE IT - CCI Paris Ile-de-France Éducation</t>
        </is>
      </c>
      <c r="L2239" s="45" t="inlineStr">
        <is>
          <t>31/12/2030</t>
        </is>
      </c>
      <c r="M2239" s="45" t="inlineStr"/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TP - Technicien en géomatique</t>
        </is>
      </c>
      <c r="L2240" s="45" t="inlineStr">
        <is>
          <t>31/12/2030</t>
        </is>
      </c>
      <c r="M2240" s="45" t="inlineStr"/>
      <c r="N2240" s="50" t="inlineStr">
        <is>
          <t>NON</t>
        </is>
      </c>
      <c r="O2240" s="45" t="inlineStr"/>
    </row>
    <row r="2241" customFormat="1" s="3">
      <c r="A2241" s="45" t="n"/>
      <c r="B2241" s="46" t="inlineStr">
        <is>
          <t>31053</t>
        </is>
      </c>
      <c r="C2241" s="46">
        <f>LEFT(Tableau1[[#This Row],[Formacode]],3)</f>
        <v/>
      </c>
      <c r="D2241" s="47" t="n">
        <v>38018</v>
      </c>
      <c r="E2241" s="48">
        <f>"RNCP"&amp;D2241</f>
        <v/>
      </c>
      <c r="F2241" s="48" t="inlineStr">
        <is>
          <t>Chef de projet digital</t>
        </is>
      </c>
      <c r="G2241" s="49">
        <f>E2241&amp;" - "&amp;F2241</f>
        <v/>
      </c>
      <c r="H2241" s="36" t="inlineStr">
        <is>
          <t>RAS</t>
        </is>
      </c>
      <c r="I2241" s="45" t="inlineStr"/>
      <c r="J2241" s="45" t="inlineStr">
        <is>
          <t>RNCP38018</t>
        </is>
      </c>
      <c r="K2241" s="45" t="inlineStr">
        <is>
          <t>Chef de projet digital</t>
        </is>
      </c>
      <c r="L2241" s="45" t="inlineStr">
        <is>
          <t>31/12/2030</t>
        </is>
      </c>
      <c r="M2241" s="45" t="inlineStr"/>
      <c r="N2241" s="50" t="inlineStr">
        <is>
          <t>NON</t>
        </is>
      </c>
      <c r="O2241" s="45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Diplôme visé - Expert en Ingénierie Informatique et Innovation Numérique</t>
        </is>
      </c>
      <c r="L2242" s="45" t="inlineStr">
        <is>
          <t>31/12/2030</t>
        </is>
      </c>
      <c r="M2242" s="45" t="inlineStr"/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Titre ingénieur - Ingénieur diplômé de l'Institut supérieur d'électronique de Paris</t>
        </is>
      </c>
      <c r="L2243" s="45" t="inlineStr">
        <is>
          <t>31/12/2030</t>
        </is>
      </c>
      <c r="M2243" s="45" t="inlineStr"/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31/12/2030</t>
        </is>
      </c>
      <c r="M2244" s="45" t="inlineStr"/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31/12/2030</t>
        </is>
      </c>
      <c r="M2245" s="45" t="inlineStr"/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31/12/2030</t>
        </is>
      </c>
      <c r="M2246" s="45" t="inlineStr"/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31/12/2030</t>
        </is>
      </c>
      <c r="M2247" s="45" t="inlineStr"/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Titre ingénieur - Ingénieur diplômé de l’ESIEE IT - CCI Paris Ile-de-France Éducation</t>
        </is>
      </c>
      <c r="L2248" s="45" t="inlineStr">
        <is>
          <t>31/12/2030</t>
        </is>
      </c>
      <c r="M2248" s="45" t="inlineStr"/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TP - Technicien en géomatique</t>
        </is>
      </c>
      <c r="L2249" s="45" t="inlineStr">
        <is>
          <t>31/12/2030</t>
        </is>
      </c>
      <c r="M2249" s="45" t="inlineStr"/>
      <c r="N2249" s="50" t="inlineStr">
        <is>
          <t>NON</t>
        </is>
      </c>
      <c r="O2249" s="45" t="inlineStr"/>
    </row>
    <row r="2250" customFormat="1" s="3">
      <c r="A2250" s="45" t="n"/>
      <c r="B2250" s="46" t="inlineStr">
        <is>
          <t>31056</t>
        </is>
      </c>
      <c r="C2250" s="46">
        <f>LEFT(Tableau1[[#This Row],[Formacode]],3)</f>
        <v/>
      </c>
      <c r="D2250" s="47" t="n">
        <v>38018</v>
      </c>
      <c r="E2250" s="48">
        <f>"RNCP"&amp;D2250</f>
        <v/>
      </c>
      <c r="F2250" s="48" t="inlineStr">
        <is>
          <t>Chef de projet digital</t>
        </is>
      </c>
      <c r="G2250" s="49">
        <f>E2250&amp;" - "&amp;F2250</f>
        <v/>
      </c>
      <c r="H2250" s="36" t="inlineStr">
        <is>
          <t>RAS</t>
        </is>
      </c>
      <c r="I2250" s="45" t="inlineStr"/>
      <c r="J2250" s="45" t="inlineStr">
        <is>
          <t>RNCP38018</t>
        </is>
      </c>
      <c r="K2250" s="45" t="inlineStr">
        <is>
          <t>Chef de projet digital</t>
        </is>
      </c>
      <c r="L2250" s="45" t="inlineStr">
        <is>
          <t>31/12/2030</t>
        </is>
      </c>
      <c r="M2250" s="45" t="inlineStr"/>
      <c r="N2250" s="50" t="inlineStr">
        <is>
          <t>NON</t>
        </is>
      </c>
      <c r="O2250" s="45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Diplôme visé - Expert en Ingénierie Informatique et Innovation Numérique</t>
        </is>
      </c>
      <c r="L2251" s="45" t="inlineStr">
        <is>
          <t>31/12/2030</t>
        </is>
      </c>
      <c r="M2251" s="45" t="inlineStr"/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Titre ingénieur - Ingénieur diplômé de l'Institut supérieur d'électronique de Paris</t>
        </is>
      </c>
      <c r="L2252" s="45" t="inlineStr">
        <is>
          <t>31/12/2030</t>
        </is>
      </c>
      <c r="M2252" s="45" t="inlineStr"/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31/12/2030</t>
        </is>
      </c>
      <c r="M2253" s="45" t="inlineStr"/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31/12/2030</t>
        </is>
      </c>
      <c r="M2254" s="45" t="inlineStr"/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31/12/2030</t>
        </is>
      </c>
      <c r="M2255" s="45" t="inlineStr"/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31/12/2030</t>
        </is>
      </c>
      <c r="M2256" s="45" t="inlineStr"/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Titre ingénieur - Ingénieur diplômé de l’ESIEE IT - CCI Paris Ile-de-France Éducation</t>
        </is>
      </c>
      <c r="L2257" s="45" t="inlineStr">
        <is>
          <t>31/12/2030</t>
        </is>
      </c>
      <c r="M2257" s="45" t="inlineStr"/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TP - Technicien en géomatique</t>
        </is>
      </c>
      <c r="L2258" s="45" t="inlineStr">
        <is>
          <t>31/12/2030</t>
        </is>
      </c>
      <c r="M2258" s="45" t="inlineStr"/>
      <c r="N2258" s="50" t="inlineStr">
        <is>
          <t>NON</t>
        </is>
      </c>
      <c r="O2258" s="45" t="inlineStr"/>
    </row>
    <row r="2259" customFormat="1" s="3">
      <c r="A2259" s="45" t="n"/>
      <c r="B2259" s="46" t="inlineStr">
        <is>
          <t>31057</t>
        </is>
      </c>
      <c r="C2259" s="46">
        <f>LEFT(Tableau1[[#This Row],[Formacode]],3)</f>
        <v/>
      </c>
      <c r="D2259" s="47" t="n">
        <v>37985</v>
      </c>
      <c r="E2259" s="48">
        <f>"RNCP"&amp;D2259</f>
        <v/>
      </c>
      <c r="F2259" s="48" t="inlineStr">
        <is>
          <t>Expert en ingénierie logicielle</t>
        </is>
      </c>
      <c r="G2259" s="49">
        <f>E2259&amp;" - "&amp;F2259</f>
        <v/>
      </c>
      <c r="H2259" s="36" t="inlineStr">
        <is>
          <t>RAS</t>
        </is>
      </c>
      <c r="I2259" s="45" t="inlineStr"/>
      <c r="J2259" s="45" t="inlineStr">
        <is>
          <t>RNCP37985</t>
        </is>
      </c>
      <c r="K2259" s="45" t="inlineStr">
        <is>
          <t>Expert en ingénierie logicielle</t>
        </is>
      </c>
      <c r="L2259" s="45" t="inlineStr">
        <is>
          <t>31/12/2030</t>
        </is>
      </c>
      <c r="M2259" s="45" t="inlineStr"/>
      <c r="N2259" s="50" t="inlineStr">
        <is>
          <t>NON</t>
        </is>
      </c>
      <c r="O2259" s="45" t="inlineStr"/>
    </row>
    <row r="2260" customFormat="1" s="3">
      <c r="A2260" s="45" t="n"/>
      <c r="B2260" s="46" t="inlineStr">
        <is>
          <t>31057</t>
        </is>
      </c>
      <c r="C2260" s="46">
        <f>LEFT(Tableau1[[#This Row],[Formacode]],3)</f>
        <v/>
      </c>
      <c r="D2260" s="47" t="n">
        <v>38018</v>
      </c>
      <c r="E2260" s="48">
        <f>"RNCP"&amp;D2260</f>
        <v/>
      </c>
      <c r="F2260" s="48" t="inlineStr">
        <is>
          <t>Chef de projet digital</t>
        </is>
      </c>
      <c r="G2260" s="49">
        <f>E2260&amp;" - "&amp;F2260</f>
        <v/>
      </c>
      <c r="H2260" s="36" t="inlineStr">
        <is>
          <t>RAS</t>
        </is>
      </c>
      <c r="I2260" s="45" t="inlineStr"/>
      <c r="J2260" s="45" t="inlineStr">
        <is>
          <t>RNCP38018</t>
        </is>
      </c>
      <c r="K2260" s="45" t="inlineStr">
        <is>
          <t>Chef de projet digital</t>
        </is>
      </c>
      <c r="L2260" s="45" t="inlineStr">
        <is>
          <t>31/12/2030</t>
        </is>
      </c>
      <c r="M2260" s="45" t="inlineStr"/>
      <c r="N2260" s="50" t="inlineStr">
        <is>
          <t>NON</t>
        </is>
      </c>
      <c r="O2260" s="45" t="inlineStr"/>
    </row>
    <row r="2261" customFormat="1" s="3">
      <c r="A2261" s="45" t="n"/>
      <c r="B2261" s="46" t="inlineStr">
        <is>
          <t>31057</t>
        </is>
      </c>
      <c r="C2261" s="46">
        <f>LEFT(Tableau1[[#This Row],[Formacode]],3)</f>
        <v/>
      </c>
      <c r="D2261" s="47" t="n">
        <v>38038</v>
      </c>
      <c r="E2261" s="48">
        <f>"RNCP"&amp;D2261</f>
        <v/>
      </c>
      <c r="F2261" s="48" t="inlineStr">
        <is>
          <t>Développeur concepteur logiciel</t>
        </is>
      </c>
      <c r="G2261" s="49">
        <f>E2261&amp;" - "&amp;F2261</f>
        <v/>
      </c>
      <c r="H2261" s="36" t="inlineStr">
        <is>
          <t>RAS</t>
        </is>
      </c>
      <c r="I2261" s="45" t="inlineStr"/>
      <c r="J2261" s="45" t="inlineStr">
        <is>
          <t>RNCP38038</t>
        </is>
      </c>
      <c r="K2261" s="45" t="inlineStr">
        <is>
          <t>Développeur concepteur logiciel</t>
        </is>
      </c>
      <c r="L2261" s="45" t="inlineStr">
        <is>
          <t>31/12/2030</t>
        </is>
      </c>
      <c r="M2261" s="45" t="inlineStr"/>
      <c r="N2261" s="50" t="inlineStr">
        <is>
          <t>NON</t>
        </is>
      </c>
      <c r="O2261" s="45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Diplôme visé - Expert en Ingénierie Informatique et Innovation Numérique</t>
        </is>
      </c>
      <c r="L2262" s="45" t="inlineStr">
        <is>
          <t>31/12/2030</t>
        </is>
      </c>
      <c r="M2262" s="45" t="inlineStr"/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Titre ingénieur - Ingénieur diplômé de l'Institut supérieur d'électronique de Paris</t>
        </is>
      </c>
      <c r="L2263" s="45" t="inlineStr">
        <is>
          <t>31/12/2030</t>
        </is>
      </c>
      <c r="M2263" s="45" t="inlineStr"/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31/12/2030</t>
        </is>
      </c>
      <c r="M2264" s="45" t="inlineStr"/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31/12/2030</t>
        </is>
      </c>
      <c r="M2265" s="45" t="inlineStr"/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31/12/2030</t>
        </is>
      </c>
      <c r="M2266" s="45" t="inlineStr"/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31/12/2030</t>
        </is>
      </c>
      <c r="M2267" s="45" t="inlineStr"/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31/12/2030</t>
        </is>
      </c>
      <c r="M2268" s="45" t="inlineStr"/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31/12/2030</t>
        </is>
      </c>
      <c r="M2269" s="45" t="inlineStr"/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Titre ingénieur - Diplôme d'ingénieur d'Efrei Paris (Université Paris- Panthéon Assas)</t>
        </is>
      </c>
      <c r="L2270" s="45" t="inlineStr">
        <is>
          <t>31/12/2030</t>
        </is>
      </c>
      <c r="M2270" s="45" t="inlineStr"/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31/12/2030</t>
        </is>
      </c>
      <c r="M2271" s="45" t="inlineStr"/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Titre ingénieur - Ingénieur diplômé de l’ESIEE IT - CCI Paris Ile-de-France Éducation</t>
        </is>
      </c>
      <c r="L2272" s="45" t="inlineStr">
        <is>
          <t>31/12/2030</t>
        </is>
      </c>
      <c r="M2272" s="45" t="inlineStr"/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TP - Technicien en géomatique</t>
        </is>
      </c>
      <c r="L2273" s="45" t="inlineStr">
        <is>
          <t>31/12/2030</t>
        </is>
      </c>
      <c r="M2273" s="45" t="inlineStr"/>
      <c r="N2273" s="50" t="inlineStr">
        <is>
          <t>NON</t>
        </is>
      </c>
      <c r="O2273" s="45" t="inlineStr"/>
    </row>
    <row r="2274" customFormat="1" s="3">
      <c r="A2274" s="45" t="n"/>
      <c r="B2274" s="46" t="inlineStr">
        <is>
          <t>31059</t>
        </is>
      </c>
      <c r="C2274" s="46">
        <f>LEFT(Tableau1[[#This Row],[Formacode]],3)</f>
        <v/>
      </c>
      <c r="D2274" s="47" t="n">
        <v>38018</v>
      </c>
      <c r="E2274" s="48">
        <f>"RNCP"&amp;D2274</f>
        <v/>
      </c>
      <c r="F2274" s="48" t="inlineStr">
        <is>
          <t>Chef de projet digital</t>
        </is>
      </c>
      <c r="G2274" s="49">
        <f>E2274&amp;" - "&amp;F2274</f>
        <v/>
      </c>
      <c r="H2274" s="36" t="inlineStr">
        <is>
          <t>RAS</t>
        </is>
      </c>
      <c r="I2274" s="45" t="inlineStr"/>
      <c r="J2274" s="45" t="inlineStr">
        <is>
          <t>RNCP38018</t>
        </is>
      </c>
      <c r="K2274" s="45" t="inlineStr">
        <is>
          <t>Chef de projet digital</t>
        </is>
      </c>
      <c r="L2274" s="45" t="inlineStr">
        <is>
          <t>31/12/2030</t>
        </is>
      </c>
      <c r="M2274" s="45" t="inlineStr"/>
      <c r="N2274" s="50" t="inlineStr">
        <is>
          <t>NON</t>
        </is>
      </c>
      <c r="O2274" s="45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Diplôme visé - Expert en Ingénierie Informatique et Innovation Numérique</t>
        </is>
      </c>
      <c r="L2275" s="45" t="inlineStr">
        <is>
          <t>31/12/2030</t>
        </is>
      </c>
      <c r="M2275" s="45" t="inlineStr"/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Titre ingénieur - Ingénieur diplômé de l'Institut supérieur d'électronique de Paris</t>
        </is>
      </c>
      <c r="L2276" s="45" t="inlineStr">
        <is>
          <t>31/12/2030</t>
        </is>
      </c>
      <c r="M2276" s="45" t="inlineStr"/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31/12/2030</t>
        </is>
      </c>
      <c r="M2277" s="45" t="inlineStr"/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31/12/2030</t>
        </is>
      </c>
      <c r="M2278" s="45" t="inlineStr"/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31/12/2030</t>
        </is>
      </c>
      <c r="M2279" s="45" t="inlineStr"/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31/12/2030</t>
        </is>
      </c>
      <c r="M2280" s="45" t="inlineStr"/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Titre ingénieur - Ingénieur diplômé de l’ESIEE IT - CCI Paris Ile-de-France Éducation</t>
        </is>
      </c>
      <c r="L2281" s="45" t="inlineStr">
        <is>
          <t>31/12/2030</t>
        </is>
      </c>
      <c r="M2281" s="45" t="inlineStr"/>
      <c r="N2281" s="50" t="inlineStr">
        <is>
          <t>NON</t>
        </is>
      </c>
      <c r="O2281" s="45" t="inlineStr"/>
    </row>
    <row r="2282" customFormat="1" s="3">
      <c r="A2282" s="45" t="n"/>
      <c r="B2282" s="46" t="inlineStr">
        <is>
          <t>31067</t>
        </is>
      </c>
      <c r="C2282" s="46">
        <f>LEFT(Tableau1[[#This Row],[Formacode]],3)</f>
        <v/>
      </c>
      <c r="D2282" s="47" t="n">
        <v>35584</v>
      </c>
      <c r="E2282" s="48">
        <f>"RNCP"&amp;D2282</f>
        <v/>
      </c>
      <c r="F2282" s="48" t="inlineStr">
        <is>
          <t>Expert en informatique et système d'information</t>
        </is>
      </c>
      <c r="G2282" s="49">
        <f>E2282&amp;" - "&amp;F2282</f>
        <v/>
      </c>
      <c r="H2282" s="36" t="inlineStr">
        <is>
          <t>RAS</t>
        </is>
      </c>
      <c r="I2282" s="45" t="inlineStr"/>
      <c r="J2282" s="45" t="inlineStr">
        <is>
          <t>RNCP35584</t>
        </is>
      </c>
      <c r="K2282" s="45" t="inlineStr">
        <is>
          <t>Expert en informatique et système d'information</t>
        </is>
      </c>
      <c r="L2282" s="45" t="inlineStr">
        <is>
          <t>31/12/2030</t>
        </is>
      </c>
      <c r="M2282" s="45" t="inlineStr"/>
      <c r="N2282" s="50" t="inlineStr">
        <is>
          <t>NON</t>
        </is>
      </c>
      <c r="O2282" s="45" t="inlineStr"/>
    </row>
    <row r="2283" customFormat="1" s="3">
      <c r="A2283" s="45" t="n"/>
      <c r="B2283" s="46" t="inlineStr">
        <is>
          <t>31067</t>
        </is>
      </c>
      <c r="C2283" s="46">
        <f>LEFT(Tableau1[[#This Row],[Formacode]],3)</f>
        <v/>
      </c>
      <c r="D2283" s="47" t="n">
        <v>35634</v>
      </c>
      <c r="E2283" s="48">
        <f>"RNCP"&amp;D2283</f>
        <v/>
      </c>
      <c r="F2283" s="48" t="inlineStr">
        <is>
          <t>TP - Concepteur designer UI</t>
        </is>
      </c>
      <c r="G2283" s="49">
        <f>E2283&amp;" - "&amp;F2283</f>
        <v/>
      </c>
      <c r="H2283" s="36" t="inlineStr">
        <is>
          <t>RAS</t>
        </is>
      </c>
      <c r="I2283" s="45" t="inlineStr"/>
      <c r="J2283" s="45" t="inlineStr">
        <is>
          <t>RNCP35634</t>
        </is>
      </c>
      <c r="K2283" s="45" t="inlineStr">
        <is>
          <t>TP - Concepteur designer UI</t>
        </is>
      </c>
      <c r="L2283" s="45" t="inlineStr">
        <is>
          <t>31/12/2030</t>
        </is>
      </c>
      <c r="M2283" s="45" t="inlineStr"/>
      <c r="N2283" s="50" t="inlineStr">
        <is>
          <t>NON</t>
        </is>
      </c>
      <c r="O2283" s="45" t="inlineStr"/>
    </row>
    <row r="2284" customFormat="1" s="3">
      <c r="A2284" s="45" t="n"/>
      <c r="B2284" s="46" t="inlineStr">
        <is>
          <t>31067</t>
        </is>
      </c>
      <c r="C2284" s="46">
        <f>LEFT(Tableau1[[#This Row],[Formacode]],3)</f>
        <v/>
      </c>
      <c r="D2284" s="47" t="n">
        <v>35959</v>
      </c>
      <c r="E2284" s="48">
        <f>"RNCP"&amp;D2284</f>
        <v/>
      </c>
      <c r="F2284" s="48" t="inlineStr">
        <is>
          <t>Développeur web</t>
        </is>
      </c>
      <c r="G2284" s="49">
        <f>E2284&amp;" - "&amp;F2284</f>
        <v/>
      </c>
      <c r="H2284" s="36" t="inlineStr">
        <is>
          <t>RAS</t>
        </is>
      </c>
      <c r="I2284" s="45" t="inlineStr"/>
      <c r="J2284" s="45" t="inlineStr">
        <is>
          <t>RNCP35959</t>
        </is>
      </c>
      <c r="K2284" s="45" t="inlineStr">
        <is>
          <t>Développeur web</t>
        </is>
      </c>
      <c r="L2284" s="45" t="inlineStr">
        <is>
          <t>31/12/2030</t>
        </is>
      </c>
      <c r="M2284" s="45" t="inlineStr"/>
      <c r="N2284" s="50" t="inlineStr">
        <is>
          <t>NON</t>
        </is>
      </c>
      <c r="O2284" s="45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31/12/2030</t>
        </is>
      </c>
      <c r="M2285" s="45" t="inlineStr"/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31/12/2030</t>
        </is>
      </c>
      <c r="M2286" s="45" t="inlineStr"/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TP - Technicien en géomatique</t>
        </is>
      </c>
      <c r="L2287" s="45" t="inlineStr">
        <is>
          <t>31/12/2030</t>
        </is>
      </c>
      <c r="M2287" s="45" t="inlineStr"/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TP - Développeur web et web mobile</t>
        </is>
      </c>
      <c r="L2288" s="45" t="inlineStr">
        <is>
          <t>31/12/2030</t>
        </is>
      </c>
      <c r="M2288" s="45" t="inlineStr"/>
      <c r="N2288" s="50" t="inlineStr">
        <is>
          <t>NON</t>
        </is>
      </c>
      <c r="O2288" s="45" t="inlineStr"/>
    </row>
    <row r="2289" customFormat="1" s="3">
      <c r="A2289" s="45" t="n"/>
      <c r="B2289" s="46" t="inlineStr">
        <is>
          <t>31067</t>
        </is>
      </c>
      <c r="C2289" s="46">
        <f>LEFT(Tableau1[[#This Row],[Formacode]],3)</f>
        <v/>
      </c>
      <c r="D2289" s="47" t="n">
        <v>37778</v>
      </c>
      <c r="E2289" s="48">
        <f>"RNCP"&amp;D2289</f>
        <v/>
      </c>
      <c r="F2289" s="48" t="inlineStr">
        <is>
          <t>Développeur de solutions numériques sécurisées</t>
        </is>
      </c>
      <c r="G2289" s="49">
        <f>E2289&amp;" - "&amp;F2289</f>
        <v/>
      </c>
      <c r="H2289" s="36" t="inlineStr">
        <is>
          <t>RAS</t>
        </is>
      </c>
      <c r="I2289" s="45" t="inlineStr"/>
      <c r="J2289" s="45" t="inlineStr">
        <is>
          <t>RNCP37778</t>
        </is>
      </c>
      <c r="K2289" s="45" t="inlineStr">
        <is>
          <t>Développeur de solutions numériques sécurisées</t>
        </is>
      </c>
      <c r="L2289" s="45" t="inlineStr">
        <is>
          <t>31/12/2030</t>
        </is>
      </c>
      <c r="M2289" s="45" t="inlineStr"/>
      <c r="N2289" s="50" t="inlineStr">
        <is>
          <t>NON</t>
        </is>
      </c>
      <c r="O2289" s="45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TP - Concepteur développeur d'applications</t>
        </is>
      </c>
      <c r="L2290" s="45" t="inlineStr">
        <is>
          <t>31/12/2030</t>
        </is>
      </c>
      <c r="M2290" s="45" t="inlineStr"/>
      <c r="N2290" s="50" t="inlineStr">
        <is>
          <t>NON</t>
        </is>
      </c>
      <c r="O2290" s="45" t="inlineStr"/>
    </row>
    <row r="2291" customFormat="1" s="3">
      <c r="A2291" s="45" t="n"/>
      <c r="B2291" s="46" t="inlineStr">
        <is>
          <t>31067</t>
        </is>
      </c>
      <c r="C2291" s="46">
        <f>LEFT(Tableau1[[#This Row],[Formacode]],3)</f>
        <v/>
      </c>
      <c r="D2291" s="47" t="n">
        <v>37985</v>
      </c>
      <c r="E2291" s="48">
        <f>"RNCP"&amp;D2291</f>
        <v/>
      </c>
      <c r="F2291" s="48" t="inlineStr">
        <is>
          <t>Expert en ingénierie logicielle</t>
        </is>
      </c>
      <c r="G2291" s="49">
        <f>E2291&amp;" - "&amp;F2291</f>
        <v/>
      </c>
      <c r="H2291" s="36" t="inlineStr">
        <is>
          <t>RAS</t>
        </is>
      </c>
      <c r="I2291" s="45" t="inlineStr"/>
      <c r="J2291" s="45" t="inlineStr">
        <is>
          <t>RNCP37985</t>
        </is>
      </c>
      <c r="K2291" s="45" t="inlineStr">
        <is>
          <t>Expert en ingénierie logicielle</t>
        </is>
      </c>
      <c r="L2291" s="45" t="inlineStr">
        <is>
          <t>31/12/2030</t>
        </is>
      </c>
      <c r="M2291" s="45" t="inlineStr"/>
      <c r="N2291" s="50" t="inlineStr">
        <is>
          <t>NON</t>
        </is>
      </c>
      <c r="O2291" s="45" t="inlineStr"/>
    </row>
    <row r="2292" customFormat="1" s="3">
      <c r="A2292" s="45" t="n"/>
      <c r="B2292" s="46" t="inlineStr">
        <is>
          <t>31067</t>
        </is>
      </c>
      <c r="C2292" s="46">
        <f>LEFT(Tableau1[[#This Row],[Formacode]],3)</f>
        <v/>
      </c>
      <c r="D2292" s="47" t="n">
        <v>38018</v>
      </c>
      <c r="E2292" s="48">
        <f>"RNCP"&amp;D2292</f>
        <v/>
      </c>
      <c r="F2292" s="48" t="inlineStr">
        <is>
          <t>Chef de projet digital</t>
        </is>
      </c>
      <c r="G2292" s="49">
        <f>E2292&amp;" - "&amp;F2292</f>
        <v/>
      </c>
      <c r="H2292" s="36" t="inlineStr">
        <is>
          <t>RAS</t>
        </is>
      </c>
      <c r="I2292" s="45" t="inlineStr"/>
      <c r="J2292" s="45" t="inlineStr">
        <is>
          <t>RNCP38018</t>
        </is>
      </c>
      <c r="K2292" s="45" t="inlineStr">
        <is>
          <t>Chef de projet digital</t>
        </is>
      </c>
      <c r="L2292" s="45" t="inlineStr">
        <is>
          <t>31/12/2030</t>
        </is>
      </c>
      <c r="M2292" s="45" t="inlineStr"/>
      <c r="N2292" s="50" t="inlineStr">
        <is>
          <t>NON</t>
        </is>
      </c>
      <c r="O2292" s="45" t="inlineStr"/>
    </row>
    <row r="2293" customFormat="1" s="3">
      <c r="A2293" s="45" t="n"/>
      <c r="B2293" s="46" t="inlineStr">
        <is>
          <t>31067</t>
        </is>
      </c>
      <c r="C2293" s="46">
        <f>LEFT(Tableau1[[#This Row],[Formacode]],3)</f>
        <v/>
      </c>
      <c r="D2293" s="47" t="n">
        <v>38038</v>
      </c>
      <c r="E2293" s="48">
        <f>"RNCP"&amp;D2293</f>
        <v/>
      </c>
      <c r="F2293" s="48" t="inlineStr">
        <is>
          <t>Développeur concepteur logiciel</t>
        </is>
      </c>
      <c r="G2293" s="49">
        <f>E2293&amp;" - "&amp;F2293</f>
        <v/>
      </c>
      <c r="H2293" s="36" t="inlineStr">
        <is>
          <t>RAS</t>
        </is>
      </c>
      <c r="I2293" s="45" t="inlineStr"/>
      <c r="J2293" s="45" t="inlineStr">
        <is>
          <t>RNCP38038</t>
        </is>
      </c>
      <c r="K2293" s="45" t="inlineStr">
        <is>
          <t>Développeur concepteur logiciel</t>
        </is>
      </c>
      <c r="L2293" s="45" t="inlineStr">
        <is>
          <t>31/12/2030</t>
        </is>
      </c>
      <c r="M2293" s="45" t="inlineStr"/>
      <c r="N2293" s="50" t="inlineStr">
        <is>
          <t>NON</t>
        </is>
      </c>
      <c r="O2293" s="45" t="inlineStr"/>
    </row>
    <row r="2294" customFormat="1" s="3">
      <c r="A2294" s="45" t="n"/>
      <c r="B2294" s="46" t="inlineStr">
        <is>
          <t>31067</t>
        </is>
      </c>
      <c r="C2294" s="46">
        <f>LEFT(Tableau1[[#This Row],[Formacode]],3)</f>
        <v/>
      </c>
      <c r="D2294" s="47" t="n">
        <v>38145</v>
      </c>
      <c r="E2294" s="48">
        <f>"RNCP"&amp;D2294</f>
        <v/>
      </c>
      <c r="F2294" s="48" t="inlineStr">
        <is>
          <t>Développeur informatique</t>
        </is>
      </c>
      <c r="G2294" s="49">
        <f>E2294&amp;" - "&amp;F2294</f>
        <v/>
      </c>
      <c r="H2294" s="36" t="inlineStr">
        <is>
          <t>RAS</t>
        </is>
      </c>
      <c r="I2294" s="45" t="inlineStr"/>
      <c r="J2294" s="45" t="inlineStr">
        <is>
          <t>RNCP38145</t>
        </is>
      </c>
      <c r="K2294" s="45" t="inlineStr">
        <is>
          <t>Développeur informatique</t>
        </is>
      </c>
      <c r="L2294" s="45" t="inlineStr">
        <is>
          <t>31/12/2030</t>
        </is>
      </c>
      <c r="M2294" s="45" t="inlineStr"/>
      <c r="N2294" s="50" t="inlineStr">
        <is>
          <t>NON</t>
        </is>
      </c>
      <c r="O2294" s="45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31/12/2030</t>
        </is>
      </c>
      <c r="M2295" s="45" t="inlineStr"/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31/12/2030</t>
        </is>
      </c>
      <c r="M2296" s="45" t="inlineStr"/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Diplôme visé - Expert en Ingénierie Informatique et Innovation Numérique</t>
        </is>
      </c>
      <c r="L2297" s="45" t="inlineStr">
        <is>
          <t>31/12/2030</t>
        </is>
      </c>
      <c r="M2297" s="45" t="inlineStr"/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Titre ingénieur - Ingénieur diplômé de l'Institut supérieur d'électronique de Paris</t>
        </is>
      </c>
      <c r="L2298" s="45" t="inlineStr">
        <is>
          <t>31/12/2030</t>
        </is>
      </c>
      <c r="M2298" s="45" t="inlineStr"/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31/12/2030</t>
        </is>
      </c>
      <c r="M2299" s="45" t="inlineStr"/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31/12/2030</t>
        </is>
      </c>
      <c r="M2300" s="45" t="inlineStr"/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31/12/2030</t>
        </is>
      </c>
      <c r="M2301" s="45" t="inlineStr"/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31/12/2030</t>
        </is>
      </c>
      <c r="M2302" s="45" t="inlineStr"/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31/12/2030</t>
        </is>
      </c>
      <c r="M2303" s="45" t="inlineStr"/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31/12/2030</t>
        </is>
      </c>
      <c r="M2304" s="45" t="inlineStr"/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31/12/2030</t>
        </is>
      </c>
      <c r="M2305" s="45" t="inlineStr"/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31/12/2030</t>
        </is>
      </c>
      <c r="M2306" s="45" t="inlineStr"/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31/12/2030</t>
        </is>
      </c>
      <c r="M2307" s="45" t="inlineStr"/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31/12/2030</t>
        </is>
      </c>
      <c r="M2308" s="45" t="inlineStr"/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31/12/2030</t>
        </is>
      </c>
      <c r="M2309" s="45" t="inlineStr"/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Titre ingénieur - Ingénieur diplômé de l’ESIEE IT - CCI Paris Ile-de-France Éducation</t>
        </is>
      </c>
      <c r="L2310" s="45" t="inlineStr">
        <is>
          <t>31/12/2030</t>
        </is>
      </c>
      <c r="M2310" s="45" t="inlineStr"/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TP - Technicien en géomatique</t>
        </is>
      </c>
      <c r="L2311" s="45" t="inlineStr">
        <is>
          <t>31/12/2030</t>
        </is>
      </c>
      <c r="M2311" s="45" t="inlineStr"/>
      <c r="N2311" s="50" t="inlineStr">
        <is>
          <t>NON</t>
        </is>
      </c>
      <c r="O2311" s="45" t="inlineStr"/>
    </row>
    <row r="2312" customFormat="1" s="3">
      <c r="A2312" s="45" t="n"/>
      <c r="B2312" s="46" t="inlineStr">
        <is>
          <t>31069</t>
        </is>
      </c>
      <c r="C2312" s="46">
        <f>LEFT(Tableau1[[#This Row],[Formacode]],3)</f>
        <v/>
      </c>
      <c r="D2312" s="47" t="n">
        <v>38018</v>
      </c>
      <c r="E2312" s="48">
        <f>"RNCP"&amp;D2312</f>
        <v/>
      </c>
      <c r="F2312" s="48" t="inlineStr">
        <is>
          <t>Chef de projet digital</t>
        </is>
      </c>
      <c r="G2312" s="49">
        <f>E2312&amp;" - "&amp;F2312</f>
        <v/>
      </c>
      <c r="H2312" s="36" t="inlineStr">
        <is>
          <t>RAS</t>
        </is>
      </c>
      <c r="I2312" s="45" t="inlineStr"/>
      <c r="J2312" s="45" t="inlineStr">
        <is>
          <t>RNCP38018</t>
        </is>
      </c>
      <c r="K2312" s="45" t="inlineStr">
        <is>
          <t>Chef de projet digital</t>
        </is>
      </c>
      <c r="L2312" s="45" t="inlineStr">
        <is>
          <t>31/12/2030</t>
        </is>
      </c>
      <c r="M2312" s="45" t="inlineStr"/>
      <c r="N2312" s="50" t="inlineStr">
        <is>
          <t>NON</t>
        </is>
      </c>
      <c r="O2312" s="45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Diplôme visé - Expert en Ingénierie Informatique et Innovation Numérique</t>
        </is>
      </c>
      <c r="L2313" s="45" t="inlineStr">
        <is>
          <t>31/12/2030</t>
        </is>
      </c>
      <c r="M2313" s="45" t="inlineStr"/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Titre ingénieur - Ingénieur diplômé de l'Institut supérieur d'électronique de Paris</t>
        </is>
      </c>
      <c r="L2314" s="45" t="inlineStr">
        <is>
          <t>31/12/2030</t>
        </is>
      </c>
      <c r="M2314" s="45" t="inlineStr"/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31/12/2030</t>
        </is>
      </c>
      <c r="M2315" s="45" t="inlineStr"/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31/12/2030</t>
        </is>
      </c>
      <c r="M2316" s="45" t="inlineStr"/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31/12/2030</t>
        </is>
      </c>
      <c r="M2317" s="45" t="inlineStr"/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31/12/2030</t>
        </is>
      </c>
      <c r="M2318" s="45" t="inlineStr"/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Titre ingénieur - Ingénieur diplômé de l’ESIEE IT - CCI Paris Ile-de-France Éducation</t>
        </is>
      </c>
      <c r="L2319" s="45" t="inlineStr">
        <is>
          <t>31/12/2030</t>
        </is>
      </c>
      <c r="M2319" s="45" t="inlineStr"/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TP - Technicien en géomatique</t>
        </is>
      </c>
      <c r="L2320" s="45" t="inlineStr">
        <is>
          <t>31/12/2030</t>
        </is>
      </c>
      <c r="M2320" s="45" t="inlineStr"/>
      <c r="N2320" s="50" t="inlineStr">
        <is>
          <t>NON</t>
        </is>
      </c>
      <c r="O2320" s="45" t="inlineStr"/>
    </row>
    <row r="2321" customFormat="1" s="3">
      <c r="A2321" s="45" t="n"/>
      <c r="B2321" s="46" t="inlineStr">
        <is>
          <t>31081</t>
        </is>
      </c>
      <c r="C2321" s="46">
        <f>LEFT(Tableau1[[#This Row],[Formacode]],3)</f>
        <v/>
      </c>
      <c r="D2321" s="47" t="n">
        <v>38018</v>
      </c>
      <c r="E2321" s="48">
        <f>"RNCP"&amp;D2321</f>
        <v/>
      </c>
      <c r="F2321" s="48" t="inlineStr">
        <is>
          <t>Chef de projet digital</t>
        </is>
      </c>
      <c r="G2321" s="49">
        <f>E2321&amp;" - "&amp;F2321</f>
        <v/>
      </c>
      <c r="H2321" s="36" t="inlineStr">
        <is>
          <t>RAS</t>
        </is>
      </c>
      <c r="I2321" s="45" t="inlineStr"/>
      <c r="J2321" s="45" t="inlineStr">
        <is>
          <t>RNCP38018</t>
        </is>
      </c>
      <c r="K2321" s="45" t="inlineStr">
        <is>
          <t>Chef de projet digital</t>
        </is>
      </c>
      <c r="L2321" s="45" t="inlineStr">
        <is>
          <t>31/12/2030</t>
        </is>
      </c>
      <c r="M2321" s="45" t="inlineStr"/>
      <c r="N2321" s="50" t="inlineStr">
        <is>
          <t>NON</t>
        </is>
      </c>
      <c r="O2321" s="45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TP - Agent de reconditionnement numérique</t>
        </is>
      </c>
      <c r="L2322" s="45" t="inlineStr">
        <is>
          <t>31/12/2030</t>
        </is>
      </c>
      <c r="M2322" s="45" t="inlineStr"/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31/12/2030</t>
        </is>
      </c>
      <c r="M2323" s="45" t="inlineStr"/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Diplôme visé - Expert en Ingénierie Informatique et Innovation Numérique</t>
        </is>
      </c>
      <c r="L2324" s="45" t="inlineStr">
        <is>
          <t>31/12/2030</t>
        </is>
      </c>
      <c r="M2324" s="45" t="inlineStr"/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Titre ingénieur - Ingénieur diplômé de l'Institut supérieur d'électronique de Paris</t>
        </is>
      </c>
      <c r="L2325" s="45" t="inlineStr">
        <is>
          <t>31/12/2030</t>
        </is>
      </c>
      <c r="M2325" s="45" t="inlineStr"/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31/12/2030</t>
        </is>
      </c>
      <c r="M2326" s="45" t="inlineStr"/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31/12/2030</t>
        </is>
      </c>
      <c r="M2327" s="45" t="inlineStr"/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31/12/2030</t>
        </is>
      </c>
      <c r="M2328" s="45" t="inlineStr"/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31/12/2030</t>
        </is>
      </c>
      <c r="M2329" s="45" t="inlineStr"/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31/12/2030</t>
        </is>
      </c>
      <c r="M2330" s="45" t="inlineStr"/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TP - Technicien informatique de proximité</t>
        </is>
      </c>
      <c r="L2331" s="45" t="inlineStr">
        <is>
          <t>31/12/2030</t>
        </is>
      </c>
      <c r="M2331" s="45" t="inlineStr"/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31/12/2030</t>
        </is>
      </c>
      <c r="M2332" s="45" t="inlineStr"/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Titre ingénieur - Ingénieur diplômé de l’ESIEE IT - CCI Paris Ile-de-France Éducation</t>
        </is>
      </c>
      <c r="L2333" s="45" t="inlineStr">
        <is>
          <t>31/12/2030</t>
        </is>
      </c>
      <c r="M2333" s="45" t="inlineStr"/>
      <c r="N2333" s="50" t="inlineStr">
        <is>
          <t>NON</t>
        </is>
      </c>
      <c r="O2333" s="45" t="inlineStr"/>
    </row>
    <row r="2334" customFormat="1" s="3">
      <c r="A2334" s="45" t="n"/>
      <c r="B2334" s="46" t="inlineStr">
        <is>
          <t>31084</t>
        </is>
      </c>
      <c r="C2334" s="46">
        <f>LEFT(Tableau1[[#This Row],[Formacode]],3)</f>
        <v/>
      </c>
      <c r="D2334" s="47" t="n">
        <v>35584</v>
      </c>
      <c r="E2334" s="48">
        <f>"RNCP"&amp;D2334</f>
        <v/>
      </c>
      <c r="F2334" s="48" t="inlineStr">
        <is>
          <t>Expert en informatique et système d'information</t>
        </is>
      </c>
      <c r="G2334" s="49">
        <f>E2334&amp;" - "&amp;F2334</f>
        <v/>
      </c>
      <c r="H2334" s="36" t="inlineStr">
        <is>
          <t>RAS</t>
        </is>
      </c>
      <c r="I2334" s="45" t="inlineStr"/>
      <c r="J2334" s="45" t="inlineStr">
        <is>
          <t>RNCP35584</t>
        </is>
      </c>
      <c r="K2334" s="45" t="inlineStr">
        <is>
          <t>Expert en informatique et système d'information</t>
        </is>
      </c>
      <c r="L2334" s="45" t="inlineStr">
        <is>
          <t>31/12/2030</t>
        </is>
      </c>
      <c r="M2334" s="45" t="inlineStr"/>
      <c r="N2334" s="50" t="inlineStr">
        <is>
          <t>NON</t>
        </is>
      </c>
      <c r="O2334" s="45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TP - Technicien en géomatique</t>
        </is>
      </c>
      <c r="L2335" s="45" t="inlineStr">
        <is>
          <t>31/12/2030</t>
        </is>
      </c>
      <c r="M2335" s="45" t="inlineStr"/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TP - Concepteur développeur d'applications</t>
        </is>
      </c>
      <c r="L2336" s="45" t="inlineStr">
        <is>
          <t>31/12/2030</t>
        </is>
      </c>
      <c r="M2336" s="45" t="inlineStr"/>
      <c r="N2336" s="50" t="inlineStr">
        <is>
          <t>NON</t>
        </is>
      </c>
      <c r="O2336" s="45" t="inlineStr"/>
    </row>
    <row r="2337" customFormat="1" s="3">
      <c r="A2337" s="45" t="n"/>
      <c r="B2337" s="46" t="inlineStr">
        <is>
          <t>31084</t>
        </is>
      </c>
      <c r="C2337" s="46">
        <f>LEFT(Tableau1[[#This Row],[Formacode]],3)</f>
        <v/>
      </c>
      <c r="D2337" s="47" t="n">
        <v>38018</v>
      </c>
      <c r="E2337" s="48">
        <f>"RNCP"&amp;D2337</f>
        <v/>
      </c>
      <c r="F2337" s="48" t="inlineStr">
        <is>
          <t>Chef de projet digital</t>
        </is>
      </c>
      <c r="G2337" s="49">
        <f>E2337&amp;" - "&amp;F2337</f>
        <v/>
      </c>
      <c r="H2337" s="36" t="inlineStr">
        <is>
          <t>RAS</t>
        </is>
      </c>
      <c r="I2337" s="45" t="inlineStr"/>
      <c r="J2337" s="45" t="inlineStr">
        <is>
          <t>RNCP38018</t>
        </is>
      </c>
      <c r="K2337" s="45" t="inlineStr">
        <is>
          <t>Chef de projet digital</t>
        </is>
      </c>
      <c r="L2337" s="45" t="inlineStr">
        <is>
          <t>31/12/2030</t>
        </is>
      </c>
      <c r="M2337" s="45" t="inlineStr"/>
      <c r="N2337" s="50" t="inlineStr">
        <is>
          <t>NON</t>
        </is>
      </c>
      <c r="O2337" s="45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Diplôme visé - Expert en Ingénierie Informatique et Innovation Numérique</t>
        </is>
      </c>
      <c r="L2338" s="45" t="inlineStr">
        <is>
          <t>31/12/2030</t>
        </is>
      </c>
      <c r="M2338" s="45" t="inlineStr"/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Titre ingénieur - Ingénieur diplômé de l'Institut supérieur d'électronique de Paris</t>
        </is>
      </c>
      <c r="L2339" s="45" t="inlineStr">
        <is>
          <t>31/12/2030</t>
        </is>
      </c>
      <c r="M2339" s="45" t="inlineStr"/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31/12/2030</t>
        </is>
      </c>
      <c r="M2340" s="45" t="inlineStr"/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31/12/2030</t>
        </is>
      </c>
      <c r="M2341" s="45" t="inlineStr"/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31/12/2030</t>
        </is>
      </c>
      <c r="M2342" s="45" t="inlineStr"/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31/12/2030</t>
        </is>
      </c>
      <c r="M2343" s="45" t="inlineStr"/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BTS - Services informatiques aux organisations, Option A : « Solutions d’infrastructure, systèmes et réseaux » ; Option B : « Solutions logicielles et applications métiers »</t>
        </is>
      </c>
      <c r="L2344" s="45" t="inlineStr">
        <is>
          <t>31/12/2030</t>
        </is>
      </c>
      <c r="M2344" s="45" t="inlineStr"/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Titre ingénieur - Ingénieur diplômé de l’ESIEE IT - CCI Paris Ile-de-France Éducation</t>
        </is>
      </c>
      <c r="L2345" s="45" t="inlineStr">
        <is>
          <t>31/12/2030</t>
        </is>
      </c>
      <c r="M2345" s="45" t="inlineStr"/>
      <c r="N2345" s="50" t="inlineStr">
        <is>
          <t>NON</t>
        </is>
      </c>
      <c r="O2345" s="45" t="inlineStr"/>
    </row>
    <row r="2346" customFormat="1" s="3">
      <c r="A2346" s="45" t="n"/>
      <c r="B2346" s="46" t="inlineStr">
        <is>
          <t>31085</t>
        </is>
      </c>
      <c r="C2346" s="46">
        <f>LEFT(Tableau1[[#This Row],[Formacode]],3)</f>
        <v/>
      </c>
      <c r="D2346" s="47" t="n">
        <v>35435</v>
      </c>
      <c r="E2346" s="48">
        <f>"RNCP"&amp;D2346</f>
        <v/>
      </c>
      <c r="F2346" s="48" t="inlineStr">
        <is>
          <t>Manager en ingénierie informatique</t>
        </is>
      </c>
      <c r="G2346" s="49">
        <f>E2346&amp;" - "&amp;F2346</f>
        <v/>
      </c>
      <c r="H2346" s="36" t="inlineStr">
        <is>
          <t>RAS</t>
        </is>
      </c>
      <c r="I2346" s="45" t="inlineStr"/>
      <c r="J2346" s="45" t="inlineStr">
        <is>
          <t>RNCP35435</t>
        </is>
      </c>
      <c r="K2346" s="45" t="inlineStr">
        <is>
          <t>Manager en ingénierie informatique</t>
        </is>
      </c>
      <c r="L2346" s="45" t="inlineStr">
        <is>
          <t>31/12/2030</t>
        </is>
      </c>
      <c r="M2346" s="45" t="inlineStr"/>
      <c r="N2346" s="50" t="inlineStr">
        <is>
          <t>NON</t>
        </is>
      </c>
      <c r="O2346" s="45" t="inlineStr"/>
    </row>
    <row r="2347" customFormat="1" s="3">
      <c r="A2347" s="45" t="n"/>
      <c r="B2347" s="46" t="inlineStr">
        <is>
          <t>31085</t>
        </is>
      </c>
      <c r="C2347" s="46">
        <f>LEFT(Tableau1[[#This Row],[Formacode]],3)</f>
        <v/>
      </c>
      <c r="D2347" s="47" t="n">
        <v>35584</v>
      </c>
      <c r="E2347" s="48">
        <f>"RNCP"&amp;D2347</f>
        <v/>
      </c>
      <c r="F2347" s="48" t="inlineStr">
        <is>
          <t>Expert en informatique et système d'information</t>
        </is>
      </c>
      <c r="G2347" s="49">
        <f>E2347&amp;" - "&amp;F2347</f>
        <v/>
      </c>
      <c r="H2347" s="36" t="inlineStr">
        <is>
          <t>RAS</t>
        </is>
      </c>
      <c r="I2347" s="45" t="inlineStr"/>
      <c r="J2347" s="45" t="inlineStr">
        <is>
          <t>RNCP35584</t>
        </is>
      </c>
      <c r="K2347" s="45" t="inlineStr">
        <is>
          <t>Expert en informatique et système d'information</t>
        </is>
      </c>
      <c r="L2347" s="45" t="inlineStr">
        <is>
          <t>31/12/2030</t>
        </is>
      </c>
      <c r="M2347" s="45" t="inlineStr"/>
      <c r="N2347" s="50" t="inlineStr">
        <is>
          <t>NON</t>
        </is>
      </c>
      <c r="O2347" s="45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31/12/2030</t>
        </is>
      </c>
      <c r="M2348" s="45" t="inlineStr"/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TP - Technicien en géomatique</t>
        </is>
      </c>
      <c r="L2349" s="45" t="inlineStr">
        <is>
          <t>31/12/2030</t>
        </is>
      </c>
      <c r="M2349" s="45" t="inlineStr"/>
      <c r="N2349" s="50" t="inlineStr">
        <is>
          <t>NON</t>
        </is>
      </c>
      <c r="O2349" s="45" t="inlineStr"/>
    </row>
    <row r="2350" customFormat="1" s="3">
      <c r="A2350" s="45" t="n"/>
      <c r="B2350" s="46" t="inlineStr">
        <is>
          <t>31085</t>
        </is>
      </c>
      <c r="C2350" s="46">
        <f>LEFT(Tableau1[[#This Row],[Formacode]],3)</f>
        <v/>
      </c>
      <c r="D2350" s="47" t="n">
        <v>37422</v>
      </c>
      <c r="E2350" s="48">
        <f>"RNCP"&amp;D2350</f>
        <v/>
      </c>
      <c r="F2350" s="48" t="inlineStr">
        <is>
          <t>Data Engineer</t>
        </is>
      </c>
      <c r="G2350" s="49">
        <f>E2350&amp;" - "&amp;F2350</f>
        <v/>
      </c>
      <c r="H2350" s="36" t="inlineStr">
        <is>
          <t>RAS</t>
        </is>
      </c>
      <c r="I2350" s="45" t="inlineStr"/>
      <c r="J2350" s="45" t="inlineStr">
        <is>
          <t>RNCP37422</t>
        </is>
      </c>
      <c r="K2350" s="45" t="inlineStr">
        <is>
          <t>Data Engineer</t>
        </is>
      </c>
      <c r="L2350" s="45" t="inlineStr">
        <is>
          <t>31/12/2030</t>
        </is>
      </c>
      <c r="M2350" s="45" t="inlineStr"/>
      <c r="N2350" s="50" t="inlineStr">
        <is>
          <t>NON</t>
        </is>
      </c>
      <c r="O2350" s="45" t="inlineStr"/>
    </row>
    <row r="2351" customFormat="1" s="3">
      <c r="A2351" s="45" t="n"/>
      <c r="B2351" s="46" t="inlineStr">
        <is>
          <t>31085</t>
        </is>
      </c>
      <c r="C2351" s="46">
        <f>LEFT(Tableau1[[#This Row],[Formacode]],3)</f>
        <v/>
      </c>
      <c r="D2351" s="47" t="n">
        <v>37621</v>
      </c>
      <c r="E2351" s="48">
        <f>"RNCP"&amp;D2351</f>
        <v/>
      </c>
      <c r="F2351" s="48" t="inlineStr">
        <is>
          <t>Consultant en systèmes d’information (MS)</t>
        </is>
      </c>
      <c r="G2351" s="49">
        <f>E2351&amp;" - "&amp;F2351</f>
        <v/>
      </c>
      <c r="H2351" s="36" t="inlineStr">
        <is>
          <t>RAS</t>
        </is>
      </c>
      <c r="I2351" s="45" t="inlineStr"/>
      <c r="J2351" s="45" t="inlineStr">
        <is>
          <t>RNCP37621</t>
        </is>
      </c>
      <c r="K2351" s="45" t="inlineStr">
        <is>
          <t>Consultant en systèmes d’information (MS)</t>
        </is>
      </c>
      <c r="L2351" s="45" t="inlineStr">
        <is>
          <t>31/12/2030</t>
        </is>
      </c>
      <c r="M2351" s="45" t="inlineStr"/>
      <c r="N2351" s="50" t="inlineStr">
        <is>
          <t>NON</t>
        </is>
      </c>
      <c r="O2351" s="45" t="inlineStr"/>
    </row>
    <row r="2352" customFormat="1" s="3">
      <c r="A2352" s="45" t="n"/>
      <c r="B2352" s="46" t="inlineStr">
        <is>
          <t>31085</t>
        </is>
      </c>
      <c r="C2352" s="46">
        <f>LEFT(Tableau1[[#This Row],[Formacode]],3)</f>
        <v/>
      </c>
      <c r="D2352" s="47" t="n">
        <v>37785</v>
      </c>
      <c r="E2352" s="48">
        <f>"RNCP"&amp;D2352</f>
        <v/>
      </c>
      <c r="F2352" s="48" t="inlineStr">
        <is>
          <t>Expert en numérisation des systèmes et processus de production industriels</t>
        </is>
      </c>
      <c r="G2352" s="49">
        <f>E2352&amp;" - "&amp;F2352</f>
        <v/>
      </c>
      <c r="H2352" s="36" t="inlineStr">
        <is>
          <t>RAS</t>
        </is>
      </c>
      <c r="I2352" s="45" t="inlineStr"/>
      <c r="J2352" s="45" t="inlineStr">
        <is>
          <t>RNCP37785</t>
        </is>
      </c>
      <c r="K2352" s="45" t="inlineStr">
        <is>
          <t>Expert en numérisation des systèmes et processus de production industriels</t>
        </is>
      </c>
      <c r="L2352" s="45" t="inlineStr">
        <is>
          <t>31/12/2030</t>
        </is>
      </c>
      <c r="M2352" s="45" t="inlineStr"/>
      <c r="N2352" s="50" t="inlineStr">
        <is>
          <t>NON</t>
        </is>
      </c>
      <c r="O2352" s="45" t="inlineStr"/>
    </row>
    <row r="2353" customFormat="1" s="3">
      <c r="A2353" s="45" t="n"/>
      <c r="B2353" s="46" t="inlineStr">
        <is>
          <t>31085</t>
        </is>
      </c>
      <c r="C2353" s="46">
        <f>LEFT(Tableau1[[#This Row],[Formacode]],3)</f>
        <v/>
      </c>
      <c r="D2353" s="47" t="n">
        <v>37796</v>
      </c>
      <c r="E2353" s="48">
        <f>"RNCP"&amp;D2353</f>
        <v/>
      </c>
      <c r="F2353" s="48" t="inlineStr">
        <is>
          <t>Gestionnaire de la sécurité des données, des réseaux et des systèmes</t>
        </is>
      </c>
      <c r="G2353" s="49">
        <f>E2353&amp;" - "&amp;F2353</f>
        <v/>
      </c>
      <c r="H2353" s="36" t="inlineStr">
        <is>
          <t>RAS</t>
        </is>
      </c>
      <c r="I2353" s="45" t="inlineStr"/>
      <c r="J2353" s="45" t="inlineStr">
        <is>
          <t>RNCP37796</t>
        </is>
      </c>
      <c r="K2353" s="45" t="inlineStr">
        <is>
          <t>Gestionnaire de la sécurité des données, des réseaux et des systèmes</t>
        </is>
      </c>
      <c r="L2353" s="45" t="inlineStr">
        <is>
          <t>31/12/2030</t>
        </is>
      </c>
      <c r="M2353" s="45" t="inlineStr"/>
      <c r="N2353" s="50" t="inlineStr">
        <is>
          <t>NON</t>
        </is>
      </c>
      <c r="O2353" s="45" t="inlineStr"/>
    </row>
    <row r="2354" customFormat="1" s="3">
      <c r="A2354" s="45" t="n"/>
      <c r="B2354" s="46" t="inlineStr">
        <is>
          <t>31085</t>
        </is>
      </c>
      <c r="C2354" s="46">
        <f>LEFT(Tableau1[[#This Row],[Formacode]],3)</f>
        <v/>
      </c>
      <c r="D2354" s="47" t="n">
        <v>38018</v>
      </c>
      <c r="E2354" s="48">
        <f>"RNCP"&amp;D2354</f>
        <v/>
      </c>
      <c r="F2354" s="48" t="inlineStr">
        <is>
          <t>Chef de projet digital</t>
        </is>
      </c>
      <c r="G2354" s="49">
        <f>E2354&amp;" - "&amp;F2354</f>
        <v/>
      </c>
      <c r="H2354" s="36" t="inlineStr">
        <is>
          <t>RAS</t>
        </is>
      </c>
      <c r="I2354" s="45" t="inlineStr"/>
      <c r="J2354" s="45" t="inlineStr">
        <is>
          <t>RNCP38018</t>
        </is>
      </c>
      <c r="K2354" s="45" t="inlineStr">
        <is>
          <t>Chef de projet digital</t>
        </is>
      </c>
      <c r="L2354" s="45" t="inlineStr">
        <is>
          <t>31/12/2030</t>
        </is>
      </c>
      <c r="M2354" s="45" t="inlineStr"/>
      <c r="N2354" s="50" t="inlineStr">
        <is>
          <t>NON</t>
        </is>
      </c>
      <c r="O2354" s="45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31/12/2030</t>
        </is>
      </c>
      <c r="M2355" s="45" t="inlineStr"/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31/12/2030</t>
        </is>
      </c>
      <c r="M2356" s="45" t="inlineStr"/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31/12/2030</t>
        </is>
      </c>
      <c r="M2357" s="45" t="inlineStr"/>
      <c r="N2357" s="50" t="inlineStr">
        <is>
          <t>NON</t>
        </is>
      </c>
      <c r="O2357" s="45" t="inlineStr"/>
    </row>
    <row r="2358" customFormat="1" s="3">
      <c r="A2358" s="45" t="n"/>
      <c r="B2358" s="46" t="inlineStr">
        <is>
          <t>31085</t>
        </is>
      </c>
      <c r="C2358" s="46">
        <f>LEFT(Tableau1[[#This Row],[Formacode]],3)</f>
        <v/>
      </c>
      <c r="D2358" s="47" t="n">
        <v>38777</v>
      </c>
      <c r="E2358" s="48">
        <f>"RNCP"&amp;D2358</f>
        <v/>
      </c>
      <c r="F2358" s="48" t="inlineStr">
        <is>
          <t>Architecte en intelligence artificielle</t>
        </is>
      </c>
      <c r="G2358" s="49">
        <f>E2358&amp;" - "&amp;F2358</f>
        <v/>
      </c>
      <c r="H2358" s="36" t="inlineStr">
        <is>
          <t>RAS</t>
        </is>
      </c>
      <c r="I2358" s="45" t="inlineStr"/>
      <c r="J2358" s="45" t="inlineStr">
        <is>
          <t>RNCP38777</t>
        </is>
      </c>
      <c r="K2358" s="45" t="inlineStr">
        <is>
          <t>Architecte en intelligence artificielle</t>
        </is>
      </c>
      <c r="L2358" s="45" t="inlineStr">
        <is>
          <t>31/12/2030</t>
        </is>
      </c>
      <c r="M2358" s="45" t="inlineStr"/>
      <c r="N2358" s="50" t="inlineStr">
        <is>
          <t>NON</t>
        </is>
      </c>
      <c r="O2358" s="45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31/12/2030</t>
        </is>
      </c>
      <c r="M2359" s="45" t="inlineStr"/>
      <c r="N2359" s="50" t="inlineStr">
        <is>
          <t>NON</t>
        </is>
      </c>
      <c r="O2359" s="45" t="inlineStr"/>
    </row>
    <row r="2360" customFormat="1" s="3">
      <c r="A2360" s="45" t="n"/>
      <c r="B2360" s="46" t="inlineStr">
        <is>
          <t>31085</t>
        </is>
      </c>
      <c r="C2360" s="46">
        <f>LEFT(Tableau1[[#This Row],[Formacode]],3)</f>
        <v/>
      </c>
      <c r="D2360" s="47" t="n">
        <v>38919</v>
      </c>
      <c r="E2360" s="48">
        <f>"RNCP"&amp;D2360</f>
        <v/>
      </c>
      <c r="F2360" s="48" t="inlineStr">
        <is>
          <t>Data engineer</t>
        </is>
      </c>
      <c r="G2360" s="49">
        <f>E2360&amp;" - "&amp;F2360</f>
        <v/>
      </c>
      <c r="H2360" s="36" t="inlineStr">
        <is>
          <t>RAS</t>
        </is>
      </c>
      <c r="I2360" s="45" t="inlineStr"/>
      <c r="J2360" s="45" t="inlineStr">
        <is>
          <t>RNCP38919</t>
        </is>
      </c>
      <c r="K2360" s="45" t="inlineStr">
        <is>
          <t>Data engineer</t>
        </is>
      </c>
      <c r="L2360" s="45" t="inlineStr">
        <is>
          <t>31/12/2030</t>
        </is>
      </c>
      <c r="M2360" s="45" t="inlineStr"/>
      <c r="N2360" s="50" t="inlineStr">
        <is>
          <t>NON</t>
        </is>
      </c>
      <c r="O2360" s="45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Diplôme visé - Expert en Ingénierie Informatique et Innovation Numérique</t>
        </is>
      </c>
      <c r="L2361" s="45" t="inlineStr">
        <is>
          <t>31/12/2030</t>
        </is>
      </c>
      <c r="M2361" s="45" t="inlineStr"/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Titre ingénieur - Ingénieur diplômé de l'Institut supérieur d'électronique de Paris</t>
        </is>
      </c>
      <c r="L2362" s="45" t="inlineStr">
        <is>
          <t>31/12/2030</t>
        </is>
      </c>
      <c r="M2362" s="45" t="inlineStr"/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31/12/2030</t>
        </is>
      </c>
      <c r="M2363" s="45" t="inlineStr"/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31/12/2030</t>
        </is>
      </c>
      <c r="M2364" s="45" t="inlineStr"/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31/12/2030</t>
        </is>
      </c>
      <c r="M2365" s="45" t="inlineStr"/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31/12/2030</t>
        </is>
      </c>
      <c r="M2366" s="45" t="inlineStr"/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31/12/2030</t>
        </is>
      </c>
      <c r="M2367" s="45" t="inlineStr"/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31/12/2030</t>
        </is>
      </c>
      <c r="M2368" s="45" t="inlineStr"/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31/12/2030</t>
        </is>
      </c>
      <c r="M2369" s="45" t="inlineStr"/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31/12/2030</t>
        </is>
      </c>
      <c r="M2370" s="45" t="inlineStr"/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31/12/2030</t>
        </is>
      </c>
      <c r="M2371" s="45" t="inlineStr"/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31/12/2030</t>
        </is>
      </c>
      <c r="M2372" s="45" t="inlineStr"/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Grade_Licence - Sciences et Ingénierie - Systèmes Numériques pour la Santé</t>
        </is>
      </c>
      <c r="L2373" s="45" t="inlineStr">
        <is>
          <t>31/12/2030</t>
        </is>
      </c>
      <c r="M2373" s="45" t="inlineStr"/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31/12/2030</t>
        </is>
      </c>
      <c r="M2374" s="45" t="inlineStr"/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31/12/2030</t>
        </is>
      </c>
      <c r="M2375" s="45" t="inlineStr"/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31/12/2030</t>
        </is>
      </c>
      <c r="M2376" s="45" t="inlineStr"/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31/12/2030</t>
        </is>
      </c>
      <c r="M2377" s="45" t="inlineStr"/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31/12/2030</t>
        </is>
      </c>
      <c r="M2378" s="45" t="inlineStr"/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31/12/2030</t>
        </is>
      </c>
      <c r="M2379" s="45" t="inlineStr"/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31/12/2030</t>
        </is>
      </c>
      <c r="M2380" s="45" t="inlineStr"/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31/12/2030</t>
        </is>
      </c>
      <c r="M2381" s="45" t="inlineStr"/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31/12/2030</t>
        </is>
      </c>
      <c r="M2382" s="45" t="inlineStr"/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31/12/2030</t>
        </is>
      </c>
      <c r="M2383" s="45" t="inlineStr"/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31/12/2030</t>
        </is>
      </c>
      <c r="M2384" s="45" t="inlineStr"/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31/12/2030</t>
        </is>
      </c>
      <c r="M2385" s="45" t="inlineStr"/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Titre ingénieur - Ingénieur diplômé de l’ESIEE IT - CCI Paris Ile-de-France Éducation</t>
        </is>
      </c>
      <c r="L2386" s="45" t="inlineStr">
        <is>
          <t>31/12/2030</t>
        </is>
      </c>
      <c r="M2386" s="45" t="inlineStr"/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31/12/2030</t>
        </is>
      </c>
      <c r="M2387" s="45" t="inlineStr"/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TP - Technicien supérieur de contrôle non destructif</t>
        </is>
      </c>
      <c r="L2388" s="45" t="inlineStr">
        <is>
          <t>31/12/2030</t>
        </is>
      </c>
      <c r="M2388" s="45" t="inlineStr"/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TP - Inspecteur qualité aéronautique et spatiale</t>
        </is>
      </c>
      <c r="L2389" s="45" t="inlineStr">
        <is>
          <t>31/12/2030</t>
        </is>
      </c>
      <c r="M2389" s="45" t="inlineStr"/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31/12/2030</t>
        </is>
      </c>
      <c r="M2390" s="45" t="inlineStr"/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31/12/2030</t>
        </is>
      </c>
      <c r="M2391" s="45" t="inlineStr"/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CS - Agent de contrôle non destructif</t>
        </is>
      </c>
      <c r="L2392" s="45" t="inlineStr">
        <is>
          <t>31/12/2030</t>
        </is>
      </c>
      <c r="M2392" s="45" t="inlineStr"/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31/12/2030</t>
        </is>
      </c>
      <c r="M2393" s="45" t="inlineStr"/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31/12/2030</t>
        </is>
      </c>
      <c r="M2394" s="45" t="inlineStr"/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TP - Inspecteur qualité aéronautique et spatiale</t>
        </is>
      </c>
      <c r="L2395" s="45" t="inlineStr">
        <is>
          <t>31/12/2030</t>
        </is>
      </c>
      <c r="M2395" s="45" t="inlineStr"/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31/12/2030</t>
        </is>
      </c>
      <c r="M2396" s="45" t="inlineStr"/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31/12/2030</t>
        </is>
      </c>
      <c r="M2397" s="45" t="inlineStr"/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31/12/2030</t>
        </is>
      </c>
      <c r="M2398" s="45" t="inlineStr"/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TP - Inspecteur qualité aéronautique et spatiale</t>
        </is>
      </c>
      <c r="L2399" s="45" t="inlineStr">
        <is>
          <t>31/12/2030</t>
        </is>
      </c>
      <c r="M2399" s="45" t="inlineStr"/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31/12/2030</t>
        </is>
      </c>
      <c r="M2400" s="45" t="inlineStr"/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31/12/2030</t>
        </is>
      </c>
      <c r="M2401" s="45" t="inlineStr"/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31/12/2030</t>
        </is>
      </c>
      <c r="M2402" s="45" t="inlineStr"/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TP - Technicien de contrôle et de métrologie industrielle</t>
        </is>
      </c>
      <c r="L2403" s="45" t="inlineStr">
        <is>
          <t>31/12/2030</t>
        </is>
      </c>
      <c r="M2403" s="45" t="inlineStr"/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TP - Inspecteur qualité aéronautique et spatiale</t>
        </is>
      </c>
      <c r="L2404" s="45" t="inlineStr">
        <is>
          <t>31/12/2030</t>
        </is>
      </c>
      <c r="M2404" s="45" t="inlineStr"/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31/12/2030</t>
        </is>
      </c>
      <c r="M2405" s="45" t="inlineStr"/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31/12/2030</t>
        </is>
      </c>
      <c r="M2406" s="45" t="inlineStr"/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31/12/2030</t>
        </is>
      </c>
      <c r="M2407" s="45" t="inlineStr"/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31/12/2030</t>
        </is>
      </c>
      <c r="M2408" s="45" t="inlineStr"/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TP - Inspecteur qualité aéronautique et spatiale</t>
        </is>
      </c>
      <c r="L2409" s="45" t="inlineStr">
        <is>
          <t>31/12/2030</t>
        </is>
      </c>
      <c r="M2409" s="45" t="inlineStr"/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31/12/2030</t>
        </is>
      </c>
      <c r="M2410" s="45" t="inlineStr"/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31/12/2030</t>
        </is>
      </c>
      <c r="M2411" s="45" t="inlineStr"/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31/12/2030</t>
        </is>
      </c>
      <c r="M2412" s="45" t="inlineStr"/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TP - Inspecteur qualité aéronautique et spatiale</t>
        </is>
      </c>
      <c r="L2413" s="45" t="inlineStr">
        <is>
          <t>31/12/2030</t>
        </is>
      </c>
      <c r="M2413" s="45" t="inlineStr"/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31/12/2030</t>
        </is>
      </c>
      <c r="M2414" s="45" t="inlineStr"/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31/12/2030</t>
        </is>
      </c>
      <c r="M2415" s="45" t="inlineStr"/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31/12/2030</t>
        </is>
      </c>
      <c r="M2416" s="45" t="inlineStr"/>
      <c r="N2416" s="50" t="inlineStr">
        <is>
          <t>NON</t>
        </is>
      </c>
      <c r="O2416" s="45" t="inlineStr"/>
    </row>
    <row r="2417" customFormat="1" s="3">
      <c r="A2417" s="45" t="n"/>
      <c r="B2417" s="46" t="inlineStr">
        <is>
          <t>31407</t>
        </is>
      </c>
      <c r="C2417" s="46">
        <f>LEFT(Tableau1[[#This Row],[Formacode]],3)</f>
        <v/>
      </c>
      <c r="D2417" s="47" t="n">
        <v>35862</v>
      </c>
      <c r="E2417" s="48">
        <f>"RNCP"&amp;D2417</f>
        <v/>
      </c>
      <c r="F2417" s="48" t="inlineStr">
        <is>
          <t>Responsable qualité, santé, sécurité, environnement</t>
        </is>
      </c>
      <c r="G2417" s="49">
        <f>E2417&amp;" - "&amp;F2417</f>
        <v/>
      </c>
      <c r="H2417" s="36" t="inlineStr">
        <is>
          <t>RAS</t>
        </is>
      </c>
      <c r="I2417" s="45" t="inlineStr"/>
      <c r="J2417" s="45" t="inlineStr">
        <is>
          <t>RNCP35862</t>
        </is>
      </c>
      <c r="K2417" s="45" t="inlineStr">
        <is>
          <t>Responsable qualité, santé, sécurité, environnement</t>
        </is>
      </c>
      <c r="L2417" s="45" t="inlineStr">
        <is>
          <t>31/12/2030</t>
        </is>
      </c>
      <c r="M2417" s="45" t="inlineStr"/>
      <c r="N2417" s="50" t="inlineStr">
        <is>
          <t>NON</t>
        </is>
      </c>
      <c r="O2417" s="45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31/12/2030</t>
        </is>
      </c>
      <c r="M2418" s="45" t="inlineStr"/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BTS - EuroPlastics et Composites - Option CO: Conception Outillage - Option POP : Pilotage et Optimisation de la Production</t>
        </is>
      </c>
      <c r="L2419" s="45" t="inlineStr">
        <is>
          <t>31/12/2030</t>
        </is>
      </c>
      <c r="M2419" s="45" t="inlineStr"/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31/12/2030</t>
        </is>
      </c>
      <c r="M2420" s="45" t="inlineStr"/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TP - Technicien supérieur physicien chimiste</t>
        </is>
      </c>
      <c r="L2421" s="45" t="inlineStr">
        <is>
          <t>31/12/2030</t>
        </is>
      </c>
      <c r="M2421" s="45" t="inlineStr"/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31/12/2030</t>
        </is>
      </c>
      <c r="M2422" s="45" t="inlineStr"/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BTS - Métiers des services à l'environnement</t>
        </is>
      </c>
      <c r="L2423" s="45" t="inlineStr">
        <is>
          <t>31/12/2030</t>
        </is>
      </c>
      <c r="M2423" s="45" t="inlineStr"/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31/12/2030</t>
        </is>
      </c>
      <c r="M2424" s="45" t="inlineStr"/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BAC PRO - Hygiène, propreté, stérilisation</t>
        </is>
      </c>
      <c r="L2425" s="45" t="inlineStr">
        <is>
          <t>31/12/2030</t>
        </is>
      </c>
      <c r="M2425" s="45" t="inlineStr"/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31/12/2030</t>
        </is>
      </c>
      <c r="M2426" s="45" t="inlineStr"/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31/12/2030</t>
        </is>
      </c>
      <c r="M2427" s="45" t="inlineStr"/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31/12/2030</t>
        </is>
      </c>
      <c r="M2428" s="45" t="inlineStr"/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31/12/2030</t>
        </is>
      </c>
      <c r="M2429" s="45" t="inlineStr"/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31/12/2030</t>
        </is>
      </c>
      <c r="M2430" s="45" t="inlineStr"/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BTS - EuroPlastics et Composites - Option CO: Conception Outillage - Option POP : Pilotage et Optimisation de la Production</t>
        </is>
      </c>
      <c r="L2431" s="45" t="inlineStr">
        <is>
          <t>31/12/2030</t>
        </is>
      </c>
      <c r="M2431" s="45" t="inlineStr"/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31/12/2030</t>
        </is>
      </c>
      <c r="M2432" s="45" t="inlineStr"/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TP - Technicien de contrôle et de métrologie industrielle</t>
        </is>
      </c>
      <c r="L2433" s="45" t="inlineStr">
        <is>
          <t>31/12/2030</t>
        </is>
      </c>
      <c r="M2433" s="45" t="inlineStr"/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BTS - Contrôle industriel et régulation automatique</t>
        </is>
      </c>
      <c r="L2434" s="45" t="inlineStr">
        <is>
          <t>31/12/2030</t>
        </is>
      </c>
      <c r="M2434" s="45" t="inlineStr"/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BTS - EuroPlastics et Composites - Option CO: Conception Outillage - Option POP : Pilotage et Optimisation de la Production</t>
        </is>
      </c>
      <c r="L2435" s="45" t="inlineStr">
        <is>
          <t>31/12/2030</t>
        </is>
      </c>
      <c r="M2435" s="45" t="inlineStr"/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31/12/2030</t>
        </is>
      </c>
      <c r="M2436" s="45" t="inlineStr"/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31/12/2030</t>
        </is>
      </c>
      <c r="M2437" s="45" t="inlineStr"/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31/12/2030</t>
        </is>
      </c>
      <c r="M2438" s="45" t="inlineStr"/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31/12/2030</t>
        </is>
      </c>
      <c r="M2439" s="45" t="inlineStr"/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31/12/2030</t>
        </is>
      </c>
      <c r="M2440" s="45" t="inlineStr"/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BTS - EuroPlastics et Composites - Option CO: Conception Outillage - Option POP : Pilotage et Optimisation de la Production</t>
        </is>
      </c>
      <c r="L2441" s="45" t="inlineStr">
        <is>
          <t>31/12/2030</t>
        </is>
      </c>
      <c r="M2441" s="45" t="inlineStr"/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31/12/2030</t>
        </is>
      </c>
      <c r="M2442" s="45" t="inlineStr"/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BTS - EuroPlastics et Composites - Option CO: Conception Outillage - Option POP : Pilotage et Optimisation de la Production</t>
        </is>
      </c>
      <c r="L2443" s="45" t="inlineStr">
        <is>
          <t>31/12/2030</t>
        </is>
      </c>
      <c r="M2443" s="45" t="inlineStr"/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31/12/2030</t>
        </is>
      </c>
      <c r="M2444" s="45" t="inlineStr"/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BTS - EuroPlastics et Composites - Option CO: Conception Outillage - Option POP : Pilotage et Optimisation de la Production</t>
        </is>
      </c>
      <c r="L2445" s="45" t="inlineStr">
        <is>
          <t>31/12/2030</t>
        </is>
      </c>
      <c r="M2445" s="45" t="inlineStr"/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31/12/2030</t>
        </is>
      </c>
      <c r="M2446" s="45" t="inlineStr"/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31/12/2030</t>
        </is>
      </c>
      <c r="M2447" s="45" t="inlineStr"/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31/12/2030</t>
        </is>
      </c>
      <c r="M2448" s="45" t="inlineStr"/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BTS - EuroPlastics et Composites - Option CO: Conception Outillage - Option POP : Pilotage et Optimisation de la Production</t>
        </is>
      </c>
      <c r="L2449" s="45" t="inlineStr">
        <is>
          <t>31/12/2030</t>
        </is>
      </c>
      <c r="M2449" s="45" t="inlineStr"/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31/12/2030</t>
        </is>
      </c>
      <c r="M2450" s="45" t="inlineStr"/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BTS - EuroPlastics et Composites - Option CO: Conception Outillage - Option POP : Pilotage et Optimisation de la Production</t>
        </is>
      </c>
      <c r="L2451" s="45" t="inlineStr">
        <is>
          <t>31/12/2030</t>
        </is>
      </c>
      <c r="M2451" s="45" t="inlineStr"/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31/12/2030</t>
        </is>
      </c>
      <c r="M2452" s="45" t="inlineStr"/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BTS - EuroPlastics et Composites - Option CO: Conception Outillage - Option POP : Pilotage et Optimisation de la Production</t>
        </is>
      </c>
      <c r="L2453" s="45" t="inlineStr">
        <is>
          <t>31/12/2030</t>
        </is>
      </c>
      <c r="M2453" s="45" t="inlineStr"/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31/12/2030</t>
        </is>
      </c>
      <c r="M2454" s="45" t="inlineStr"/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31/12/2030</t>
        </is>
      </c>
      <c r="M2455" s="45" t="inlineStr"/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BTS - EuroPlastics et Composites - Option CO: Conception Outillage - Option POP : Pilotage et Optimisation de la Production</t>
        </is>
      </c>
      <c r="L2456" s="45" t="inlineStr">
        <is>
          <t>31/12/2030</t>
        </is>
      </c>
      <c r="M2456" s="45" t="inlineStr"/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31/12/2030</t>
        </is>
      </c>
      <c r="M2457" s="45" t="inlineStr"/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BTS - EuroPlastics et Composites - Option CO: Conception Outillage - Option POP : Pilotage et Optimisation de la Production</t>
        </is>
      </c>
      <c r="L2458" s="45" t="inlineStr">
        <is>
          <t>31/12/2030</t>
        </is>
      </c>
      <c r="M2458" s="45" t="inlineStr"/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31/12/2030</t>
        </is>
      </c>
      <c r="M2459" s="45" t="inlineStr"/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BTS - EuroPlastics et Composites - Option CO: Conception Outillage - Option POP : Pilotage et Optimisation de la Production</t>
        </is>
      </c>
      <c r="L2460" s="45" t="inlineStr">
        <is>
          <t>31/12/2030</t>
        </is>
      </c>
      <c r="M2460" s="45" t="inlineStr"/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31/12/2030</t>
        </is>
      </c>
      <c r="M2461" s="45" t="inlineStr"/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BTS - Conception des produits industriels</t>
        </is>
      </c>
      <c r="L2462" s="45" t="inlineStr">
        <is>
          <t>31/12/2030</t>
        </is>
      </c>
      <c r="M2462" s="45" t="inlineStr"/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BTS - EuroPlastics et Composites - Option CO: Conception Outillage - Option POP : Pilotage et Optimisation de la Production</t>
        </is>
      </c>
      <c r="L2463" s="45" t="inlineStr">
        <is>
          <t>31/12/2030</t>
        </is>
      </c>
      <c r="M2463" s="45" t="inlineStr"/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TP - Technicien supérieur des méthodes d'industrialisation</t>
        </is>
      </c>
      <c r="L2464" s="45" t="inlineStr">
        <is>
          <t>31/12/2030</t>
        </is>
      </c>
      <c r="M2464" s="45" t="inlineStr"/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31/12/2030</t>
        </is>
      </c>
      <c r="M2465" s="45" t="inlineStr"/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31/12/2030</t>
        </is>
      </c>
      <c r="M2466" s="45" t="inlineStr"/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31/12/2030</t>
        </is>
      </c>
      <c r="M2467" s="45" t="inlineStr"/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31/12/2030</t>
        </is>
      </c>
      <c r="M2468" s="45" t="inlineStr"/>
      <c r="N2468" s="50" t="inlineStr">
        <is>
          <t>NON</t>
        </is>
      </c>
      <c r="O2468" s="45" t="inlineStr"/>
    </row>
    <row r="2469" customFormat="1" s="3">
      <c r="A2469" s="45" t="n"/>
      <c r="B2469" s="46" t="inlineStr">
        <is>
          <t>31624</t>
        </is>
      </c>
      <c r="C2469" s="46">
        <f>LEFT(Tableau1[[#This Row],[Formacode]],3)</f>
        <v/>
      </c>
      <c r="D2469" s="47" t="n">
        <v>35698</v>
      </c>
      <c r="E2469" s="48">
        <f>"RNCP"&amp;D2469</f>
        <v/>
      </c>
      <c r="F2469" s="48" t="inlineStr">
        <is>
          <t>BAC PRO - Maintenance des Systèmes de Production Connectés</t>
        </is>
      </c>
      <c r="G2469" s="49">
        <f>E2469&amp;" - "&amp;F2469</f>
        <v/>
      </c>
      <c r="H2469" s="36" t="inlineStr">
        <is>
          <t>RAS</t>
        </is>
      </c>
      <c r="I2469" s="45" t="inlineStr"/>
      <c r="J2469" s="45" t="inlineStr">
        <is>
          <t>RNCP35698</t>
        </is>
      </c>
      <c r="K2469" s="45" t="inlineStr">
        <is>
          <t>BAC PRO - Maintenance des Systèmes de Production Connectés</t>
        </is>
      </c>
      <c r="L2469" s="45" t="inlineStr">
        <is>
          <t>31/12/2030</t>
        </is>
      </c>
      <c r="M2469" s="45" t="inlineStr"/>
      <c r="N2469" s="50" t="inlineStr">
        <is>
          <t>NON</t>
        </is>
      </c>
      <c r="O2469" s="45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TP - Technicien supérieur de maintenance industrielle</t>
        </is>
      </c>
      <c r="L2470" s="45" t="inlineStr">
        <is>
          <t>31/12/2030</t>
        </is>
      </c>
      <c r="M2470" s="45" t="inlineStr"/>
      <c r="N2470" s="50" t="inlineStr">
        <is>
          <t>NON</t>
        </is>
      </c>
      <c r="O2470" s="45" t="inlineStr"/>
    </row>
    <row r="2471" customFormat="1" s="3">
      <c r="A2471" s="45" t="n"/>
      <c r="B2471" s="46" t="inlineStr">
        <is>
          <t>31624</t>
        </is>
      </c>
      <c r="C2471" s="46">
        <f>LEFT(Tableau1[[#This Row],[Formacode]],3)</f>
        <v/>
      </c>
      <c r="D2471" s="47" t="n">
        <v>36376</v>
      </c>
      <c r="E2471" s="48">
        <f>"RNCP"&amp;D2471</f>
        <v/>
      </c>
      <c r="F2471" s="48" t="inlineStr">
        <is>
          <t>CQP Opérateur en Maintenance Industrielle (CQPI)</t>
        </is>
      </c>
      <c r="G2471" s="49">
        <f>E2471&amp;" - "&amp;F2471</f>
        <v/>
      </c>
      <c r="H2471" s="36" t="inlineStr">
        <is>
          <t>RAS</t>
        </is>
      </c>
      <c r="I2471" s="45" t="inlineStr"/>
      <c r="J2471" s="45" t="inlineStr">
        <is>
          <t>RNCP36376</t>
        </is>
      </c>
      <c r="K2471" s="45" t="inlineStr">
        <is>
          <t>CQP Opérateur en Maintenance Industrielle (CQPI)</t>
        </is>
      </c>
      <c r="L2471" s="45" t="inlineStr">
        <is>
          <t>31/12/2030</t>
        </is>
      </c>
      <c r="M2471" s="45" t="inlineStr"/>
      <c r="N2471" s="50" t="inlineStr">
        <is>
          <t>NON</t>
        </is>
      </c>
      <c r="O2471" s="45" t="inlineStr"/>
    </row>
    <row r="2472" customFormat="1" s="3">
      <c r="A2472" s="45" t="n"/>
      <c r="B2472" s="46" t="inlineStr">
        <is>
          <t>31624</t>
        </is>
      </c>
      <c r="C2472" s="46">
        <f>LEFT(Tableau1[[#This Row],[Formacode]],3)</f>
        <v/>
      </c>
      <c r="D2472" s="47" t="n">
        <v>37071</v>
      </c>
      <c r="E2472" s="48">
        <f>"RNCP"&amp;D2472</f>
        <v/>
      </c>
      <c r="F2472" s="48" t="inlineStr">
        <is>
          <t>Technicien expert après-vente véhicules utilitaires et industriels</t>
        </is>
      </c>
      <c r="G2472" s="49">
        <f>E2472&amp;" - "&amp;F2472</f>
        <v/>
      </c>
      <c r="H2472" s="36" t="inlineStr">
        <is>
          <t>RAS</t>
        </is>
      </c>
      <c r="I2472" s="45" t="inlineStr"/>
      <c r="J2472" s="45" t="inlineStr">
        <is>
          <t>RNCP37071</t>
        </is>
      </c>
      <c r="K2472" s="45" t="inlineStr">
        <is>
          <t>Technicien expert après-vente véhicules utilitaires et industriels</t>
        </is>
      </c>
      <c r="L2472" s="45" t="inlineStr">
        <is>
          <t>31/12/2030</t>
        </is>
      </c>
      <c r="M2472" s="45" t="inlineStr"/>
      <c r="N2472" s="50" t="inlineStr">
        <is>
          <t>NON</t>
        </is>
      </c>
      <c r="O2472" s="45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31/12/2030</t>
        </is>
      </c>
      <c r="M2473" s="45" t="inlineStr"/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TP - Electromécanicien de maintenance industrielle</t>
        </is>
      </c>
      <c r="L2474" s="45" t="inlineStr">
        <is>
          <t>31/12/2030</t>
        </is>
      </c>
      <c r="M2474" s="45" t="inlineStr"/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TP - Technicien de maintenance et de travaux en systèmes de sécurité incendie</t>
        </is>
      </c>
      <c r="L2475" s="45" t="inlineStr">
        <is>
          <t>31/12/2030</t>
        </is>
      </c>
      <c r="M2475" s="45" t="inlineStr"/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BTS - Contrôle industriel et régulation automatique</t>
        </is>
      </c>
      <c r="L2476" s="45" t="inlineStr">
        <is>
          <t>31/12/2030</t>
        </is>
      </c>
      <c r="M2476" s="45" t="inlineStr"/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BAC PRO - Techniques d'interventions sur installations nucléaires</t>
        </is>
      </c>
      <c r="L2477" s="45" t="inlineStr">
        <is>
          <t>31/12/2030</t>
        </is>
      </c>
      <c r="M2477" s="45" t="inlineStr"/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31/12/2030</t>
        </is>
      </c>
      <c r="M2478" s="45" t="inlineStr"/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31/12/2030</t>
        </is>
      </c>
      <c r="M2479" s="45" t="inlineStr"/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31/12/2030</t>
        </is>
      </c>
      <c r="M2480" s="45" t="inlineStr"/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31/12/2030</t>
        </is>
      </c>
      <c r="M2481" s="45" t="inlineStr"/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31/12/2030</t>
        </is>
      </c>
      <c r="M2482" s="45" t="inlineStr"/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BAC PRO - Maintenance environnementale et propreté des espaces urbains</t>
        </is>
      </c>
      <c r="L2483" s="45" t="inlineStr">
        <is>
          <t>31/12/2030</t>
        </is>
      </c>
      <c r="M2483" s="45" t="inlineStr"/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31/12/2030</t>
        </is>
      </c>
      <c r="M2484" s="45" t="inlineStr"/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BAC PRO - Technicien en transport et distribution des gaz</t>
        </is>
      </c>
      <c r="L2485" s="45" t="inlineStr">
        <is>
          <t>31/12/2030</t>
        </is>
      </c>
      <c r="M2485" s="45" t="inlineStr"/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31/12/2030</t>
        </is>
      </c>
      <c r="M2486" s="45" t="inlineStr"/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BAC PRO - Technicien en réalisation de produits mécaniques, option réalisation et suivi de productions, option réalisation et maintenance des outillages</t>
        </is>
      </c>
      <c r="L2487" s="45" t="inlineStr">
        <is>
          <t>31/12/2030</t>
        </is>
      </c>
      <c r="M2487" s="45" t="inlineStr"/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31/12/2030</t>
        </is>
      </c>
      <c r="M2488" s="45" t="inlineStr"/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TP - Technicien de maintenance industrielle</t>
        </is>
      </c>
      <c r="L2489" s="45" t="inlineStr">
        <is>
          <t>31/12/2030</t>
        </is>
      </c>
      <c r="M2489" s="45" t="inlineStr"/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31/12/2030</t>
        </is>
      </c>
      <c r="M2490" s="45" t="inlineStr"/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31/12/2030</t>
        </is>
      </c>
      <c r="M2491" s="45" t="inlineStr"/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31/12/2030</t>
        </is>
      </c>
      <c r="M2492" s="45" t="inlineStr"/>
      <c r="N2492" s="50" t="inlineStr">
        <is>
          <t>NON</t>
        </is>
      </c>
      <c r="O2492" s="45" t="inlineStr"/>
    </row>
    <row r="2493" customFormat="1" s="3">
      <c r="A2493" s="45" t="n"/>
      <c r="B2493" s="46" t="inlineStr">
        <is>
          <t>31637</t>
        </is>
      </c>
      <c r="C2493" s="46">
        <f>LEFT(Tableau1[[#This Row],[Formacode]],3)</f>
        <v/>
      </c>
      <c r="D2493" s="47" t="n">
        <v>38467</v>
      </c>
      <c r="E2493" s="48">
        <f>"RNCP"&amp;D2493</f>
        <v/>
      </c>
      <c r="F2493" s="48" t="inlineStr">
        <is>
          <t>CQP Chargé d'intégration de la productique industrielle</t>
        </is>
      </c>
      <c r="G2493" s="49">
        <f>E2493&amp;" - "&amp;F2493</f>
        <v/>
      </c>
      <c r="H2493" s="36" t="inlineStr">
        <is>
          <t>RAS</t>
        </is>
      </c>
      <c r="I2493" s="45" t="inlineStr"/>
      <c r="J2493" s="45" t="inlineStr">
        <is>
          <t>RNCP38467</t>
        </is>
      </c>
      <c r="K2493" s="45" t="inlineStr">
        <is>
          <t>CQP Chargé d'intégration de la productique industrielle</t>
        </is>
      </c>
      <c r="L2493" s="45" t="inlineStr">
        <is>
          <t>31/12/2030</t>
        </is>
      </c>
      <c r="M2493" s="45" t="inlineStr"/>
      <c r="N2493" s="50" t="inlineStr">
        <is>
          <t>NON</t>
        </is>
      </c>
      <c r="O2493" s="45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BTS - Conception et industrialisation en microtechniques</t>
        </is>
      </c>
      <c r="L2494" s="45" t="inlineStr">
        <is>
          <t>31/12/2030</t>
        </is>
      </c>
      <c r="M2494" s="45" t="inlineStr"/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TP - Technicien supérieur des méthodes d'industrialisation</t>
        </is>
      </c>
      <c r="L2495" s="45" t="inlineStr">
        <is>
          <t>31/12/2030</t>
        </is>
      </c>
      <c r="M2495" s="45" t="inlineStr"/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31/12/2030</t>
        </is>
      </c>
      <c r="M2496" s="45" t="inlineStr"/>
      <c r="N2496" s="50" t="inlineStr">
        <is>
          <t>NON</t>
        </is>
      </c>
      <c r="O2496" s="45" t="inlineStr"/>
    </row>
    <row r="2497" customFormat="1" s="3">
      <c r="A2497" s="45" t="n"/>
      <c r="B2497" s="46" t="inlineStr">
        <is>
          <t>31652</t>
        </is>
      </c>
      <c r="C2497" s="46">
        <f>LEFT(Tableau1[[#This Row],[Formacode]],3)</f>
        <v/>
      </c>
      <c r="D2497" s="47" t="n">
        <v>35640</v>
      </c>
      <c r="E2497" s="48">
        <f>"RNCP"&amp;D2497</f>
        <v/>
      </c>
      <c r="F2497" s="48" t="inlineStr">
        <is>
          <t>CAP - Arts de la dentelle, options fuseaux et aiguille</t>
        </is>
      </c>
      <c r="G2497" s="49">
        <f>E2497&amp;" - "&amp;F2497</f>
        <v/>
      </c>
      <c r="H2497" s="36" t="inlineStr">
        <is>
          <t>RAS</t>
        </is>
      </c>
      <c r="I2497" s="45" t="inlineStr"/>
      <c r="J2497" s="45" t="inlineStr">
        <is>
          <t>RNCP35640</t>
        </is>
      </c>
      <c r="K2497" s="45" t="inlineStr">
        <is>
          <t>CAP - Arts de la dentelle, options fuseaux et aiguille</t>
        </is>
      </c>
      <c r="L2497" s="45" t="inlineStr">
        <is>
          <t>31/12/2030</t>
        </is>
      </c>
      <c r="M2497" s="45" t="inlineStr"/>
      <c r="N2497" s="50" t="inlineStr">
        <is>
          <t>NON</t>
        </is>
      </c>
      <c r="O2497" s="45" t="inlineStr"/>
    </row>
    <row r="2498" customFormat="1" s="3">
      <c r="A2498" s="45" t="n"/>
      <c r="B2498" s="46" t="inlineStr">
        <is>
          <t>31652</t>
        </is>
      </c>
      <c r="C2498" s="46">
        <f>LEFT(Tableau1[[#This Row],[Formacode]],3)</f>
        <v/>
      </c>
      <c r="D2498" s="47" t="n">
        <v>35753</v>
      </c>
      <c r="E2498" s="48">
        <f>"RNCP"&amp;D2498</f>
        <v/>
      </c>
      <c r="F2498" s="48" t="inlineStr">
        <is>
          <t>Opérateur Technique en Pharmacie et Cosmétique Industrielles</t>
        </is>
      </c>
      <c r="G2498" s="49">
        <f>E2498&amp;" - "&amp;F2498</f>
        <v/>
      </c>
      <c r="H2498" s="36" t="inlineStr">
        <is>
          <t>RAS</t>
        </is>
      </c>
      <c r="I2498" s="45" t="inlineStr"/>
      <c r="J2498" s="45" t="inlineStr">
        <is>
          <t>RNCP35753</t>
        </is>
      </c>
      <c r="K2498" s="45" t="inlineStr">
        <is>
          <t>Opérateur Technique en Pharmacie et Cosmétique Industrielles</t>
        </is>
      </c>
      <c r="L2498" s="45" t="inlineStr">
        <is>
          <t>31/12/2030</t>
        </is>
      </c>
      <c r="M2498" s="45" t="inlineStr"/>
      <c r="N2498" s="50" t="inlineStr">
        <is>
          <t>NON</t>
        </is>
      </c>
      <c r="O2498" s="45" t="inlineStr"/>
    </row>
    <row r="2499" customFormat="1" s="3">
      <c r="A2499" s="45" t="n"/>
      <c r="B2499" s="46" t="inlineStr">
        <is>
          <t>31652</t>
        </is>
      </c>
      <c r="C2499" s="46">
        <f>LEFT(Tableau1[[#This Row],[Formacode]],3)</f>
        <v/>
      </c>
      <c r="D2499" s="47" t="n">
        <v>36085</v>
      </c>
      <c r="E2499" s="48">
        <f>"RNCP"&amp;D2499</f>
        <v/>
      </c>
      <c r="F2499" s="48" t="inlineStr">
        <is>
          <t>Technicien en pharmacie et cosmétique industrielles</t>
        </is>
      </c>
      <c r="G2499" s="49">
        <f>E2499&amp;" - "&amp;F2499</f>
        <v/>
      </c>
      <c r="H2499" s="36" t="inlineStr">
        <is>
          <t>RAS</t>
        </is>
      </c>
      <c r="I2499" s="45" t="inlineStr"/>
      <c r="J2499" s="45" t="inlineStr">
        <is>
          <t>RNCP36085</t>
        </is>
      </c>
      <c r="K2499" s="45" t="inlineStr">
        <is>
          <t>Technicien en pharmacie et cosmétique industrielles</t>
        </is>
      </c>
      <c r="L2499" s="45" t="inlineStr">
        <is>
          <t>31/12/2030</t>
        </is>
      </c>
      <c r="M2499" s="45" t="inlineStr"/>
      <c r="N2499" s="50" t="inlineStr">
        <is>
          <t>NON</t>
        </is>
      </c>
      <c r="O2499" s="45" t="inlineStr"/>
    </row>
    <row r="2500" customFormat="1" s="3">
      <c r="A2500" s="45" t="n"/>
      <c r="B2500" s="46" t="inlineStr">
        <is>
          <t>31652</t>
        </is>
      </c>
      <c r="C2500" s="46">
        <f>LEFT(Tableau1[[#This Row],[Formacode]],3)</f>
        <v/>
      </c>
      <c r="D2500" s="47" t="n">
        <v>36168</v>
      </c>
      <c r="E2500" s="48">
        <f>"RNCP"&amp;D2500</f>
        <v/>
      </c>
      <c r="F2500" s="48" t="inlineStr">
        <is>
          <t>TP - Technicien supérieur en fabrication additive</t>
        </is>
      </c>
      <c r="G2500" s="49">
        <f>E2500&amp;" - "&amp;F2500</f>
        <v/>
      </c>
      <c r="H2500" s="36" t="inlineStr">
        <is>
          <t>RAS</t>
        </is>
      </c>
      <c r="I2500" s="45" t="inlineStr"/>
      <c r="J2500" s="45" t="inlineStr">
        <is>
          <t>RNCP36168</t>
        </is>
      </c>
      <c r="K2500" s="45" t="inlineStr">
        <is>
          <t>TP - Technicien supérieur en fabrication additive</t>
        </is>
      </c>
      <c r="L2500" s="45" t="inlineStr">
        <is>
          <t>31/12/2030</t>
        </is>
      </c>
      <c r="M2500" s="45" t="inlineStr"/>
      <c r="N2500" s="50" t="inlineStr">
        <is>
          <t>NON</t>
        </is>
      </c>
      <c r="O2500" s="45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BAC PRO - Modélisation et prototypage 3D</t>
        </is>
      </c>
      <c r="L2501" s="45" t="inlineStr">
        <is>
          <t>31/12/2030</t>
        </is>
      </c>
      <c r="M2501" s="45" t="inlineStr"/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BAC PRO - Pilote de ligne de production</t>
        </is>
      </c>
      <c r="L2502" s="45" t="inlineStr">
        <is>
          <t>31/12/2030</t>
        </is>
      </c>
      <c r="M2502" s="45" t="inlineStr"/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CAP - Conducteur d'installations de production</t>
        </is>
      </c>
      <c r="L2503" s="45" t="inlineStr">
        <is>
          <t>31/12/2030</t>
        </is>
      </c>
      <c r="M2503" s="45" t="inlineStr"/>
      <c r="N2503" s="50" t="inlineStr">
        <is>
          <t>NON</t>
        </is>
      </c>
      <c r="O2503" s="45" t="inlineStr"/>
    </row>
    <row r="2504" customFormat="1" s="3">
      <c r="A2504" s="45" t="n"/>
      <c r="B2504" s="46" t="inlineStr">
        <is>
          <t>31652</t>
        </is>
      </c>
      <c r="C2504" s="46">
        <f>LEFT(Tableau1[[#This Row],[Formacode]],3)</f>
        <v/>
      </c>
      <c r="D2504" s="47" t="n">
        <v>37239</v>
      </c>
      <c r="E2504" s="48">
        <f>"RNCP"&amp;D2504</f>
        <v/>
      </c>
      <c r="F2504" s="48" t="inlineStr">
        <is>
          <t>Brevet professionnel - Pilote d'installations de production par procédés</t>
        </is>
      </c>
      <c r="G2504" s="49">
        <f>E2504&amp;" - "&amp;F2504</f>
        <v/>
      </c>
      <c r="H2504" s="36" t="inlineStr">
        <is>
          <t>RAS</t>
        </is>
      </c>
      <c r="I2504" s="45" t="inlineStr"/>
      <c r="J2504" s="45" t="inlineStr">
        <is>
          <t>RNCP37239</t>
        </is>
      </c>
      <c r="K2504" s="45" t="inlineStr">
        <is>
          <t>Brevet professionnel - Pilote d'installations de production par procédés</t>
        </is>
      </c>
      <c r="L2504" s="45" t="inlineStr">
        <is>
          <t>31/12/2030</t>
        </is>
      </c>
      <c r="M2504" s="45" t="inlineStr"/>
      <c r="N2504" s="50" t="inlineStr">
        <is>
          <t>NON</t>
        </is>
      </c>
      <c r="O2504" s="45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TP - Technicien supérieur en méthodes et exploitation logistique</t>
        </is>
      </c>
      <c r="L2505" s="45" t="inlineStr">
        <is>
          <t>31/12/2030</t>
        </is>
      </c>
      <c r="M2505" s="45" t="inlineStr"/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31/12/2030</t>
        </is>
      </c>
      <c r="M2506" s="45" t="inlineStr"/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31/12/2030</t>
        </is>
      </c>
      <c r="M2507" s="45" t="inlineStr"/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TP - Agent de fabrication industrielle</t>
        </is>
      </c>
      <c r="L2508" s="45" t="inlineStr">
        <is>
          <t>31/12/2030</t>
        </is>
      </c>
      <c r="M2508" s="45" t="inlineStr"/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TP - Conducteur d'installation et de machines automatisées</t>
        </is>
      </c>
      <c r="L2509" s="45" t="inlineStr">
        <is>
          <t>31/12/2030</t>
        </is>
      </c>
      <c r="M2509" s="45" t="inlineStr"/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BTS - Conception des processus de réalisation de produits, option A : production unitaire, option B : production sérielle</t>
        </is>
      </c>
      <c r="L2510" s="45" t="inlineStr">
        <is>
          <t>31/12/2030</t>
        </is>
      </c>
      <c r="M2510" s="45" t="inlineStr"/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31/12/2030</t>
        </is>
      </c>
      <c r="M2511" s="45" t="inlineStr"/>
      <c r="N2511" s="50" t="inlineStr">
        <is>
          <t>NON</t>
        </is>
      </c>
      <c r="O2511" s="45" t="inlineStr"/>
    </row>
    <row r="2512" customFormat="1" s="3">
      <c r="A2512" s="45" t="n"/>
      <c r="B2512" s="46" t="inlineStr">
        <is>
          <t>31652</t>
        </is>
      </c>
      <c r="C2512" s="46">
        <f>LEFT(Tableau1[[#This Row],[Formacode]],3)</f>
        <v/>
      </c>
      <c r="D2512" s="47" t="n">
        <v>38302</v>
      </c>
      <c r="E2512" s="48">
        <f>"RNCP"&amp;D2512</f>
        <v/>
      </c>
      <c r="F2512" s="48" t="inlineStr">
        <is>
          <t>BAC PRO - Logistique</t>
        </is>
      </c>
      <c r="G2512" s="49">
        <f>E2512&amp;" - "&amp;F2512</f>
        <v/>
      </c>
      <c r="H2512" s="36" t="inlineStr">
        <is>
          <t>RAS</t>
        </is>
      </c>
      <c r="I2512" s="45" t="inlineStr"/>
      <c r="J2512" s="45" t="inlineStr">
        <is>
          <t>RNCP38302</t>
        </is>
      </c>
      <c r="K2512" s="45" t="inlineStr">
        <is>
          <t>BAC PRO - Logistique</t>
        </is>
      </c>
      <c r="L2512" s="45" t="inlineStr">
        <is>
          <t>31/12/2030</t>
        </is>
      </c>
      <c r="M2512" s="45" t="inlineStr"/>
      <c r="N2512" s="50" t="inlineStr">
        <is>
          <t>NON</t>
        </is>
      </c>
      <c r="O2512" s="45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BTS - EuroPlastics et Composites - Option CO: Conception Outillage - Option POP : Pilotage et Optimisation de la Production</t>
        </is>
      </c>
      <c r="L2513" s="45" t="inlineStr">
        <is>
          <t>31/12/2030</t>
        </is>
      </c>
      <c r="M2513" s="45" t="inlineStr"/>
      <c r="N2513" s="50" t="inlineStr">
        <is>
          <t>NON</t>
        </is>
      </c>
      <c r="O2513" s="45" t="inlineStr"/>
    </row>
    <row r="2514" customFormat="1" s="3">
      <c r="A2514" s="45" t="n"/>
      <c r="B2514" s="46" t="inlineStr">
        <is>
          <t>31652</t>
        </is>
      </c>
      <c r="C2514" s="46">
        <f>LEFT(Tableau1[[#This Row],[Formacode]],3)</f>
        <v/>
      </c>
      <c r="D2514" s="47" t="n">
        <v>38467</v>
      </c>
      <c r="E2514" s="48">
        <f>"RNCP"&amp;D2514</f>
        <v/>
      </c>
      <c r="F2514" s="48" t="inlineStr">
        <is>
          <t>CQP Chargé d'intégration de la productique industrielle</t>
        </is>
      </c>
      <c r="G2514" s="49">
        <f>E2514&amp;" - "&amp;F2514</f>
        <v/>
      </c>
      <c r="H2514" s="36" t="inlineStr">
        <is>
          <t>RAS</t>
        </is>
      </c>
      <c r="I2514" s="45" t="inlineStr"/>
      <c r="J2514" s="45" t="inlineStr">
        <is>
          <t>RNCP38467</t>
        </is>
      </c>
      <c r="K2514" s="45" t="inlineStr">
        <is>
          <t>CQP Chargé d'intégration de la productique industrielle</t>
        </is>
      </c>
      <c r="L2514" s="45" t="inlineStr">
        <is>
          <t>31/12/2030</t>
        </is>
      </c>
      <c r="M2514" s="45" t="inlineStr"/>
      <c r="N2514" s="50" t="inlineStr">
        <is>
          <t>NON</t>
        </is>
      </c>
      <c r="O2514" s="45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31/12/2030</t>
        </is>
      </c>
      <c r="M2515" s="45" t="inlineStr"/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BAC PRO - Plastiques et composites</t>
        </is>
      </c>
      <c r="L2516" s="45" t="inlineStr">
        <is>
          <t>31/12/2030</t>
        </is>
      </c>
      <c r="M2516" s="45" t="inlineStr"/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31/12/2030</t>
        </is>
      </c>
      <c r="M2517" s="45" t="inlineStr"/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31/12/2030</t>
        </is>
      </c>
      <c r="M2518" s="45" t="inlineStr"/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31/12/2030</t>
        </is>
      </c>
      <c r="M2519" s="45" t="inlineStr"/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31/12/2030</t>
        </is>
      </c>
      <c r="M2520" s="45" t="inlineStr"/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TP - Technicien supérieur en production industrielle</t>
        </is>
      </c>
      <c r="L2521" s="45" t="inlineStr">
        <is>
          <t>31/12/2030</t>
        </is>
      </c>
      <c r="M2521" s="45" t="inlineStr"/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31/12/2030</t>
        </is>
      </c>
      <c r="M2522" s="45" t="inlineStr"/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31/12/2030</t>
        </is>
      </c>
      <c r="M2523" s="45" t="inlineStr"/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31/12/2030</t>
        </is>
      </c>
      <c r="M2524" s="45" t="inlineStr"/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31/12/2030</t>
        </is>
      </c>
      <c r="M2525" s="45" t="inlineStr"/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31/12/2030</t>
        </is>
      </c>
      <c r="M2526" s="45" t="inlineStr"/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TP - Technicien de production industrielle</t>
        </is>
      </c>
      <c r="L2527" s="45" t="inlineStr">
        <is>
          <t>31/12/2030</t>
        </is>
      </c>
      <c r="M2527" s="45" t="inlineStr"/>
      <c r="N2527" s="50" t="inlineStr">
        <is>
          <t>NON</t>
        </is>
      </c>
      <c r="O2527" s="45" t="inlineStr"/>
    </row>
    <row r="2528" customFormat="1" s="3">
      <c r="A2528" s="45" t="n"/>
      <c r="B2528" s="46" t="inlineStr">
        <is>
          <t>31652</t>
        </is>
      </c>
      <c r="C2528" s="46">
        <f>LEFT(Tableau1[[#This Row],[Formacode]],3)</f>
        <v/>
      </c>
      <c r="D2528" s="47" t="n">
        <v>39191</v>
      </c>
      <c r="E2528" s="48">
        <f>"RNCP"&amp;D2528</f>
        <v/>
      </c>
      <c r="F2528" s="48" t="inlineStr">
        <is>
          <t>CS - Conducteur de machines de verrerie</t>
        </is>
      </c>
      <c r="G2528" s="49">
        <f>E2528&amp;" - "&amp;F2528</f>
        <v/>
      </c>
      <c r="H2528" s="36" t="inlineStr">
        <is>
          <t>RAS</t>
        </is>
      </c>
      <c r="I2528" s="45" t="inlineStr"/>
      <c r="J2528" s="45" t="inlineStr">
        <is>
          <t>RNCP39191</t>
        </is>
      </c>
      <c r="K2528" s="45" t="inlineStr">
        <is>
          <t>CS - Conducteur de machines de verrerie</t>
        </is>
      </c>
      <c r="L2528" s="45" t="inlineStr">
        <is>
          <t>31/12/2030</t>
        </is>
      </c>
      <c r="M2528" s="45" t="inlineStr"/>
      <c r="N2528" s="50" t="inlineStr">
        <is>
          <t>NON</t>
        </is>
      </c>
      <c r="O2528" s="45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31/12/2030</t>
        </is>
      </c>
      <c r="M2529" s="45" t="inlineStr"/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CAP - Industries chimiques</t>
        </is>
      </c>
      <c r="L2530" s="45" t="inlineStr">
        <is>
          <t>31/12/2030</t>
        </is>
      </c>
      <c r="M2530" s="45" t="inlineStr"/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31/12/2030</t>
        </is>
      </c>
      <c r="M2531" s="45" t="inlineStr"/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31/12/2030</t>
        </is>
      </c>
      <c r="M2532" s="45" t="inlineStr"/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31/12/2030</t>
        </is>
      </c>
      <c r="M2533" s="45" t="inlineStr"/>
      <c r="N2533" s="50" t="inlineStr">
        <is>
          <t>NON</t>
        </is>
      </c>
      <c r="O2533" s="45" t="inlineStr"/>
    </row>
    <row r="2534" customFormat="1" s="3">
      <c r="A2534" s="45" t="n"/>
      <c r="B2534" s="46" t="inlineStr">
        <is>
          <t>31652</t>
        </is>
      </c>
      <c r="C2534" s="46">
        <f>LEFT(Tableau1[[#This Row],[Formacode]],3)</f>
        <v/>
      </c>
      <c r="D2534" s="47" t="n">
        <v>39995</v>
      </c>
      <c r="E2534" s="48">
        <f>"RNCP"&amp;D2534</f>
        <v/>
      </c>
      <c r="F2534" s="48" t="inlineStr">
        <is>
          <t>CQP Conducteur d'équipement industriel caoutchouc</t>
        </is>
      </c>
      <c r="G2534" s="49">
        <f>E2534&amp;" - "&amp;F2534</f>
        <v/>
      </c>
      <c r="H2534" s="36" t="inlineStr">
        <is>
          <t>RAS</t>
        </is>
      </c>
      <c r="I2534" s="45" t="inlineStr"/>
      <c r="J2534" s="45" t="inlineStr">
        <is>
          <t>RNCP39995</t>
        </is>
      </c>
      <c r="K2534" s="45" t="inlineStr">
        <is>
          <t>CQP Conducteur d'équipement industriel caoutchouc</t>
        </is>
      </c>
      <c r="L2534" s="45" t="inlineStr">
        <is>
          <t>31/12/2030</t>
        </is>
      </c>
      <c r="M2534" s="45" t="inlineStr"/>
      <c r="N2534" s="50" t="inlineStr">
        <is>
          <t>NON</t>
        </is>
      </c>
      <c r="O2534" s="45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31/12/2030</t>
        </is>
      </c>
      <c r="M2535" s="45" t="inlineStr"/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31/12/2030</t>
        </is>
      </c>
      <c r="M2536" s="45" t="inlineStr"/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31/12/2030</t>
        </is>
      </c>
      <c r="M2537" s="45" t="inlineStr"/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BAC PRO - Métiers de la logistique</t>
        </is>
      </c>
      <c r="L2538" s="45" t="inlineStr">
        <is>
          <t>31/12/2030</t>
        </is>
      </c>
      <c r="M2538" s="45" t="inlineStr"/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BAC PRO - Technicien en réalisation de produits mécaniques, option réalisation et suivi de productions, option réalisation et maintenance des outillages</t>
        </is>
      </c>
      <c r="L2539" s="45" t="inlineStr">
        <is>
          <t>31/12/2030</t>
        </is>
      </c>
      <c r="M2539" s="45" t="inlineStr"/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31/12/2030</t>
        </is>
      </c>
      <c r="M2540" s="45" t="inlineStr"/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31/12/2030</t>
        </is>
      </c>
      <c r="M2541" s="45" t="inlineStr"/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31/12/2030</t>
        </is>
      </c>
      <c r="M2542" s="45" t="inlineStr"/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31/12/2030</t>
        </is>
      </c>
      <c r="M2543" s="45" t="inlineStr"/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31/12/2030</t>
        </is>
      </c>
      <c r="M2544" s="45" t="inlineStr"/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31/12/2030</t>
        </is>
      </c>
      <c r="M2545" s="45" t="inlineStr"/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BTS - Contrôle industriel et régulation automatique</t>
        </is>
      </c>
      <c r="L2546" s="45" t="inlineStr">
        <is>
          <t>31/12/2030</t>
        </is>
      </c>
      <c r="M2546" s="45" t="inlineStr"/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CS - Maquettes et prototypes</t>
        </is>
      </c>
      <c r="L2547" s="45" t="inlineStr">
        <is>
          <t>31/12/2030</t>
        </is>
      </c>
      <c r="M2547" s="45" t="inlineStr"/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31/12/2030</t>
        </is>
      </c>
      <c r="M2548" s="45" t="inlineStr"/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TP - Technicien supérieur des méthodes d'industrialisation</t>
        </is>
      </c>
      <c r="L2549" s="45" t="inlineStr">
        <is>
          <t>31/12/2030</t>
        </is>
      </c>
      <c r="M2549" s="45" t="inlineStr"/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31/12/2030</t>
        </is>
      </c>
      <c r="M2550" s="45" t="inlineStr"/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BAC PRO - Modélisation et prototypage 3D</t>
        </is>
      </c>
      <c r="L2551" s="45" t="inlineStr">
        <is>
          <t>31/12/2030</t>
        </is>
      </c>
      <c r="M2551" s="45" t="inlineStr"/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BTS - Conception et réalisation de systèmes automatiques</t>
        </is>
      </c>
      <c r="L2552" s="45" t="inlineStr">
        <is>
          <t>31/12/2030</t>
        </is>
      </c>
      <c r="M2552" s="45" t="inlineStr"/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TP - Dessinateur projeteur en construction métallique</t>
        </is>
      </c>
      <c r="L2553" s="45" t="inlineStr">
        <is>
          <t>31/12/2030</t>
        </is>
      </c>
      <c r="M2553" s="45" t="inlineStr"/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TP - Dessinateur projeteur d'ouvrages de métallerie</t>
        </is>
      </c>
      <c r="L2554" s="45" t="inlineStr">
        <is>
          <t>31/12/2030</t>
        </is>
      </c>
      <c r="M2554" s="45" t="inlineStr"/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TP - Technicien supérieur en conception industrielle de systèmes mécaniques</t>
        </is>
      </c>
      <c r="L2555" s="45" t="inlineStr">
        <is>
          <t>31/12/2030</t>
        </is>
      </c>
      <c r="M2555" s="45" t="inlineStr"/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BTS - Conception des produits industriels</t>
        </is>
      </c>
      <c r="L2556" s="45" t="inlineStr">
        <is>
          <t>31/12/2030</t>
        </is>
      </c>
      <c r="M2556" s="45" t="inlineStr"/>
      <c r="N2556" s="50" t="inlineStr">
        <is>
          <t>NON</t>
        </is>
      </c>
      <c r="O2556" s="45" t="inlineStr"/>
    </row>
    <row r="2557" customFormat="1" s="3">
      <c r="A2557" s="45" t="n"/>
      <c r="B2557" s="46" t="inlineStr">
        <is>
          <t>31676</t>
        </is>
      </c>
      <c r="C2557" s="46">
        <f>LEFT(Tableau1[[#This Row],[Formacode]],3)</f>
        <v/>
      </c>
      <c r="D2557" s="47" t="n">
        <v>38467</v>
      </c>
      <c r="E2557" s="48">
        <f>"RNCP"&amp;D2557</f>
        <v/>
      </c>
      <c r="F2557" s="48" t="inlineStr">
        <is>
          <t>CQP Chargé d'intégration de la productique industrielle</t>
        </is>
      </c>
      <c r="G2557" s="49">
        <f>E2557&amp;" - "&amp;F2557</f>
        <v/>
      </c>
      <c r="H2557" s="36" t="inlineStr">
        <is>
          <t>RAS</t>
        </is>
      </c>
      <c r="I2557" s="45" t="inlineStr"/>
      <c r="J2557" s="45" t="inlineStr">
        <is>
          <t>RNCP38467</t>
        </is>
      </c>
      <c r="K2557" s="45" t="inlineStr">
        <is>
          <t>CQP Chargé d'intégration de la productique industrielle</t>
        </is>
      </c>
      <c r="L2557" s="45" t="inlineStr">
        <is>
          <t>31/12/2030</t>
        </is>
      </c>
      <c r="M2557" s="45" t="inlineStr"/>
      <c r="N2557" s="50" t="inlineStr">
        <is>
          <t>NON</t>
        </is>
      </c>
      <c r="O2557" s="45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BTS - Conception et industrialisation en microtechniques</t>
        </is>
      </c>
      <c r="L2558" s="45" t="inlineStr">
        <is>
          <t>31/12/2030</t>
        </is>
      </c>
      <c r="M2558" s="45" t="inlineStr"/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BAC PRO - Technicien d'études du bâtiment</t>
        </is>
      </c>
      <c r="L2559" s="45" t="inlineStr">
        <is>
          <t>31/12/2030</t>
        </is>
      </c>
      <c r="M2559" s="45" t="inlineStr"/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TP - Dessinateur projeteur en tuyauterie et chaudronnerie industrielles</t>
        </is>
      </c>
      <c r="L2560" s="45" t="inlineStr">
        <is>
          <t>31/12/2030</t>
        </is>
      </c>
      <c r="M2560" s="45" t="inlineStr"/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BTS - Construction et aménagement de véhicules</t>
        </is>
      </c>
      <c r="L2561" s="45" t="inlineStr">
        <is>
          <t>31/12/2030</t>
        </is>
      </c>
      <c r="M2561" s="45" t="inlineStr"/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TP - Technicien d'études en mécanique</t>
        </is>
      </c>
      <c r="L2562" s="45" t="inlineStr">
        <is>
          <t>31/12/2030</t>
        </is>
      </c>
      <c r="M2562" s="45" t="inlineStr"/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31/12/2030</t>
        </is>
      </c>
      <c r="M2563" s="45" t="inlineStr"/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31/12/2030</t>
        </is>
      </c>
      <c r="M2564" s="45" t="inlineStr"/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BTS - Motorisations toutes énergies</t>
        </is>
      </c>
      <c r="L2565" s="45" t="inlineStr">
        <is>
          <t>31/12/2030</t>
        </is>
      </c>
      <c r="M2565" s="45" t="inlineStr"/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31/12/2030</t>
        </is>
      </c>
      <c r="M2566" s="45" t="inlineStr"/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Certificat d'aptitude professionnelle - Déménageur sur véhicule utile léger</t>
        </is>
      </c>
      <c r="L2567" s="45" t="inlineStr">
        <is>
          <t>31/12/2030</t>
        </is>
      </c>
      <c r="M2567" s="45" t="inlineStr"/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BTS - Pilotage de procédés</t>
        </is>
      </c>
      <c r="L2568" s="45" t="inlineStr">
        <is>
          <t>31/12/2030</t>
        </is>
      </c>
      <c r="M2568" s="45" t="inlineStr"/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31/12/2030</t>
        </is>
      </c>
      <c r="M2569" s="45" t="inlineStr"/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BTS - Motorisations toutes énergies</t>
        </is>
      </c>
      <c r="L2570" s="45" t="inlineStr">
        <is>
          <t>31/12/2030</t>
        </is>
      </c>
      <c r="M2570" s="45" t="inlineStr"/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Certificat d'aptitude professionnelle - Déménageur sur véhicule utile léger</t>
        </is>
      </c>
      <c r="L2571" s="45" t="inlineStr">
        <is>
          <t>31/12/2030</t>
        </is>
      </c>
      <c r="M2571" s="45" t="inlineStr"/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BTS - Pilotage de procédés</t>
        </is>
      </c>
      <c r="L2572" s="45" t="inlineStr">
        <is>
          <t>31/12/2030</t>
        </is>
      </c>
      <c r="M2572" s="45" t="inlineStr"/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31/12/2030</t>
        </is>
      </c>
      <c r="M2573" s="45" t="inlineStr"/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TP - Technicien en logistique d'entreposage</t>
        </is>
      </c>
      <c r="L2574" s="45" t="inlineStr">
        <is>
          <t>31/12/2030</t>
        </is>
      </c>
      <c r="M2574" s="45" t="inlineStr"/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BTS - Motorisations toutes énergies</t>
        </is>
      </c>
      <c r="L2575" s="45" t="inlineStr">
        <is>
          <t>31/12/2030</t>
        </is>
      </c>
      <c r="M2575" s="45" t="inlineStr"/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TP - Employé commercial</t>
        </is>
      </c>
      <c r="L2576" s="45" t="inlineStr">
        <is>
          <t>31/12/2030</t>
        </is>
      </c>
      <c r="M2576" s="45" t="inlineStr"/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TP - Technicien supérieur en méthodes et exploitation logistique</t>
        </is>
      </c>
      <c r="L2577" s="45" t="inlineStr">
        <is>
          <t>31/12/2030</t>
        </is>
      </c>
      <c r="M2577" s="45" t="inlineStr"/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31/12/2030</t>
        </is>
      </c>
      <c r="M2578" s="45" t="inlineStr"/>
      <c r="N2578" s="50" t="inlineStr">
        <is>
          <t>NON</t>
        </is>
      </c>
      <c r="O2578" s="45" t="inlineStr"/>
    </row>
    <row r="2579" customFormat="1" s="3">
      <c r="A2579" s="45" t="n"/>
      <c r="B2579" s="46" t="inlineStr">
        <is>
          <t>31734</t>
        </is>
      </c>
      <c r="C2579" s="46">
        <f>LEFT(Tableau1[[#This Row],[Formacode]],3)</f>
        <v/>
      </c>
      <c r="D2579" s="47" t="n">
        <v>37672</v>
      </c>
      <c r="E2579" s="48">
        <f>"RNCP"&amp;D2579</f>
        <v/>
      </c>
      <c r="F2579" s="48" t="inlineStr">
        <is>
          <t>CAP - Opérateur logistique</t>
        </is>
      </c>
      <c r="G2579" s="49">
        <f>E2579&amp;" - "&amp;F2579</f>
        <v/>
      </c>
      <c r="H2579" s="36" t="inlineStr">
        <is>
          <t>RAS</t>
        </is>
      </c>
      <c r="I2579" s="45" t="inlineStr"/>
      <c r="J2579" s="45" t="inlineStr">
        <is>
          <t>RNCP37672</t>
        </is>
      </c>
      <c r="K2579" s="45" t="inlineStr">
        <is>
          <t>CAP - Opérateur logistique</t>
        </is>
      </c>
      <c r="L2579" s="45" t="inlineStr">
        <is>
          <t>31/12/2030</t>
        </is>
      </c>
      <c r="M2579" s="45" t="inlineStr"/>
      <c r="N2579" s="50" t="inlineStr">
        <is>
          <t>NON</t>
        </is>
      </c>
      <c r="O2579" s="45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Certificat d'aptitude professionnelle - Déménageur sur véhicule utile léger</t>
        </is>
      </c>
      <c r="L2580" s="45" t="inlineStr">
        <is>
          <t>31/12/2030</t>
        </is>
      </c>
      <c r="M2580" s="45" t="inlineStr"/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BTS - Pilotage de procédés</t>
        </is>
      </c>
      <c r="L2581" s="45" t="inlineStr">
        <is>
          <t>31/12/2030</t>
        </is>
      </c>
      <c r="M2581" s="45" t="inlineStr"/>
      <c r="N2581" s="50" t="inlineStr">
        <is>
          <t>NON</t>
        </is>
      </c>
      <c r="O2581" s="45" t="inlineStr"/>
    </row>
    <row r="2582" customFormat="1" s="3">
      <c r="A2582" s="45" t="n"/>
      <c r="B2582" s="46" t="inlineStr">
        <is>
          <t>31734</t>
        </is>
      </c>
      <c r="C2582" s="46">
        <f>LEFT(Tableau1[[#This Row],[Formacode]],3)</f>
        <v/>
      </c>
      <c r="D2582" s="47" t="n">
        <v>38302</v>
      </c>
      <c r="E2582" s="48">
        <f>"RNCP"&amp;D2582</f>
        <v/>
      </c>
      <c r="F2582" s="48" t="inlineStr">
        <is>
          <t>BAC PRO - Logistique</t>
        </is>
      </c>
      <c r="G2582" s="49">
        <f>E2582&amp;" - "&amp;F2582</f>
        <v/>
      </c>
      <c r="H2582" s="36" t="inlineStr">
        <is>
          <t>RAS</t>
        </is>
      </c>
      <c r="I2582" s="45" t="inlineStr"/>
      <c r="J2582" s="45" t="inlineStr">
        <is>
          <t>RNCP38302</t>
        </is>
      </c>
      <c r="K2582" s="45" t="inlineStr">
        <is>
          <t>BAC PRO - Logistique</t>
        </is>
      </c>
      <c r="L2582" s="45" t="inlineStr">
        <is>
          <t>31/12/2030</t>
        </is>
      </c>
      <c r="M2582" s="45" t="inlineStr"/>
      <c r="N2582" s="50" t="inlineStr">
        <is>
          <t>NON</t>
        </is>
      </c>
      <c r="O2582" s="45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Certificat d'aptitude professionnelle - Opérateur de service - Relation client et livraison</t>
        </is>
      </c>
      <c r="L2583" s="45" t="inlineStr">
        <is>
          <t>31/12/2030</t>
        </is>
      </c>
      <c r="M2583" s="45" t="inlineStr"/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TP - Agent magasinier</t>
        </is>
      </c>
      <c r="L2584" s="45" t="inlineStr">
        <is>
          <t>31/12/2030</t>
        </is>
      </c>
      <c r="M2584" s="45" t="inlineStr"/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TP - Préparateur de commandes en entrepôt</t>
        </is>
      </c>
      <c r="L2585" s="45" t="inlineStr">
        <is>
          <t>31/12/2030</t>
        </is>
      </c>
      <c r="M2585" s="45" t="inlineStr"/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CS - Collecte de grains et distribution d'agrofournitures</t>
        </is>
      </c>
      <c r="L2586" s="45" t="inlineStr">
        <is>
          <t>31/12/2030</t>
        </is>
      </c>
      <c r="M2586" s="45" t="inlineStr"/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BAC PRO - Métiers de la logistique</t>
        </is>
      </c>
      <c r="L2587" s="45" t="inlineStr">
        <is>
          <t>31/12/2030</t>
        </is>
      </c>
      <c r="M2587" s="45" t="inlineStr"/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31/12/2030</t>
        </is>
      </c>
      <c r="M2588" s="45" t="inlineStr"/>
      <c r="N2588" s="50" t="inlineStr">
        <is>
          <t>NON</t>
        </is>
      </c>
      <c r="O2588" s="45" t="inlineStr"/>
    </row>
    <row r="2589" customFormat="1" s="3">
      <c r="A2589" s="45" t="n"/>
      <c r="B2589" s="46" t="inlineStr">
        <is>
          <t>31747</t>
        </is>
      </c>
      <c r="C2589" s="46">
        <f>LEFT(Tableau1[[#This Row],[Formacode]],3)</f>
        <v/>
      </c>
      <c r="D2589" s="47" t="n">
        <v>35824</v>
      </c>
      <c r="E2589" s="48">
        <f>"RNCP"&amp;D2589</f>
        <v/>
      </c>
      <c r="F2589" s="48" t="inlineStr">
        <is>
          <t>TP - conducteur d'engins de chantiers urbains</t>
        </is>
      </c>
      <c r="G2589" s="49">
        <f>E2589&amp;" - "&amp;F2589</f>
        <v/>
      </c>
      <c r="H2589" s="36" t="inlineStr">
        <is>
          <t>RAS</t>
        </is>
      </c>
      <c r="I2589" s="45" t="inlineStr"/>
      <c r="J2589" s="45" t="inlineStr">
        <is>
          <t>RNCP35824</t>
        </is>
      </c>
      <c r="K2589" s="45" t="inlineStr">
        <is>
          <t>TP - conducteur d'engins de chantiers urbains</t>
        </is>
      </c>
      <c r="L2589" s="45" t="inlineStr">
        <is>
          <t>31/12/2030</t>
        </is>
      </c>
      <c r="M2589" s="45" t="inlineStr"/>
      <c r="N2589" s="50" t="inlineStr">
        <is>
          <t>NON</t>
        </is>
      </c>
      <c r="O2589" s="45" t="inlineStr"/>
    </row>
    <row r="2590" customFormat="1" s="3">
      <c r="A2590" s="45" t="n"/>
      <c r="B2590" s="46" t="inlineStr">
        <is>
          <t>31747</t>
        </is>
      </c>
      <c r="C2590" s="46">
        <f>LEFT(Tableau1[[#This Row],[Formacode]],3)</f>
        <v/>
      </c>
      <c r="D2590" s="47" t="n">
        <v>35826</v>
      </c>
      <c r="E2590" s="48">
        <f>"RNCP"&amp;D2590</f>
        <v/>
      </c>
      <c r="F2590" s="48" t="inlineStr">
        <is>
          <t>TP - Conducteur de grue à tour</t>
        </is>
      </c>
      <c r="G2590" s="49">
        <f>E2590&amp;" - "&amp;F2590</f>
        <v/>
      </c>
      <c r="H2590" s="36" t="inlineStr">
        <is>
          <t>RAS</t>
        </is>
      </c>
      <c r="I2590" s="45" t="inlineStr"/>
      <c r="J2590" s="45" t="inlineStr">
        <is>
          <t>RNCP35826</t>
        </is>
      </c>
      <c r="K2590" s="45" t="inlineStr">
        <is>
          <t>TP - Conducteur de grue à tour</t>
        </is>
      </c>
      <c r="L2590" s="45" t="inlineStr">
        <is>
          <t>31/12/2030</t>
        </is>
      </c>
      <c r="M2590" s="45" t="inlineStr"/>
      <c r="N2590" s="50" t="inlineStr">
        <is>
          <t>NON</t>
        </is>
      </c>
      <c r="O2590" s="45" t="inlineStr"/>
    </row>
    <row r="2591" customFormat="1" s="3">
      <c r="A2591" s="45" t="n"/>
      <c r="B2591" s="46" t="inlineStr">
        <is>
          <t>31747</t>
        </is>
      </c>
      <c r="C2591" s="46">
        <f>LEFT(Tableau1[[#This Row],[Formacode]],3)</f>
        <v/>
      </c>
      <c r="D2591" s="47" t="n">
        <v>35827</v>
      </c>
      <c r="E2591" s="48">
        <f>"RNCP"&amp;D2591</f>
        <v/>
      </c>
      <c r="F2591" s="48" t="inlineStr">
        <is>
          <t>TP - Conducteur d'engins de grands terrassements</t>
        </is>
      </c>
      <c r="G2591" s="49">
        <f>E2591&amp;" - "&amp;F2591</f>
        <v/>
      </c>
      <c r="H2591" s="36" t="inlineStr">
        <is>
          <t>RAS</t>
        </is>
      </c>
      <c r="I2591" s="45" t="inlineStr"/>
      <c r="J2591" s="45" t="inlineStr">
        <is>
          <t>RNCP35827</t>
        </is>
      </c>
      <c r="K2591" s="45" t="inlineStr">
        <is>
          <t>TP - Conducteur d'engins de grands terrassements</t>
        </is>
      </c>
      <c r="L2591" s="45" t="inlineStr">
        <is>
          <t>31/12/2030</t>
        </is>
      </c>
      <c r="M2591" s="45" t="inlineStr"/>
      <c r="N2591" s="50" t="inlineStr">
        <is>
          <t>NON</t>
        </is>
      </c>
      <c r="O2591" s="45" t="inlineStr"/>
    </row>
    <row r="2592" customFormat="1" s="3">
      <c r="A2592" s="45" t="n"/>
      <c r="B2592" s="46" t="inlineStr">
        <is>
          <t>31747</t>
        </is>
      </c>
      <c r="C2592" s="46">
        <f>LEFT(Tableau1[[#This Row],[Formacode]],3)</f>
        <v/>
      </c>
      <c r="D2592" s="47" t="n">
        <v>35988</v>
      </c>
      <c r="E2592" s="48">
        <f>"RNCP"&amp;D2592</f>
        <v/>
      </c>
      <c r="F2592" s="48" t="inlineStr">
        <is>
          <t>CQP Opérateur de levage et manutention complexe en milieu industriel</t>
        </is>
      </c>
      <c r="G2592" s="49">
        <f>E2592&amp;" - "&amp;F2592</f>
        <v/>
      </c>
      <c r="H2592" s="36" t="inlineStr">
        <is>
          <t>RAS</t>
        </is>
      </c>
      <c r="I2592" s="45" t="inlineStr"/>
      <c r="J2592" s="45" t="inlineStr">
        <is>
          <t>RNCP35988</t>
        </is>
      </c>
      <c r="K2592" s="45" t="inlineStr">
        <is>
          <t>CQP Opérateur de levage et manutention complexe en milieu industriel</t>
        </is>
      </c>
      <c r="L2592" s="45" t="inlineStr">
        <is>
          <t>31/12/2030</t>
        </is>
      </c>
      <c r="M2592" s="45" t="inlineStr"/>
      <c r="N2592" s="50" t="inlineStr">
        <is>
          <t>NON</t>
        </is>
      </c>
      <c r="O2592" s="45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BTS - Motorisations toutes énergies</t>
        </is>
      </c>
      <c r="L2593" s="45" t="inlineStr">
        <is>
          <t>31/12/2030</t>
        </is>
      </c>
      <c r="M2593" s="45" t="inlineStr"/>
      <c r="N2593" s="50" t="inlineStr">
        <is>
          <t>NON</t>
        </is>
      </c>
      <c r="O2593" s="45" t="inlineStr"/>
    </row>
    <row r="2594" customFormat="1" s="3">
      <c r="A2594" s="45" t="n"/>
      <c r="B2594" s="46" t="inlineStr">
        <is>
          <t>31747</t>
        </is>
      </c>
      <c r="C2594" s="46">
        <f>LEFT(Tableau1[[#This Row],[Formacode]],3)</f>
        <v/>
      </c>
      <c r="D2594" s="47" t="n">
        <v>37672</v>
      </c>
      <c r="E2594" s="48">
        <f>"RNCP"&amp;D2594</f>
        <v/>
      </c>
      <c r="F2594" s="48" t="inlineStr">
        <is>
          <t>CAP - Opérateur logistique</t>
        </is>
      </c>
      <c r="G2594" s="49">
        <f>E2594&amp;" - "&amp;F2594</f>
        <v/>
      </c>
      <c r="H2594" s="36" t="inlineStr">
        <is>
          <t>RAS</t>
        </is>
      </c>
      <c r="I2594" s="45" t="inlineStr"/>
      <c r="J2594" s="45" t="inlineStr">
        <is>
          <t>RNCP37672</t>
        </is>
      </c>
      <c r="K2594" s="45" t="inlineStr">
        <is>
          <t>CAP - Opérateur logistique</t>
        </is>
      </c>
      <c r="L2594" s="45" t="inlineStr">
        <is>
          <t>31/12/2030</t>
        </is>
      </c>
      <c r="M2594" s="45" t="inlineStr"/>
      <c r="N2594" s="50" t="inlineStr">
        <is>
          <t>NON</t>
        </is>
      </c>
      <c r="O2594" s="45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Certificat d'aptitude professionnelle - Déménageur sur véhicule utile léger</t>
        </is>
      </c>
      <c r="L2595" s="45" t="inlineStr">
        <is>
          <t>31/12/2030</t>
        </is>
      </c>
      <c r="M2595" s="45" t="inlineStr"/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BTS - Pilotage de procédés</t>
        </is>
      </c>
      <c r="L2596" s="45" t="inlineStr">
        <is>
          <t>31/12/2030</t>
        </is>
      </c>
      <c r="M2596" s="45" t="inlineStr"/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BTS - Maintenance des matériels de construction et de manutention</t>
        </is>
      </c>
      <c r="L2597" s="45" t="inlineStr">
        <is>
          <t>31/12/2030</t>
        </is>
      </c>
      <c r="M2597" s="45" t="inlineStr"/>
      <c r="N2597" s="50" t="inlineStr">
        <is>
          <t>NON</t>
        </is>
      </c>
      <c r="O2597" s="45" t="inlineStr"/>
    </row>
    <row r="2598" customFormat="1" s="3">
      <c r="A2598" s="45" t="n"/>
      <c r="B2598" s="46" t="inlineStr">
        <is>
          <t>31747</t>
        </is>
      </c>
      <c r="C2598" s="46">
        <f>LEFT(Tableau1[[#This Row],[Formacode]],3)</f>
        <v/>
      </c>
      <c r="D2598" s="47" t="n">
        <v>38715</v>
      </c>
      <c r="E2598" s="48">
        <f>"RNCP"&amp;D2598</f>
        <v/>
      </c>
      <c r="F2598" s="48" t="inlineStr">
        <is>
          <t>BP - Conducteur d'engins : travaux publics et carrières</t>
        </is>
      </c>
      <c r="G2598" s="49">
        <f>E2598&amp;" - "&amp;F2598</f>
        <v/>
      </c>
      <c r="H2598" s="36" t="inlineStr">
        <is>
          <t>RAS</t>
        </is>
      </c>
      <c r="I2598" s="45" t="inlineStr"/>
      <c r="J2598" s="45" t="inlineStr">
        <is>
          <t>RNCP38715</t>
        </is>
      </c>
      <c r="K2598" s="45" t="inlineStr">
        <is>
          <t>BP - Conducteur d'engins : travaux publics et carrières</t>
        </is>
      </c>
      <c r="L2598" s="45" t="inlineStr">
        <is>
          <t>31/12/2030</t>
        </is>
      </c>
      <c r="M2598" s="45" t="inlineStr"/>
      <c r="N2598" s="50" t="inlineStr">
        <is>
          <t>NON</t>
        </is>
      </c>
      <c r="O2598" s="45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TP - Technicien de maintenance d'engins et de matériels de chantier et de manutention</t>
        </is>
      </c>
      <c r="L2599" s="45" t="inlineStr">
        <is>
          <t>31/12/2030</t>
        </is>
      </c>
      <c r="M2599" s="45" t="inlineStr"/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TP - Mécanicien réparateur de matériels de chantier et de manutention</t>
        </is>
      </c>
      <c r="L2600" s="45" t="inlineStr">
        <is>
          <t>31/12/2030</t>
        </is>
      </c>
      <c r="M2600" s="45" t="inlineStr"/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BAC PRO - Maintenance des matériels</t>
        </is>
      </c>
      <c r="L2601" s="45" t="inlineStr">
        <is>
          <t>31/12/2030</t>
        </is>
      </c>
      <c r="M2601" s="45" t="inlineStr"/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CAP - Maintenance des matériels</t>
        </is>
      </c>
      <c r="L2602" s="45" t="inlineStr">
        <is>
          <t>31/12/2030</t>
        </is>
      </c>
      <c r="M2602" s="45" t="inlineStr"/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CAP - Conducteur d'engins de travaux publics et carrières</t>
        </is>
      </c>
      <c r="L2603" s="45" t="inlineStr">
        <is>
          <t>31/12/2030</t>
        </is>
      </c>
      <c r="M2603" s="45" t="inlineStr"/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TP - Cariste d'entrepôt</t>
        </is>
      </c>
      <c r="L2604" s="45" t="inlineStr">
        <is>
          <t>31/12/2030</t>
        </is>
      </c>
      <c r="M2604" s="45" t="inlineStr"/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31/12/2030</t>
        </is>
      </c>
      <c r="M2605" s="45" t="inlineStr"/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BTS - Motorisations toutes énergies</t>
        </is>
      </c>
      <c r="L2606" s="45" t="inlineStr">
        <is>
          <t>31/12/2030</t>
        </is>
      </c>
      <c r="M2606" s="45" t="inlineStr"/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TP - Conducteur d'installation et de machines automatisées</t>
        </is>
      </c>
      <c r="L2607" s="45" t="inlineStr">
        <is>
          <t>31/12/2030</t>
        </is>
      </c>
      <c r="M2607" s="45" t="inlineStr"/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Certificat d'aptitude professionnelle - Déménageur sur véhicule utile léger</t>
        </is>
      </c>
      <c r="L2608" s="45" t="inlineStr">
        <is>
          <t>31/12/2030</t>
        </is>
      </c>
      <c r="M2608" s="45" t="inlineStr"/>
      <c r="N2608" s="50" t="inlineStr">
        <is>
          <t>NON</t>
        </is>
      </c>
      <c r="O2608" s="45" t="inlineStr"/>
    </row>
    <row r="2609" customFormat="1" s="3">
      <c r="A2609" s="45" t="n"/>
      <c r="B2609" s="46" t="inlineStr">
        <is>
          <t>31752</t>
        </is>
      </c>
      <c r="C2609" s="46">
        <f>LEFT(Tableau1[[#This Row],[Formacode]],3)</f>
        <v/>
      </c>
      <c r="D2609" s="47" t="n">
        <v>37941</v>
      </c>
      <c r="E2609" s="48">
        <f>"RNCP"&amp;D2609</f>
        <v/>
      </c>
      <c r="F2609" s="48" t="inlineStr">
        <is>
          <t>Certificat d'aptitude professionnelle - Emballeur professionnel</t>
        </is>
      </c>
      <c r="G2609" s="49">
        <f>E2609&amp;" - "&amp;F2609</f>
        <v/>
      </c>
      <c r="H2609" s="36" t="inlineStr">
        <is>
          <t>RAS</t>
        </is>
      </c>
      <c r="I2609" s="45" t="inlineStr"/>
      <c r="J2609" s="45" t="inlineStr">
        <is>
          <t>RNCP37941</t>
        </is>
      </c>
      <c r="K2609" s="45" t="inlineStr">
        <is>
          <t>Certificat d'aptitude professionnelle - Emballeur professionnel</t>
        </is>
      </c>
      <c r="L2609" s="45" t="inlineStr">
        <is>
          <t>31/12/2030</t>
        </is>
      </c>
      <c r="M2609" s="45" t="inlineStr"/>
      <c r="N2609" s="50" t="inlineStr">
        <is>
          <t>NON</t>
        </is>
      </c>
      <c r="O2609" s="45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BTS - Pilotage de procédés</t>
        </is>
      </c>
      <c r="L2610" s="45" t="inlineStr">
        <is>
          <t>31/12/2030</t>
        </is>
      </c>
      <c r="M2610" s="45" t="inlineStr"/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BTS - Motorisations toutes énergies</t>
        </is>
      </c>
      <c r="L2611" s="45" t="inlineStr">
        <is>
          <t>31/12/2030</t>
        </is>
      </c>
      <c r="M2611" s="45" t="inlineStr"/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Certificat d'aptitude professionnelle - Déménageur sur véhicule utile léger</t>
        </is>
      </c>
      <c r="L2612" s="45" t="inlineStr">
        <is>
          <t>31/12/2030</t>
        </is>
      </c>
      <c r="M2612" s="45" t="inlineStr"/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BTS - Pilotage de procédés</t>
        </is>
      </c>
      <c r="L2613" s="45" t="inlineStr">
        <is>
          <t>31/12/2030</t>
        </is>
      </c>
      <c r="M2613" s="45" t="inlineStr"/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BTS - Motorisations toutes énergies</t>
        </is>
      </c>
      <c r="L2614" s="45" t="inlineStr">
        <is>
          <t>31/12/2030</t>
        </is>
      </c>
      <c r="M2614" s="45" t="inlineStr"/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Certificat d'aptitude professionnelle - Déménageur sur véhicule utile léger</t>
        </is>
      </c>
      <c r="L2615" s="45" t="inlineStr">
        <is>
          <t>31/12/2030</t>
        </is>
      </c>
      <c r="M2615" s="45" t="inlineStr"/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BTS - Pilotage de procédés</t>
        </is>
      </c>
      <c r="L2616" s="45" t="inlineStr">
        <is>
          <t>31/12/2030</t>
        </is>
      </c>
      <c r="M2616" s="45" t="inlineStr"/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BTS - Motorisations toutes énergies</t>
        </is>
      </c>
      <c r="L2617" s="45" t="inlineStr">
        <is>
          <t>31/12/2030</t>
        </is>
      </c>
      <c r="M2617" s="45" t="inlineStr"/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TP - Conducteur d'installation et de machines automatisées</t>
        </is>
      </c>
      <c r="L2618" s="45" t="inlineStr">
        <is>
          <t>31/12/2030</t>
        </is>
      </c>
      <c r="M2618" s="45" t="inlineStr"/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Certificat d'aptitude professionnelle - Déménageur sur véhicule utile léger</t>
        </is>
      </c>
      <c r="L2619" s="45" t="inlineStr">
        <is>
          <t>31/12/2030</t>
        </is>
      </c>
      <c r="M2619" s="45" t="inlineStr"/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BTS - Pilotage de procédés</t>
        </is>
      </c>
      <c r="L2620" s="45" t="inlineStr">
        <is>
          <t>31/12/2030</t>
        </is>
      </c>
      <c r="M2620" s="45" t="inlineStr"/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BTS - Motorisations toutes énergies</t>
        </is>
      </c>
      <c r="L2621" s="45" t="inlineStr">
        <is>
          <t>31/12/2030</t>
        </is>
      </c>
      <c r="M2621" s="45" t="inlineStr"/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Certificat d'aptitude professionnelle - Déménageur sur véhicule utile léger</t>
        </is>
      </c>
      <c r="L2622" s="45" t="inlineStr">
        <is>
          <t>31/12/2030</t>
        </is>
      </c>
      <c r="M2622" s="45" t="inlineStr"/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BTS - Pilotage de procédés</t>
        </is>
      </c>
      <c r="L2623" s="45" t="inlineStr">
        <is>
          <t>31/12/2030</t>
        </is>
      </c>
      <c r="M2623" s="45" t="inlineStr"/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BTS - Motorisations toutes énergies</t>
        </is>
      </c>
      <c r="L2624" s="45" t="inlineStr">
        <is>
          <t>31/12/2030</t>
        </is>
      </c>
      <c r="M2624" s="45" t="inlineStr"/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Certificat d'aptitude professionnelle - Déménageur sur véhicule utile léger</t>
        </is>
      </c>
      <c r="L2625" s="45" t="inlineStr">
        <is>
          <t>31/12/2030</t>
        </is>
      </c>
      <c r="M2625" s="45" t="inlineStr"/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BTS - Pilotage de procédés</t>
        </is>
      </c>
      <c r="L2626" s="45" t="inlineStr">
        <is>
          <t>31/12/2030</t>
        </is>
      </c>
      <c r="M2626" s="45" t="inlineStr"/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TP - Aide opérateur en dépollution pyrotechnique</t>
        </is>
      </c>
      <c r="L2627" s="45" t="inlineStr">
        <is>
          <t>31/12/2030</t>
        </is>
      </c>
      <c r="M2627" s="45" t="inlineStr"/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TP - Préparateur de commandes en entrepôt</t>
        </is>
      </c>
      <c r="L2628" s="45" t="inlineStr">
        <is>
          <t>31/12/2030</t>
        </is>
      </c>
      <c r="M2628" s="45" t="inlineStr"/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TP - Cariste d'entrepôt</t>
        </is>
      </c>
      <c r="L2629" s="45" t="inlineStr">
        <is>
          <t>31/12/2030</t>
        </is>
      </c>
      <c r="M2629" s="45" t="inlineStr"/>
      <c r="N2629" s="50" t="inlineStr">
        <is>
          <t>NON</t>
        </is>
      </c>
      <c r="O2629" s="45" t="inlineStr"/>
    </row>
    <row r="2630" customFormat="1" s="3">
      <c r="A2630" s="45" t="n"/>
      <c r="B2630" s="46" t="inlineStr">
        <is>
          <t>31815</t>
        </is>
      </c>
      <c r="C2630" s="46">
        <f>LEFT(Tableau1[[#This Row],[Formacode]],3)</f>
        <v/>
      </c>
      <c r="D2630" s="47" t="n">
        <v>38225</v>
      </c>
      <c r="E2630" s="48">
        <f>"RNCP"&amp;D2630</f>
        <v/>
      </c>
      <c r="F2630" s="48" t="inlineStr">
        <is>
          <t>Certificat de spécialisation - Accueil dans les transports</t>
        </is>
      </c>
      <c r="G2630" s="49">
        <f>E2630&amp;" - "&amp;F2630</f>
        <v/>
      </c>
      <c r="H2630" s="36" t="inlineStr">
        <is>
          <t>RAS</t>
        </is>
      </c>
      <c r="I2630" s="45" t="inlineStr"/>
      <c r="J2630" s="45" t="inlineStr">
        <is>
          <t>RNCP38225</t>
        </is>
      </c>
      <c r="K2630" s="45" t="inlineStr">
        <is>
          <t>Certificat de spécialisation - Accueil dans les transports</t>
        </is>
      </c>
      <c r="L2630" s="45" t="inlineStr">
        <is>
          <t>31/12/2030</t>
        </is>
      </c>
      <c r="M2630" s="45" t="inlineStr"/>
      <c r="N2630" s="50" t="inlineStr">
        <is>
          <t>NON</t>
        </is>
      </c>
      <c r="O2630" s="45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TP - Exploitant régulateur en transport routier de voyageurs</t>
        </is>
      </c>
      <c r="L2631" s="45" t="inlineStr">
        <is>
          <t>31/12/2030</t>
        </is>
      </c>
      <c r="M2631" s="45" t="inlineStr"/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Certificat de spécialisation - Traction équine et conduite d'attelages</t>
        </is>
      </c>
      <c r="L2632" s="45" t="inlineStr">
        <is>
          <t>31/12/2030</t>
        </is>
      </c>
      <c r="M2632" s="45" t="inlineStr"/>
      <c r="N2632" s="50" t="inlineStr">
        <is>
          <t>NON</t>
        </is>
      </c>
      <c r="O2632" s="45" t="inlineStr"/>
    </row>
    <row r="2633" customFormat="1" s="3">
      <c r="A2633" s="45" t="n"/>
      <c r="B2633" s="46" t="inlineStr">
        <is>
          <t>31818</t>
        </is>
      </c>
      <c r="C2633" s="46">
        <f>LEFT(Tableau1[[#This Row],[Formacode]],3)</f>
        <v/>
      </c>
      <c r="D2633" s="47" t="n">
        <v>38225</v>
      </c>
      <c r="E2633" s="48">
        <f>"RNCP"&amp;D2633</f>
        <v/>
      </c>
      <c r="F2633" s="48" t="inlineStr">
        <is>
          <t>Certificat de spécialisation - Accueil dans les transports</t>
        </is>
      </c>
      <c r="G2633" s="49">
        <f>E2633&amp;" - "&amp;F2633</f>
        <v/>
      </c>
      <c r="H2633" s="36" t="inlineStr">
        <is>
          <t>RAS</t>
        </is>
      </c>
      <c r="I2633" s="45" t="inlineStr"/>
      <c r="J2633" s="45" t="inlineStr">
        <is>
          <t>RNCP38225</t>
        </is>
      </c>
      <c r="K2633" s="45" t="inlineStr">
        <is>
          <t>Certificat de spécialisation - Accueil dans les transports</t>
        </is>
      </c>
      <c r="L2633" s="45" t="inlineStr">
        <is>
          <t>31/12/2030</t>
        </is>
      </c>
      <c r="M2633" s="45" t="inlineStr"/>
      <c r="N2633" s="50" t="inlineStr">
        <is>
          <t>NON</t>
        </is>
      </c>
      <c r="O2633" s="45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Certificat de spécialisation - Traction équine et conduite d'attelages</t>
        </is>
      </c>
      <c r="L2634" s="45" t="inlineStr">
        <is>
          <t>31/12/2030</t>
        </is>
      </c>
      <c r="M2634" s="45" t="inlineStr"/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31/12/2030</t>
        </is>
      </c>
      <c r="M2635" s="45" t="inlineStr"/>
      <c r="N2635" s="50" t="inlineStr">
        <is>
          <t>NON</t>
        </is>
      </c>
      <c r="O2635" s="45" t="inlineStr"/>
    </row>
    <row r="2636" customFormat="1" s="3">
      <c r="A2636" s="45" t="n"/>
      <c r="B2636" s="46" t="inlineStr">
        <is>
          <t>31822</t>
        </is>
      </c>
      <c r="C2636" s="46">
        <f>LEFT(Tableau1[[#This Row],[Formacode]],3)</f>
        <v/>
      </c>
      <c r="D2636" s="47" t="n">
        <v>38225</v>
      </c>
      <c r="E2636" s="48">
        <f>"RNCP"&amp;D2636</f>
        <v/>
      </c>
      <c r="F2636" s="48" t="inlineStr">
        <is>
          <t>Certificat de spécialisation - Accueil dans les transports</t>
        </is>
      </c>
      <c r="G2636" s="49">
        <f>E2636&amp;" - "&amp;F2636</f>
        <v/>
      </c>
      <c r="H2636" s="36" t="inlineStr">
        <is>
          <t>RAS</t>
        </is>
      </c>
      <c r="I2636" s="45" t="inlineStr"/>
      <c r="J2636" s="45" t="inlineStr">
        <is>
          <t>RNCP38225</t>
        </is>
      </c>
      <c r="K2636" s="45" t="inlineStr">
        <is>
          <t>Certificat de spécialisation - Accueil dans les transports</t>
        </is>
      </c>
      <c r="L2636" s="45" t="inlineStr">
        <is>
          <t>31/12/2030</t>
        </is>
      </c>
      <c r="M2636" s="45" t="inlineStr"/>
      <c r="N2636" s="50" t="inlineStr">
        <is>
          <t>NON</t>
        </is>
      </c>
      <c r="O2636" s="45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Certificat de spécialisation - Traction équine et conduite d'attelages</t>
        </is>
      </c>
      <c r="L2637" s="45" t="inlineStr">
        <is>
          <t>31/12/2030</t>
        </is>
      </c>
      <c r="M2637" s="45" t="inlineStr"/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TP - Gestionnaire des opérations de transport routier de marchandises</t>
        </is>
      </c>
      <c r="L2638" s="45" t="inlineStr">
        <is>
          <t>31/12/2030</t>
        </is>
      </c>
      <c r="M2638" s="45" t="inlineStr"/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TP - Exploitant en transport routier de marchandises</t>
        </is>
      </c>
      <c r="L2639" s="45" t="inlineStr">
        <is>
          <t>31/12/2030</t>
        </is>
      </c>
      <c r="M2639" s="45" t="inlineStr"/>
      <c r="N2639" s="50" t="inlineStr">
        <is>
          <t>NON</t>
        </is>
      </c>
      <c r="O2639" s="45" t="inlineStr"/>
    </row>
    <row r="2640" customFormat="1" s="3">
      <c r="A2640" s="45" t="n"/>
      <c r="B2640" s="46" t="inlineStr">
        <is>
          <t>31823</t>
        </is>
      </c>
      <c r="C2640" s="46">
        <f>LEFT(Tableau1[[#This Row],[Formacode]],3)</f>
        <v/>
      </c>
      <c r="D2640" s="47" t="n">
        <v>38225</v>
      </c>
      <c r="E2640" s="48">
        <f>"RNCP"&amp;D2640</f>
        <v/>
      </c>
      <c r="F2640" s="48" t="inlineStr">
        <is>
          <t>Certificat de spécialisation - Accueil dans les transports</t>
        </is>
      </c>
      <c r="G2640" s="49">
        <f>E2640&amp;" - "&amp;F2640</f>
        <v/>
      </c>
      <c r="H2640" s="36" t="inlineStr">
        <is>
          <t>RAS</t>
        </is>
      </c>
      <c r="I2640" s="45" t="inlineStr"/>
      <c r="J2640" s="45" t="inlineStr">
        <is>
          <t>RNCP38225</t>
        </is>
      </c>
      <c r="K2640" s="45" t="inlineStr">
        <is>
          <t>Certificat de spécialisation - Accueil dans les transports</t>
        </is>
      </c>
      <c r="L2640" s="45" t="inlineStr">
        <is>
          <t>31/12/2030</t>
        </is>
      </c>
      <c r="M2640" s="45" t="inlineStr"/>
      <c r="N2640" s="50" t="inlineStr">
        <is>
          <t>NON</t>
        </is>
      </c>
      <c r="O2640" s="45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Certificat de spécialisation - Traction équine et conduite d'attelages</t>
        </is>
      </c>
      <c r="L2641" s="45" t="inlineStr">
        <is>
          <t>31/12/2030</t>
        </is>
      </c>
      <c r="M2641" s="45" t="inlineStr"/>
      <c r="N2641" s="50" t="inlineStr">
        <is>
          <t>NON</t>
        </is>
      </c>
      <c r="O2641" s="45" t="inlineStr"/>
    </row>
    <row r="2642" customFormat="1" s="3">
      <c r="A2642" s="45" t="n"/>
      <c r="B2642" s="46" t="inlineStr">
        <is>
          <t>31827</t>
        </is>
      </c>
      <c r="C2642" s="46">
        <f>LEFT(Tableau1[[#This Row],[Formacode]],3)</f>
        <v/>
      </c>
      <c r="D2642" s="47" t="n">
        <v>35429</v>
      </c>
      <c r="E2642" s="48">
        <f>"RNCP"&amp;D2642</f>
        <v/>
      </c>
      <c r="F2642" s="48" t="inlineStr">
        <is>
          <t>Assistant déclarant en douane</t>
        </is>
      </c>
      <c r="G2642" s="49">
        <f>E2642&amp;" - "&amp;F2642</f>
        <v/>
      </c>
      <c r="H2642" s="36" t="inlineStr">
        <is>
          <t>RAS</t>
        </is>
      </c>
      <c r="I2642" s="45" t="inlineStr"/>
      <c r="J2642" s="45" t="inlineStr">
        <is>
          <t>RNCP35429</t>
        </is>
      </c>
      <c r="K2642" s="45" t="inlineStr">
        <is>
          <t>Assistant déclarant en douane</t>
        </is>
      </c>
      <c r="L2642" s="45" t="inlineStr">
        <is>
          <t>31/12/2030</t>
        </is>
      </c>
      <c r="M2642" s="45" t="inlineStr"/>
      <c r="N2642" s="50" t="inlineStr">
        <is>
          <t>NON</t>
        </is>
      </c>
      <c r="O2642" s="45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Certificat d'aptitude professionnelle - Déménageur sur véhicule utile léger</t>
        </is>
      </c>
      <c r="L2643" s="45" t="inlineStr">
        <is>
          <t>31/12/2030</t>
        </is>
      </c>
      <c r="M2643" s="45" t="inlineStr"/>
      <c r="N2643" s="50" t="inlineStr">
        <is>
          <t>NON</t>
        </is>
      </c>
      <c r="O2643" s="45" t="inlineStr"/>
    </row>
    <row r="2644" customFormat="1" s="3">
      <c r="A2644" s="45" t="n"/>
      <c r="B2644" s="46" t="inlineStr">
        <is>
          <t>31827</t>
        </is>
      </c>
      <c r="C2644" s="46">
        <f>LEFT(Tableau1[[#This Row],[Formacode]],3)</f>
        <v/>
      </c>
      <c r="D2644" s="47" t="n">
        <v>38225</v>
      </c>
      <c r="E2644" s="48">
        <f>"RNCP"&amp;D2644</f>
        <v/>
      </c>
      <c r="F2644" s="48" t="inlineStr">
        <is>
          <t>Certificat de spécialisation - Accueil dans les transports</t>
        </is>
      </c>
      <c r="G2644" s="49">
        <f>E2644&amp;" - "&amp;F2644</f>
        <v/>
      </c>
      <c r="H2644" s="36" t="inlineStr">
        <is>
          <t>RAS</t>
        </is>
      </c>
      <c r="I2644" s="45" t="inlineStr"/>
      <c r="J2644" s="45" t="inlineStr">
        <is>
          <t>RNCP38225</t>
        </is>
      </c>
      <c r="K2644" s="45" t="inlineStr">
        <is>
          <t>Certificat de spécialisation - Accueil dans les transports</t>
        </is>
      </c>
      <c r="L2644" s="45" t="inlineStr">
        <is>
          <t>31/12/2030</t>
        </is>
      </c>
      <c r="M2644" s="45" t="inlineStr"/>
      <c r="N2644" s="50" t="inlineStr">
        <is>
          <t>NON</t>
        </is>
      </c>
      <c r="O2644" s="45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BTS - Gestion des transports et logistique associée</t>
        </is>
      </c>
      <c r="L2645" s="45" t="inlineStr">
        <is>
          <t>31/12/2030</t>
        </is>
      </c>
      <c r="M2645" s="45" t="inlineStr"/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TP - Conducteur du transport routier de marchandises sur tous véhicules</t>
        </is>
      </c>
      <c r="L2646" s="45" t="inlineStr">
        <is>
          <t>31/12/2030</t>
        </is>
      </c>
      <c r="M2646" s="45" t="inlineStr"/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TP - Conducteur du transport routier de marchandises sur porteur</t>
        </is>
      </c>
      <c r="L2647" s="45" t="inlineStr">
        <is>
          <t>31/12/2030</t>
        </is>
      </c>
      <c r="M2647" s="45" t="inlineStr"/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Baccalauréat professionnel - Conducteur routier de marchandises</t>
        </is>
      </c>
      <c r="L2648" s="45" t="inlineStr">
        <is>
          <t>31/12/2030</t>
        </is>
      </c>
      <c r="M2648" s="45" t="inlineStr"/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Certificat de spécialisation - Traction équine et conduite d'attelages</t>
        </is>
      </c>
      <c r="L2649" s="45" t="inlineStr">
        <is>
          <t>31/12/2030</t>
        </is>
      </c>
      <c r="M2649" s="45" t="inlineStr"/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TP - Gestionnaire des opérations de transport routier de marchandises</t>
        </is>
      </c>
      <c r="L2650" s="45" t="inlineStr">
        <is>
          <t>31/12/2030</t>
        </is>
      </c>
      <c r="M2650" s="45" t="inlineStr"/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TP - Organisateur de transports aériens ou maritimes de marchandises</t>
        </is>
      </c>
      <c r="L2651" s="45" t="inlineStr">
        <is>
          <t>31/12/2030</t>
        </is>
      </c>
      <c r="M2651" s="45" t="inlineStr"/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TP - Exploitant en transport routier de marchandises</t>
        </is>
      </c>
      <c r="L2652" s="45" t="inlineStr">
        <is>
          <t>31/12/2030</t>
        </is>
      </c>
      <c r="M2652" s="45" t="inlineStr"/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Baccalauréat professionnel - Organisation de transport de marchandises</t>
        </is>
      </c>
      <c r="L2653" s="45" t="inlineStr">
        <is>
          <t>31/12/2030</t>
        </is>
      </c>
      <c r="M2653" s="45" t="inlineStr"/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Certificat d'aptitude professionnelle - Conducteur routier de marchandises  options « Livraisons de proximité » et « Livraisons longue distance »</t>
        </is>
      </c>
      <c r="L2654" s="45" t="inlineStr">
        <is>
          <t>31/12/2030</t>
        </is>
      </c>
      <c r="M2654" s="45" t="inlineStr"/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TP - Conducteur livreur sur véhicule utilitaire léger</t>
        </is>
      </c>
      <c r="L2655" s="45" t="inlineStr">
        <is>
          <t>31/12/2030</t>
        </is>
      </c>
      <c r="M2655" s="45" t="inlineStr"/>
      <c r="N2655" s="50" t="inlineStr">
        <is>
          <t>NON</t>
        </is>
      </c>
      <c r="O2655" s="45" t="inlineStr"/>
    </row>
    <row r="2656" customFormat="1" s="3">
      <c r="A2656" s="45" t="n"/>
      <c r="B2656" s="46" t="inlineStr">
        <is>
          <t>31833</t>
        </is>
      </c>
      <c r="C2656" s="46">
        <f>LEFT(Tableau1[[#This Row],[Formacode]],3)</f>
        <v/>
      </c>
      <c r="D2656" s="47" t="n">
        <v>35329</v>
      </c>
      <c r="E2656" s="48">
        <f>"RNCP"&amp;D2656</f>
        <v/>
      </c>
      <c r="F2656" s="48" t="inlineStr">
        <is>
          <t>TP - Enseignant de la conduite et de la sécurité routière</t>
        </is>
      </c>
      <c r="G2656" s="49">
        <f>E2656&amp;" - "&amp;F2656</f>
        <v/>
      </c>
      <c r="H2656" s="36" t="inlineStr">
        <is>
          <t>RAS</t>
        </is>
      </c>
      <c r="I2656" s="45" t="inlineStr"/>
      <c r="J2656" s="45" t="inlineStr">
        <is>
          <t>RNCP35329</t>
        </is>
      </c>
      <c r="K2656" s="45" t="inlineStr">
        <is>
          <t>TP - Enseignant de la conduite et de la sécurité routière</t>
        </is>
      </c>
      <c r="L2656" s="45" t="inlineStr">
        <is>
          <t>31/12/2030</t>
        </is>
      </c>
      <c r="M2656" s="45" t="inlineStr"/>
      <c r="N2656" s="50" t="inlineStr">
        <is>
          <t>NON</t>
        </is>
      </c>
      <c r="O2656" s="45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Certificat d'aptitude professionnelle - Conducteur agent d’accueil en autobus et autocar</t>
        </is>
      </c>
      <c r="L2657" s="45" t="inlineStr">
        <is>
          <t>31/12/2030</t>
        </is>
      </c>
      <c r="M2657" s="45" t="inlineStr"/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TP - Conducteur de transport en commun sur route</t>
        </is>
      </c>
      <c r="L2658" s="45" t="inlineStr">
        <is>
          <t>31/12/2030</t>
        </is>
      </c>
      <c r="M2658" s="45" t="inlineStr"/>
      <c r="N2658" s="50" t="inlineStr">
        <is>
          <t>NON</t>
        </is>
      </c>
      <c r="O2658" s="45" t="inlineStr"/>
    </row>
    <row r="2659" customFormat="1" s="3">
      <c r="A2659" s="45" t="n"/>
      <c r="B2659" s="46" t="inlineStr">
        <is>
          <t>31833</t>
        </is>
      </c>
      <c r="C2659" s="46">
        <f>LEFT(Tableau1[[#This Row],[Formacode]],3)</f>
        <v/>
      </c>
      <c r="D2659" s="47" t="n">
        <v>38225</v>
      </c>
      <c r="E2659" s="48">
        <f>"RNCP"&amp;D2659</f>
        <v/>
      </c>
      <c r="F2659" s="48" t="inlineStr">
        <is>
          <t>Certificat de spécialisation - Accueil dans les transports</t>
        </is>
      </c>
      <c r="G2659" s="49">
        <f>E2659&amp;" - "&amp;F2659</f>
        <v/>
      </c>
      <c r="H2659" s="36" t="inlineStr">
        <is>
          <t>RAS</t>
        </is>
      </c>
      <c r="I2659" s="45" t="inlineStr"/>
      <c r="J2659" s="45" t="inlineStr">
        <is>
          <t>RNCP38225</t>
        </is>
      </c>
      <c r="K2659" s="45" t="inlineStr">
        <is>
          <t>Certificat de spécialisation - Accueil dans les transports</t>
        </is>
      </c>
      <c r="L2659" s="45" t="inlineStr">
        <is>
          <t>31/12/2030</t>
        </is>
      </c>
      <c r="M2659" s="45" t="inlineStr"/>
      <c r="N2659" s="50" t="inlineStr">
        <is>
          <t>NON</t>
        </is>
      </c>
      <c r="O2659" s="45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31/12/2030</t>
        </is>
      </c>
      <c r="M2660" s="45" t="inlineStr"/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TP - Exploitant régulateur en transport routier de voyageurs</t>
        </is>
      </c>
      <c r="L2661" s="45" t="inlineStr">
        <is>
          <t>31/12/2030</t>
        </is>
      </c>
      <c r="M2661" s="45" t="inlineStr"/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TP - Conducteur du transport routier de marchandises sur tous véhicules</t>
        </is>
      </c>
      <c r="L2662" s="45" t="inlineStr">
        <is>
          <t>31/12/2030</t>
        </is>
      </c>
      <c r="M2662" s="45" t="inlineStr"/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TP - Conducteur du transport routier de marchandises sur porteur</t>
        </is>
      </c>
      <c r="L2663" s="45" t="inlineStr">
        <is>
          <t>31/12/2030</t>
        </is>
      </c>
      <c r="M2663" s="45" t="inlineStr"/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Certificat de spécialisation - Traction équine et conduite d'attelages</t>
        </is>
      </c>
      <c r="L2664" s="45" t="inlineStr">
        <is>
          <t>31/12/2030</t>
        </is>
      </c>
      <c r="M2664" s="45" t="inlineStr"/>
      <c r="N2664" s="50" t="inlineStr">
        <is>
          <t>NON</t>
        </is>
      </c>
      <c r="O2664" s="45" t="inlineStr"/>
    </row>
    <row r="2665" customFormat="1" s="3">
      <c r="A2665" s="45" t="n"/>
      <c r="B2665" s="46" t="inlineStr">
        <is>
          <t>31840</t>
        </is>
      </c>
      <c r="C2665" s="46">
        <f>LEFT(Tableau1[[#This Row],[Formacode]],3)</f>
        <v/>
      </c>
      <c r="D2665" s="47" t="n">
        <v>38225</v>
      </c>
      <c r="E2665" s="48">
        <f>"RNCP"&amp;D2665</f>
        <v/>
      </c>
      <c r="F2665" s="48" t="inlineStr">
        <is>
          <t>Certificat de spécialisation - Accueil dans les transports</t>
        </is>
      </c>
      <c r="G2665" s="49">
        <f>E2665&amp;" - "&amp;F2665</f>
        <v/>
      </c>
      <c r="H2665" s="36" t="inlineStr">
        <is>
          <t>RAS</t>
        </is>
      </c>
      <c r="I2665" s="45" t="inlineStr"/>
      <c r="J2665" s="45" t="inlineStr">
        <is>
          <t>RNCP38225</t>
        </is>
      </c>
      <c r="K2665" s="45" t="inlineStr">
        <is>
          <t>Certificat de spécialisation - Accueil dans les transports</t>
        </is>
      </c>
      <c r="L2665" s="45" t="inlineStr">
        <is>
          <t>31/12/2030</t>
        </is>
      </c>
      <c r="M2665" s="45" t="inlineStr"/>
      <c r="N2665" s="50" t="inlineStr">
        <is>
          <t>NON</t>
        </is>
      </c>
      <c r="O2665" s="45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Certificat de spécialisation - Traction équine et conduite d'attelages</t>
        </is>
      </c>
      <c r="L2666" s="45" t="inlineStr">
        <is>
          <t>31/12/2030</t>
        </is>
      </c>
      <c r="M2666" s="45" t="inlineStr"/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CAP - Transports par câbles et remontées mécaniques</t>
        </is>
      </c>
      <c r="L2667" s="45" t="inlineStr">
        <is>
          <t>31/12/2030</t>
        </is>
      </c>
      <c r="M2667" s="45" t="inlineStr"/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BAC PRO - Transports par câbles et remontées mécaniques</t>
        </is>
      </c>
      <c r="L2668" s="45" t="inlineStr">
        <is>
          <t>31/12/2030</t>
        </is>
      </c>
      <c r="M2668" s="45" t="inlineStr"/>
      <c r="N2668" s="50" t="inlineStr">
        <is>
          <t>NON</t>
        </is>
      </c>
      <c r="O2668" s="45" t="inlineStr"/>
    </row>
    <row r="2669" customFormat="1" s="3">
      <c r="A2669" s="45" t="n"/>
      <c r="B2669" s="46" t="inlineStr">
        <is>
          <t>31842</t>
        </is>
      </c>
      <c r="C2669" s="46">
        <f>LEFT(Tableau1[[#This Row],[Formacode]],3)</f>
        <v/>
      </c>
      <c r="D2669" s="47" t="n">
        <v>38225</v>
      </c>
      <c r="E2669" s="48">
        <f>"RNCP"&amp;D2669</f>
        <v/>
      </c>
      <c r="F2669" s="48" t="inlineStr">
        <is>
          <t>Certificat de spécialisation - Accueil dans les transports</t>
        </is>
      </c>
      <c r="G2669" s="49">
        <f>E2669&amp;" - "&amp;F2669</f>
        <v/>
      </c>
      <c r="H2669" s="36" t="inlineStr">
        <is>
          <t>RAS</t>
        </is>
      </c>
      <c r="I2669" s="45" t="inlineStr"/>
      <c r="J2669" s="45" t="inlineStr">
        <is>
          <t>RNCP38225</t>
        </is>
      </c>
      <c r="K2669" s="45" t="inlineStr">
        <is>
          <t>Certificat de spécialisation - Accueil dans les transports</t>
        </is>
      </c>
      <c r="L2669" s="45" t="inlineStr">
        <is>
          <t>31/12/2030</t>
        </is>
      </c>
      <c r="M2669" s="45" t="inlineStr"/>
      <c r="N2669" s="50" t="inlineStr">
        <is>
          <t>NON</t>
        </is>
      </c>
      <c r="O2669" s="45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Certificat de spécialisation - Traction équine et conduite d'attelages</t>
        </is>
      </c>
      <c r="L2670" s="45" t="inlineStr">
        <is>
          <t>31/12/2030</t>
        </is>
      </c>
      <c r="M2670" s="45" t="inlineStr"/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TP - Technicien en logistique d'entreposage</t>
        </is>
      </c>
      <c r="L2671" s="45" t="inlineStr">
        <is>
          <t>31/12/2030</t>
        </is>
      </c>
      <c r="M2671" s="45" t="inlineStr"/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31/12/2030</t>
        </is>
      </c>
      <c r="M2672" s="45" t="inlineStr"/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TP - Technicien supérieur en méthodes et exploitation logistique</t>
        </is>
      </c>
      <c r="L2673" s="45" t="inlineStr">
        <is>
          <t>31/12/2030</t>
        </is>
      </c>
      <c r="M2673" s="45" t="inlineStr"/>
      <c r="N2673" s="50" t="inlineStr">
        <is>
          <t>NON</t>
        </is>
      </c>
      <c r="O2673" s="45" t="inlineStr"/>
    </row>
    <row r="2674" customFormat="1" s="3">
      <c r="A2674" s="45" t="n"/>
      <c r="B2674" s="46" t="inlineStr">
        <is>
          <t>31845</t>
        </is>
      </c>
      <c r="C2674" s="46">
        <f>LEFT(Tableau1[[#This Row],[Formacode]],3)</f>
        <v/>
      </c>
      <c r="D2674" s="47" t="n">
        <v>37672</v>
      </c>
      <c r="E2674" s="48">
        <f>"RNCP"&amp;D2674</f>
        <v/>
      </c>
      <c r="F2674" s="48" t="inlineStr">
        <is>
          <t>CAP - Opérateur logistique</t>
        </is>
      </c>
      <c r="G2674" s="49">
        <f>E2674&amp;" - "&amp;F2674</f>
        <v/>
      </c>
      <c r="H2674" s="36" t="inlineStr">
        <is>
          <t>RAS</t>
        </is>
      </c>
      <c r="I2674" s="45" t="inlineStr"/>
      <c r="J2674" s="45" t="inlineStr">
        <is>
          <t>RNCP37672</t>
        </is>
      </c>
      <c r="K2674" s="45" t="inlineStr">
        <is>
          <t>CAP - Opérateur logistique</t>
        </is>
      </c>
      <c r="L2674" s="45" t="inlineStr">
        <is>
          <t>31/12/2030</t>
        </is>
      </c>
      <c r="M2674" s="45" t="inlineStr"/>
      <c r="N2674" s="50" t="inlineStr">
        <is>
          <t>NON</t>
        </is>
      </c>
      <c r="O2674" s="45" t="inlineStr"/>
    </row>
    <row r="2675" customFormat="1" s="3">
      <c r="A2675" s="45" t="n"/>
      <c r="B2675" s="46" t="inlineStr">
        <is>
          <t>31845</t>
        </is>
      </c>
      <c r="C2675" s="46">
        <f>LEFT(Tableau1[[#This Row],[Formacode]],3)</f>
        <v/>
      </c>
      <c r="D2675" s="47" t="n">
        <v>38225</v>
      </c>
      <c r="E2675" s="48">
        <f>"RNCP"&amp;D2675</f>
        <v/>
      </c>
      <c r="F2675" s="48" t="inlineStr">
        <is>
          <t>Certificat de spécialisation - Accueil dans les transports</t>
        </is>
      </c>
      <c r="G2675" s="49">
        <f>E2675&amp;" - "&amp;F2675</f>
        <v/>
      </c>
      <c r="H2675" s="36" t="inlineStr">
        <is>
          <t>RAS</t>
        </is>
      </c>
      <c r="I2675" s="45" t="inlineStr"/>
      <c r="J2675" s="45" t="inlineStr">
        <is>
          <t>RNCP38225</t>
        </is>
      </c>
      <c r="K2675" s="45" t="inlineStr">
        <is>
          <t>Certificat de spécialisation - Accueil dans les transports</t>
        </is>
      </c>
      <c r="L2675" s="45" t="inlineStr">
        <is>
          <t>31/12/2030</t>
        </is>
      </c>
      <c r="M2675" s="45" t="inlineStr"/>
      <c r="N2675" s="50" t="inlineStr">
        <is>
          <t>NON</t>
        </is>
      </c>
      <c r="O2675" s="45" t="inlineStr"/>
    </row>
    <row r="2676" customFormat="1" s="3">
      <c r="A2676" s="45" t="n"/>
      <c r="B2676" s="46" t="inlineStr">
        <is>
          <t>31845</t>
        </is>
      </c>
      <c r="C2676" s="46">
        <f>LEFT(Tableau1[[#This Row],[Formacode]],3)</f>
        <v/>
      </c>
      <c r="D2676" s="47" t="n">
        <v>38302</v>
      </c>
      <c r="E2676" s="48">
        <f>"RNCP"&amp;D2676</f>
        <v/>
      </c>
      <c r="F2676" s="48" t="inlineStr">
        <is>
          <t>BAC PRO - Logistique</t>
        </is>
      </c>
      <c r="G2676" s="49">
        <f>E2676&amp;" - "&amp;F2676</f>
        <v/>
      </c>
      <c r="H2676" s="36" t="inlineStr">
        <is>
          <t>RAS</t>
        </is>
      </c>
      <c r="I2676" s="45" t="inlineStr"/>
      <c r="J2676" s="45" t="inlineStr">
        <is>
          <t>RNCP38302</t>
        </is>
      </c>
      <c r="K2676" s="45" t="inlineStr">
        <is>
          <t>BAC PRO - Logistique</t>
        </is>
      </c>
      <c r="L2676" s="45" t="inlineStr">
        <is>
          <t>31/12/2030</t>
        </is>
      </c>
      <c r="M2676" s="45" t="inlineStr"/>
      <c r="N2676" s="50" t="inlineStr">
        <is>
          <t>NON</t>
        </is>
      </c>
      <c r="O2676" s="45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BTS - Gestion des transports et logistique associée</t>
        </is>
      </c>
      <c r="L2677" s="45" t="inlineStr">
        <is>
          <t>31/12/2030</t>
        </is>
      </c>
      <c r="M2677" s="45" t="inlineStr"/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31/12/2030</t>
        </is>
      </c>
      <c r="M2678" s="45" t="inlineStr"/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31/12/2030</t>
        </is>
      </c>
      <c r="M2679" s="45" t="inlineStr"/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31/12/2030</t>
        </is>
      </c>
      <c r="M2680" s="45" t="inlineStr"/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31/12/2030</t>
        </is>
      </c>
      <c r="M2681" s="45" t="inlineStr"/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31/12/2030</t>
        </is>
      </c>
      <c r="M2682" s="45" t="inlineStr"/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BAC PRO - Métiers de la logistique</t>
        </is>
      </c>
      <c r="L2683" s="45" t="inlineStr">
        <is>
          <t>31/12/2030</t>
        </is>
      </c>
      <c r="M2683" s="45" t="inlineStr"/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DipViGrL - Diplôme d’enseignement supérieur en management</t>
        </is>
      </c>
      <c r="L2684" s="45" t="inlineStr">
        <is>
          <t>31/12/2030</t>
        </is>
      </c>
      <c r="M2684" s="45" t="inlineStr"/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Certificat de spécialisation - Traction équine et conduite d'attelages</t>
        </is>
      </c>
      <c r="L2685" s="45" t="inlineStr">
        <is>
          <t>31/12/2030</t>
        </is>
      </c>
      <c r="M2685" s="45" t="inlineStr"/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Baccalauréat professionnel - Organisation de transport de marchandises</t>
        </is>
      </c>
      <c r="L2686" s="45" t="inlineStr">
        <is>
          <t>31/12/2030</t>
        </is>
      </c>
      <c r="M2686" s="45" t="inlineStr"/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31/12/2030</t>
        </is>
      </c>
      <c r="M2687" s="45" t="inlineStr"/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31/12/2030</t>
        </is>
      </c>
      <c r="M2688" s="45" t="inlineStr"/>
      <c r="N2688" s="50" t="inlineStr">
        <is>
          <t>NON</t>
        </is>
      </c>
      <c r="O2688" s="45" t="inlineStr"/>
    </row>
    <row r="2689" customFormat="1" s="3">
      <c r="A2689" s="45" t="n"/>
      <c r="B2689" s="46" t="inlineStr">
        <is>
          <t>31848</t>
        </is>
      </c>
      <c r="C2689" s="46">
        <f>LEFT(Tableau1[[#This Row],[Formacode]],3)</f>
        <v/>
      </c>
      <c r="D2689" s="47" t="n">
        <v>38225</v>
      </c>
      <c r="E2689" s="48">
        <f>"RNCP"&amp;D2689</f>
        <v/>
      </c>
      <c r="F2689" s="48" t="inlineStr">
        <is>
          <t>Certificat de spécialisation - Accueil dans les transports</t>
        </is>
      </c>
      <c r="G2689" s="49">
        <f>E2689&amp;" - "&amp;F2689</f>
        <v/>
      </c>
      <c r="H2689" s="36" t="inlineStr">
        <is>
          <t>RAS</t>
        </is>
      </c>
      <c r="I2689" s="45" t="inlineStr"/>
      <c r="J2689" s="45" t="inlineStr">
        <is>
          <t>RNCP38225</t>
        </is>
      </c>
      <c r="K2689" s="45" t="inlineStr">
        <is>
          <t>Certificat de spécialisation - Accueil dans les transports</t>
        </is>
      </c>
      <c r="L2689" s="45" t="inlineStr">
        <is>
          <t>31/12/2030</t>
        </is>
      </c>
      <c r="M2689" s="45" t="inlineStr"/>
      <c r="N2689" s="50" t="inlineStr">
        <is>
          <t>NON</t>
        </is>
      </c>
      <c r="O2689" s="45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Certificat de spécialisation - Traction équine et conduite d'attelages</t>
        </is>
      </c>
      <c r="L2690" s="45" t="inlineStr">
        <is>
          <t>31/12/2030</t>
        </is>
      </c>
      <c r="M2690" s="45" t="inlineStr"/>
      <c r="N2690" s="50" t="inlineStr">
        <is>
          <t>NON</t>
        </is>
      </c>
      <c r="O2690" s="45" t="inlineStr"/>
    </row>
    <row r="2691" customFormat="1" s="3">
      <c r="A2691" s="45" t="n"/>
      <c r="B2691" s="46" t="inlineStr">
        <is>
          <t>31849</t>
        </is>
      </c>
      <c r="C2691" s="46">
        <f>LEFT(Tableau1[[#This Row],[Formacode]],3)</f>
        <v/>
      </c>
      <c r="D2691" s="47" t="n">
        <v>38225</v>
      </c>
      <c r="E2691" s="48">
        <f>"RNCP"&amp;D2691</f>
        <v/>
      </c>
      <c r="F2691" s="48" t="inlineStr">
        <is>
          <t>Certificat de spécialisation - Accueil dans les transports</t>
        </is>
      </c>
      <c r="G2691" s="49">
        <f>E2691&amp;" - "&amp;F2691</f>
        <v/>
      </c>
      <c r="H2691" s="36" t="inlineStr">
        <is>
          <t>RAS</t>
        </is>
      </c>
      <c r="I2691" s="45" t="inlineStr"/>
      <c r="J2691" s="45" t="inlineStr">
        <is>
          <t>RNCP38225</t>
        </is>
      </c>
      <c r="K2691" s="45" t="inlineStr">
        <is>
          <t>Certificat de spécialisation - Accueil dans les transports</t>
        </is>
      </c>
      <c r="L2691" s="45" t="inlineStr">
        <is>
          <t>31/12/2030</t>
        </is>
      </c>
      <c r="M2691" s="45" t="inlineStr"/>
      <c r="N2691" s="50" t="inlineStr">
        <is>
          <t>NON</t>
        </is>
      </c>
      <c r="O2691" s="45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Certificat de spécialisation - Traction équine et conduite d'attelages</t>
        </is>
      </c>
      <c r="L2692" s="45" t="inlineStr">
        <is>
          <t>31/12/2030</t>
        </is>
      </c>
      <c r="M2692" s="45" t="inlineStr"/>
      <c r="N2692" s="50" t="inlineStr">
        <is>
          <t>NON</t>
        </is>
      </c>
      <c r="O2692" s="45" t="inlineStr"/>
    </row>
    <row r="2693" customFormat="1" s="3">
      <c r="A2693" s="45" t="n"/>
      <c r="B2693" s="46" t="inlineStr">
        <is>
          <t>31850</t>
        </is>
      </c>
      <c r="C2693" s="46">
        <f>LEFT(Tableau1[[#This Row],[Formacode]],3)</f>
        <v/>
      </c>
      <c r="D2693" s="47" t="n">
        <v>38225</v>
      </c>
      <c r="E2693" s="48">
        <f>"RNCP"&amp;D2693</f>
        <v/>
      </c>
      <c r="F2693" s="48" t="inlineStr">
        <is>
          <t>Certificat de spécialisation - Accueil dans les transports</t>
        </is>
      </c>
      <c r="G2693" s="49">
        <f>E2693&amp;" - "&amp;F2693</f>
        <v/>
      </c>
      <c r="H2693" s="36" t="inlineStr">
        <is>
          <t>RAS</t>
        </is>
      </c>
      <c r="I2693" s="45" t="inlineStr"/>
      <c r="J2693" s="45" t="inlineStr">
        <is>
          <t>RNCP38225</t>
        </is>
      </c>
      <c r="K2693" s="45" t="inlineStr">
        <is>
          <t>Certificat de spécialisation - Accueil dans les transports</t>
        </is>
      </c>
      <c r="L2693" s="45" t="inlineStr">
        <is>
          <t>31/12/2030</t>
        </is>
      </c>
      <c r="M2693" s="45" t="inlineStr"/>
      <c r="N2693" s="50" t="inlineStr">
        <is>
          <t>NON</t>
        </is>
      </c>
      <c r="O2693" s="45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BAC PRO - Transport fluvial</t>
        </is>
      </c>
      <c r="L2694" s="45" t="inlineStr">
        <is>
          <t>31/12/2030</t>
        </is>
      </c>
      <c r="M2694" s="45" t="inlineStr"/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CAP - transport fluvial</t>
        </is>
      </c>
      <c r="L2695" s="45" t="inlineStr">
        <is>
          <t>31/12/2030</t>
        </is>
      </c>
      <c r="M2695" s="45" t="inlineStr"/>
      <c r="N2695" s="50" t="inlineStr">
        <is>
          <t>NON</t>
        </is>
      </c>
      <c r="O2695" s="45" t="inlineStr"/>
    </row>
    <row r="2696" customFormat="1" s="3">
      <c r="A2696" s="45" t="n"/>
      <c r="B2696" s="46" t="inlineStr">
        <is>
          <t>31850</t>
        </is>
      </c>
      <c r="C2696" s="46">
        <f>LEFT(Tableau1[[#This Row],[Formacode]],3)</f>
        <v/>
      </c>
      <c r="D2696" s="47" t="n">
        <v>39584</v>
      </c>
      <c r="E2696" s="48">
        <f>"RNCP"&amp;D2696</f>
        <v/>
      </c>
      <c r="F2696" s="48" t="inlineStr">
        <is>
          <t>Expert maritime et fluvial</t>
        </is>
      </c>
      <c r="G2696" s="49">
        <f>E2696&amp;" - "&amp;F2696</f>
        <v/>
      </c>
      <c r="H2696" s="36" t="inlineStr">
        <is>
          <t>RAS</t>
        </is>
      </c>
      <c r="I2696" s="45" t="inlineStr"/>
      <c r="J2696" s="45" t="inlineStr">
        <is>
          <t>RNCP39584</t>
        </is>
      </c>
      <c r="K2696" s="45" t="inlineStr">
        <is>
          <t>Expert maritime et fluvial</t>
        </is>
      </c>
      <c r="L2696" s="45" t="inlineStr">
        <is>
          <t>31/12/2030</t>
        </is>
      </c>
      <c r="M2696" s="45" t="inlineStr"/>
      <c r="N2696" s="50" t="inlineStr">
        <is>
          <t>NON</t>
        </is>
      </c>
      <c r="O2696" s="45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Certificat de spécialisation - Traction équine et conduite d'attelages</t>
        </is>
      </c>
      <c r="L2697" s="45" t="inlineStr">
        <is>
          <t>31/12/2030</t>
        </is>
      </c>
      <c r="M2697" s="45" t="inlineStr"/>
      <c r="N2697" s="50" t="inlineStr">
        <is>
          <t>NON</t>
        </is>
      </c>
      <c r="O2697" s="45" t="inlineStr"/>
    </row>
    <row r="2698" customFormat="1" s="3">
      <c r="A2698" s="45" t="n"/>
      <c r="B2698" s="46" t="inlineStr">
        <is>
          <t>31856</t>
        </is>
      </c>
      <c r="C2698" s="46">
        <f>LEFT(Tableau1[[#This Row],[Formacode]],3)</f>
        <v/>
      </c>
      <c r="D2698" s="47" t="n">
        <v>38225</v>
      </c>
      <c r="E2698" s="48">
        <f>"RNCP"&amp;D2698</f>
        <v/>
      </c>
      <c r="F2698" s="48" t="inlineStr">
        <is>
          <t>Certificat de spécialisation - Accueil dans les transports</t>
        </is>
      </c>
      <c r="G2698" s="49">
        <f>E2698&amp;" - "&amp;F2698</f>
        <v/>
      </c>
      <c r="H2698" s="36" t="inlineStr">
        <is>
          <t>RAS</t>
        </is>
      </c>
      <c r="I2698" s="45" t="inlineStr"/>
      <c r="J2698" s="45" t="inlineStr">
        <is>
          <t>RNCP38225</t>
        </is>
      </c>
      <c r="K2698" s="45" t="inlineStr">
        <is>
          <t>Certificat de spécialisation - Accueil dans les transports</t>
        </is>
      </c>
      <c r="L2698" s="45" t="inlineStr">
        <is>
          <t>31/12/2030</t>
        </is>
      </c>
      <c r="M2698" s="45" t="inlineStr"/>
      <c r="N2698" s="50" t="inlineStr">
        <is>
          <t>NON</t>
        </is>
      </c>
      <c r="O2698" s="45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Certificat de spécialisation - Traction équine et conduite d'attelages</t>
        </is>
      </c>
      <c r="L2699" s="45" t="inlineStr">
        <is>
          <t>31/12/2030</t>
        </is>
      </c>
      <c r="M2699" s="45" t="inlineStr"/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TP - Gestionnaire des opérations de transport routier de marchandises</t>
        </is>
      </c>
      <c r="L2700" s="45" t="inlineStr">
        <is>
          <t>31/12/2030</t>
        </is>
      </c>
      <c r="M2700" s="45" t="inlineStr"/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TP - Exploitant en transport routier de marchandises</t>
        </is>
      </c>
      <c r="L2701" s="45" t="inlineStr">
        <is>
          <t>31/12/2030</t>
        </is>
      </c>
      <c r="M2701" s="45" t="inlineStr"/>
      <c r="N2701" s="50" t="inlineStr">
        <is>
          <t>NON</t>
        </is>
      </c>
      <c r="O2701" s="45" t="inlineStr"/>
    </row>
    <row r="2702" customFormat="1" s="3">
      <c r="A2702" s="45" t="n"/>
      <c r="B2702" s="46" t="inlineStr">
        <is>
          <t>31861</t>
        </is>
      </c>
      <c r="C2702" s="46">
        <f>LEFT(Tableau1[[#This Row],[Formacode]],3)</f>
        <v/>
      </c>
      <c r="D2702" s="47" t="n">
        <v>38225</v>
      </c>
      <c r="E2702" s="48">
        <f>"RNCP"&amp;D2702</f>
        <v/>
      </c>
      <c r="F2702" s="48" t="inlineStr">
        <is>
          <t>Certificat de spécialisation - Accueil dans les transports</t>
        </is>
      </c>
      <c r="G2702" s="49">
        <f>E2702&amp;" - "&amp;F2702</f>
        <v/>
      </c>
      <c r="H2702" s="36" t="inlineStr">
        <is>
          <t>RAS</t>
        </is>
      </c>
      <c r="I2702" s="45" t="inlineStr"/>
      <c r="J2702" s="45" t="inlineStr">
        <is>
          <t>RNCP38225</t>
        </is>
      </c>
      <c r="K2702" s="45" t="inlineStr">
        <is>
          <t>Certificat de spécialisation - Accueil dans les transports</t>
        </is>
      </c>
      <c r="L2702" s="45" t="inlineStr">
        <is>
          <t>31/12/2030</t>
        </is>
      </c>
      <c r="M2702" s="45" t="inlineStr"/>
      <c r="N2702" s="50" t="inlineStr">
        <is>
          <t>NON</t>
        </is>
      </c>
      <c r="O2702" s="45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Certificat de spécialisation - Traction équine et conduite d'attelages</t>
        </is>
      </c>
      <c r="L2703" s="45" t="inlineStr">
        <is>
          <t>31/12/2030</t>
        </is>
      </c>
      <c r="M2703" s="45" t="inlineStr"/>
      <c r="N2703" s="50" t="inlineStr">
        <is>
          <t>NON</t>
        </is>
      </c>
      <c r="O2703" s="45" t="inlineStr"/>
    </row>
    <row r="2704" customFormat="1" s="3">
      <c r="A2704" s="45" t="n"/>
      <c r="B2704" s="46" t="inlineStr">
        <is>
          <t>31863</t>
        </is>
      </c>
      <c r="C2704" s="46">
        <f>LEFT(Tableau1[[#This Row],[Formacode]],3)</f>
        <v/>
      </c>
      <c r="D2704" s="47" t="n">
        <v>38225</v>
      </c>
      <c r="E2704" s="48">
        <f>"RNCP"&amp;D2704</f>
        <v/>
      </c>
      <c r="F2704" s="48" t="inlineStr">
        <is>
          <t>Certificat de spécialisation - Accueil dans les transports</t>
        </is>
      </c>
      <c r="G2704" s="49">
        <f>E2704&amp;" - "&amp;F2704</f>
        <v/>
      </c>
      <c r="H2704" s="36" t="inlineStr">
        <is>
          <t>RAS</t>
        </is>
      </c>
      <c r="I2704" s="45" t="inlineStr"/>
      <c r="J2704" s="45" t="inlineStr">
        <is>
          <t>RNCP38225</t>
        </is>
      </c>
      <c r="K2704" s="45" t="inlineStr">
        <is>
          <t>Certificat de spécialisation - Accueil dans les transports</t>
        </is>
      </c>
      <c r="L2704" s="45" t="inlineStr">
        <is>
          <t>31/12/2030</t>
        </is>
      </c>
      <c r="M2704" s="45" t="inlineStr"/>
      <c r="N2704" s="50" t="inlineStr">
        <is>
          <t>NON</t>
        </is>
      </c>
      <c r="O2704" s="45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Certificat de spécialisation - Traction équine et conduite d'attelages</t>
        </is>
      </c>
      <c r="L2705" s="45" t="inlineStr">
        <is>
          <t>31/12/2030</t>
        </is>
      </c>
      <c r="M2705" s="45" t="inlineStr"/>
      <c r="N2705" s="50" t="inlineStr">
        <is>
          <t>NON</t>
        </is>
      </c>
      <c r="O2705" s="45" t="inlineStr"/>
    </row>
    <row r="2706" customFormat="1" s="3">
      <c r="A2706" s="45" t="n"/>
      <c r="B2706" s="46" t="inlineStr">
        <is>
          <t>31867</t>
        </is>
      </c>
      <c r="C2706" s="46">
        <f>LEFT(Tableau1[[#This Row],[Formacode]],3)</f>
        <v/>
      </c>
      <c r="D2706" s="47" t="n">
        <v>38225</v>
      </c>
      <c r="E2706" s="48">
        <f>"RNCP"&amp;D2706</f>
        <v/>
      </c>
      <c r="F2706" s="48" t="inlineStr">
        <is>
          <t>Certificat de spécialisation - Accueil dans les transports</t>
        </is>
      </c>
      <c r="G2706" s="49">
        <f>E2706&amp;" - "&amp;F2706</f>
        <v/>
      </c>
      <c r="H2706" s="36" t="inlineStr">
        <is>
          <t>RAS</t>
        </is>
      </c>
      <c r="I2706" s="45" t="inlineStr"/>
      <c r="J2706" s="45" t="inlineStr">
        <is>
          <t>RNCP38225</t>
        </is>
      </c>
      <c r="K2706" s="45" t="inlineStr">
        <is>
          <t>Certificat de spécialisation - Accueil dans les transports</t>
        </is>
      </c>
      <c r="L2706" s="45" t="inlineStr">
        <is>
          <t>31/12/2030</t>
        </is>
      </c>
      <c r="M2706" s="45" t="inlineStr"/>
      <c r="N2706" s="50" t="inlineStr">
        <is>
          <t>NON</t>
        </is>
      </c>
      <c r="O2706" s="45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Certificat de spécialisation - Traction équine et conduite d'attelages</t>
        </is>
      </c>
      <c r="L2707" s="45" t="inlineStr">
        <is>
          <t>31/12/2030</t>
        </is>
      </c>
      <c r="M2707" s="45" t="inlineStr"/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TP - Organisateur de transports aériens ou maritimes de marchandises</t>
        </is>
      </c>
      <c r="L2708" s="45" t="inlineStr">
        <is>
          <t>31/12/2030</t>
        </is>
      </c>
      <c r="M2708" s="45" t="inlineStr"/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31/12/2030</t>
        </is>
      </c>
      <c r="M2709" s="45" t="inlineStr"/>
      <c r="N2709" s="50" t="inlineStr">
        <is>
          <t>NON</t>
        </is>
      </c>
      <c r="O2709" s="45" t="inlineStr"/>
    </row>
    <row r="2710" customFormat="1" s="3">
      <c r="A2710" s="45" t="n"/>
      <c r="B2710" s="46" t="inlineStr">
        <is>
          <t>31872</t>
        </is>
      </c>
      <c r="C2710" s="46">
        <f>LEFT(Tableau1[[#This Row],[Formacode]],3)</f>
        <v/>
      </c>
      <c r="D2710" s="47" t="n">
        <v>38225</v>
      </c>
      <c r="E2710" s="48">
        <f>"RNCP"&amp;D2710</f>
        <v/>
      </c>
      <c r="F2710" s="48" t="inlineStr">
        <is>
          <t>Certificat de spécialisation - Accueil dans les transports</t>
        </is>
      </c>
      <c r="G2710" s="49">
        <f>E2710&amp;" - "&amp;F2710</f>
        <v/>
      </c>
      <c r="H2710" s="36" t="inlineStr">
        <is>
          <t>RAS</t>
        </is>
      </c>
      <c r="I2710" s="45" t="inlineStr"/>
      <c r="J2710" s="45" t="inlineStr">
        <is>
          <t>RNCP38225</t>
        </is>
      </c>
      <c r="K2710" s="45" t="inlineStr">
        <is>
          <t>Certificat de spécialisation - Accueil dans les transports</t>
        </is>
      </c>
      <c r="L2710" s="45" t="inlineStr">
        <is>
          <t>31/12/2030</t>
        </is>
      </c>
      <c r="M2710" s="45" t="inlineStr"/>
      <c r="N2710" s="50" t="inlineStr">
        <is>
          <t>NON</t>
        </is>
      </c>
      <c r="O2710" s="45" t="inlineStr"/>
    </row>
    <row r="2711" customFormat="1" s="3">
      <c r="A2711" s="45" t="n"/>
      <c r="B2711" s="46" t="inlineStr">
        <is>
          <t>31872</t>
        </is>
      </c>
      <c r="C2711" s="46">
        <f>LEFT(Tableau1[[#This Row],[Formacode]],3)</f>
        <v/>
      </c>
      <c r="D2711" s="47" t="n">
        <v>39584</v>
      </c>
      <c r="E2711" s="48">
        <f>"RNCP"&amp;D2711</f>
        <v/>
      </c>
      <c r="F2711" s="48" t="inlineStr">
        <is>
          <t>Expert maritime et fluvial</t>
        </is>
      </c>
      <c r="G2711" s="49">
        <f>E2711&amp;" - "&amp;F2711</f>
        <v/>
      </c>
      <c r="H2711" s="36" t="inlineStr">
        <is>
          <t>RAS</t>
        </is>
      </c>
      <c r="I2711" s="45" t="inlineStr"/>
      <c r="J2711" s="45" t="inlineStr">
        <is>
          <t>RNCP39584</t>
        </is>
      </c>
      <c r="K2711" s="45" t="inlineStr">
        <is>
          <t>Expert maritime et fluvial</t>
        </is>
      </c>
      <c r="L2711" s="45" t="inlineStr">
        <is>
          <t>31/12/2030</t>
        </is>
      </c>
      <c r="M2711" s="45" t="inlineStr"/>
      <c r="N2711" s="50" t="inlineStr">
        <is>
          <t>NON</t>
        </is>
      </c>
      <c r="O2711" s="45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Certificat de spécialisation - Traction équine et conduite d'attelages</t>
        </is>
      </c>
      <c r="L2712" s="45" t="inlineStr">
        <is>
          <t>31/12/2030</t>
        </is>
      </c>
      <c r="M2712" s="45" t="inlineStr"/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TP - Organisateur de transports aériens ou maritimes de marchandises</t>
        </is>
      </c>
      <c r="L2713" s="45" t="inlineStr">
        <is>
          <t>31/12/2030</t>
        </is>
      </c>
      <c r="M2713" s="45" t="inlineStr"/>
      <c r="N2713" s="50" t="inlineStr">
        <is>
          <t>NON</t>
        </is>
      </c>
      <c r="O2713" s="45" t="inlineStr"/>
    </row>
    <row r="2714" customFormat="1" s="3">
      <c r="A2714" s="45" t="n"/>
      <c r="B2714" s="46" t="inlineStr">
        <is>
          <t>31873</t>
        </is>
      </c>
      <c r="C2714" s="46">
        <f>LEFT(Tableau1[[#This Row],[Formacode]],3)</f>
        <v/>
      </c>
      <c r="D2714" s="47" t="n">
        <v>38225</v>
      </c>
      <c r="E2714" s="48">
        <f>"RNCP"&amp;D2714</f>
        <v/>
      </c>
      <c r="F2714" s="48" t="inlineStr">
        <is>
          <t>Certificat de spécialisation - Accueil dans les transports</t>
        </is>
      </c>
      <c r="G2714" s="49">
        <f>E2714&amp;" - "&amp;F2714</f>
        <v/>
      </c>
      <c r="H2714" s="36" t="inlineStr">
        <is>
          <t>RAS</t>
        </is>
      </c>
      <c r="I2714" s="45" t="inlineStr"/>
      <c r="J2714" s="45" t="inlineStr">
        <is>
          <t>RNCP38225</t>
        </is>
      </c>
      <c r="K2714" s="45" t="inlineStr">
        <is>
          <t>Certificat de spécialisation - Accueil dans les transports</t>
        </is>
      </c>
      <c r="L2714" s="45" t="inlineStr">
        <is>
          <t>31/12/2030</t>
        </is>
      </c>
      <c r="M2714" s="45" t="inlineStr"/>
      <c r="N2714" s="50" t="inlineStr">
        <is>
          <t>NON</t>
        </is>
      </c>
      <c r="O2714" s="45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Certificat de spécialisation - Traction équine et conduite d'attelages</t>
        </is>
      </c>
      <c r="L2715" s="45" t="inlineStr">
        <is>
          <t>31/12/2030</t>
        </is>
      </c>
      <c r="M2715" s="45" t="inlineStr"/>
      <c r="N2715" s="50" t="inlineStr">
        <is>
          <t>NON</t>
        </is>
      </c>
      <c r="O2715" s="45" t="inlineStr"/>
    </row>
    <row r="2716" customFormat="1" s="3">
      <c r="A2716" s="45" t="n"/>
      <c r="B2716" s="46" t="inlineStr">
        <is>
          <t>31874</t>
        </is>
      </c>
      <c r="C2716" s="46">
        <f>LEFT(Tableau1[[#This Row],[Formacode]],3)</f>
        <v/>
      </c>
      <c r="D2716" s="47" t="n">
        <v>38225</v>
      </c>
      <c r="E2716" s="48">
        <f>"RNCP"&amp;D2716</f>
        <v/>
      </c>
      <c r="F2716" s="48" t="inlineStr">
        <is>
          <t>Certificat de spécialisation - Accueil dans les transports</t>
        </is>
      </c>
      <c r="G2716" s="49">
        <f>E2716&amp;" - "&amp;F2716</f>
        <v/>
      </c>
      <c r="H2716" s="36" t="inlineStr">
        <is>
          <t>RAS</t>
        </is>
      </c>
      <c r="I2716" s="45" t="inlineStr"/>
      <c r="J2716" s="45" t="inlineStr">
        <is>
          <t>RNCP38225</t>
        </is>
      </c>
      <c r="K2716" s="45" t="inlineStr">
        <is>
          <t>Certificat de spécialisation - Accueil dans les transports</t>
        </is>
      </c>
      <c r="L2716" s="45" t="inlineStr">
        <is>
          <t>31/12/2030</t>
        </is>
      </c>
      <c r="M2716" s="45" t="inlineStr"/>
      <c r="N2716" s="50" t="inlineStr">
        <is>
          <t>NON</t>
        </is>
      </c>
      <c r="O2716" s="45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Certificat de spécialisation - Traction équine et conduite d'attelages</t>
        </is>
      </c>
      <c r="L2717" s="45" t="inlineStr">
        <is>
          <t>31/12/2030</t>
        </is>
      </c>
      <c r="M2717" s="45" t="inlineStr"/>
      <c r="N2717" s="50" t="inlineStr">
        <is>
          <t>NON</t>
        </is>
      </c>
      <c r="O2717" s="45" t="inlineStr"/>
    </row>
    <row r="2718" customFormat="1" s="3">
      <c r="A2718" s="45" t="n"/>
      <c r="B2718" s="46" t="inlineStr">
        <is>
          <t>31875</t>
        </is>
      </c>
      <c r="C2718" s="46">
        <f>LEFT(Tableau1[[#This Row],[Formacode]],3)</f>
        <v/>
      </c>
      <c r="D2718" s="47" t="n">
        <v>38225</v>
      </c>
      <c r="E2718" s="48">
        <f>"RNCP"&amp;D2718</f>
        <v/>
      </c>
      <c r="F2718" s="48" t="inlineStr">
        <is>
          <t>Certificat de spécialisation - Accueil dans les transports</t>
        </is>
      </c>
      <c r="G2718" s="49">
        <f>E2718&amp;" - "&amp;F2718</f>
        <v/>
      </c>
      <c r="H2718" s="36" t="inlineStr">
        <is>
          <t>RAS</t>
        </is>
      </c>
      <c r="I2718" s="45" t="inlineStr"/>
      <c r="J2718" s="45" t="inlineStr">
        <is>
          <t>RNCP38225</t>
        </is>
      </c>
      <c r="K2718" s="45" t="inlineStr">
        <is>
          <t>Certificat de spécialisation - Accueil dans les transports</t>
        </is>
      </c>
      <c r="L2718" s="45" t="inlineStr">
        <is>
          <t>31/12/2030</t>
        </is>
      </c>
      <c r="M2718" s="45" t="inlineStr"/>
      <c r="N2718" s="50" t="inlineStr">
        <is>
          <t>NON</t>
        </is>
      </c>
      <c r="O2718" s="45" t="inlineStr"/>
    </row>
    <row r="2719" customFormat="1" s="3">
      <c r="A2719" s="45" t="n"/>
      <c r="B2719" s="46" t="inlineStr">
        <is>
          <t>31875</t>
        </is>
      </c>
      <c r="C2719" s="46">
        <f>LEFT(Tableau1[[#This Row],[Formacode]],3)</f>
        <v/>
      </c>
      <c r="D2719" s="47" t="n">
        <v>40298</v>
      </c>
      <c r="E2719" s="48">
        <f>"RNCP"&amp;D2719</f>
        <v/>
      </c>
      <c r="F2719" s="48" t="inlineStr">
        <is>
          <t>TP - Agent de sûreté et de sécurité privée</t>
        </is>
      </c>
      <c r="G2719" s="49">
        <f>E2719&amp;" - "&amp;F2719</f>
        <v/>
      </c>
      <c r="H2719" s="36" t="inlineStr">
        <is>
          <t>RAS</t>
        </is>
      </c>
      <c r="I2719" s="45" t="inlineStr"/>
      <c r="J2719" s="45" t="inlineStr">
        <is>
          <t>RNCP40298</t>
        </is>
      </c>
      <c r="K2719" s="45" t="inlineStr">
        <is>
          <t>TP - Agent de sûreté et de sécurité privée</t>
        </is>
      </c>
      <c r="L2719" s="45" t="inlineStr">
        <is>
          <t>31/12/2030</t>
        </is>
      </c>
      <c r="M2719" s="45" t="inlineStr"/>
      <c r="N2719" s="50" t="inlineStr">
        <is>
          <t>NON</t>
        </is>
      </c>
      <c r="O2719" s="45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Certificat de spécialisation - Traction équine et conduite d'attelages</t>
        </is>
      </c>
      <c r="L2720" s="45" t="inlineStr">
        <is>
          <t>31/12/2030</t>
        </is>
      </c>
      <c r="M2720" s="45" t="inlineStr"/>
      <c r="N2720" s="50" t="inlineStr">
        <is>
          <t>NON</t>
        </is>
      </c>
      <c r="O2720" s="45" t="inlineStr"/>
    </row>
    <row r="2721" customFormat="1" s="3">
      <c r="A2721" s="45" t="n"/>
      <c r="B2721" s="46" t="inlineStr">
        <is>
          <t>31894</t>
        </is>
      </c>
      <c r="C2721" s="46">
        <f>LEFT(Tableau1[[#This Row],[Formacode]],3)</f>
        <v/>
      </c>
      <c r="D2721" s="47" t="n">
        <v>38225</v>
      </c>
      <c r="E2721" s="48">
        <f>"RNCP"&amp;D2721</f>
        <v/>
      </c>
      <c r="F2721" s="48" t="inlineStr">
        <is>
          <t>Certificat de spécialisation - Accueil dans les transports</t>
        </is>
      </c>
      <c r="G2721" s="49">
        <f>E2721&amp;" - "&amp;F2721</f>
        <v/>
      </c>
      <c r="H2721" s="36" t="inlineStr">
        <is>
          <t>RAS</t>
        </is>
      </c>
      <c r="I2721" s="45" t="inlineStr"/>
      <c r="J2721" s="45" t="inlineStr">
        <is>
          <t>RNCP38225</t>
        </is>
      </c>
      <c r="K2721" s="45" t="inlineStr">
        <is>
          <t>Certificat de spécialisation - Accueil dans les transports</t>
        </is>
      </c>
      <c r="L2721" s="45" t="inlineStr">
        <is>
          <t>31/12/2030</t>
        </is>
      </c>
      <c r="M2721" s="45" t="inlineStr"/>
      <c r="N2721" s="50" t="inlineStr">
        <is>
          <t>NON</t>
        </is>
      </c>
      <c r="O2721" s="45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Certificat de spécialisation - Traction équine et conduite d'attelages</t>
        </is>
      </c>
      <c r="L2722" s="45" t="inlineStr">
        <is>
          <t>31/12/2030</t>
        </is>
      </c>
      <c r="M2722" s="45" t="inlineStr"/>
      <c r="N2722" s="50" t="inlineStr">
        <is>
          <t>NON</t>
        </is>
      </c>
      <c r="O2722" s="45" t="inlineStr"/>
    </row>
    <row r="2723" customFormat="1" s="3">
      <c r="A2723" s="45" t="n"/>
      <c r="B2723" s="46" t="inlineStr">
        <is>
          <t>31895</t>
        </is>
      </c>
      <c r="C2723" s="46">
        <f>LEFT(Tableau1[[#This Row],[Formacode]],3)</f>
        <v/>
      </c>
      <c r="D2723" s="47" t="n">
        <v>38225</v>
      </c>
      <c r="E2723" s="48">
        <f>"RNCP"&amp;D2723</f>
        <v/>
      </c>
      <c r="F2723" s="48" t="inlineStr">
        <is>
          <t>Certificat de spécialisation - Accueil dans les transports</t>
        </is>
      </c>
      <c r="G2723" s="49">
        <f>E2723&amp;" - "&amp;F2723</f>
        <v/>
      </c>
      <c r="H2723" s="36" t="inlineStr">
        <is>
          <t>RAS</t>
        </is>
      </c>
      <c r="I2723" s="45" t="inlineStr"/>
      <c r="J2723" s="45" t="inlineStr">
        <is>
          <t>RNCP38225</t>
        </is>
      </c>
      <c r="K2723" s="45" t="inlineStr">
        <is>
          <t>Certificat de spécialisation - Accueil dans les transports</t>
        </is>
      </c>
      <c r="L2723" s="45" t="inlineStr">
        <is>
          <t>31/12/2030</t>
        </is>
      </c>
      <c r="M2723" s="45" t="inlineStr"/>
      <c r="N2723" s="50" t="inlineStr">
        <is>
          <t>NON</t>
        </is>
      </c>
      <c r="O2723" s="45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31/12/2030</t>
        </is>
      </c>
      <c r="M2724" s="45" t="inlineStr"/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31/12/2030</t>
        </is>
      </c>
      <c r="M2725" s="45" t="inlineStr"/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TP - Exploitant régulateur en transport routier de voyageurs</t>
        </is>
      </c>
      <c r="L2726" s="45" t="inlineStr">
        <is>
          <t>31/12/2030</t>
        </is>
      </c>
      <c r="M2726" s="45" t="inlineStr"/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Certificat de spécialisation - Traction équine et conduite d'attelages</t>
        </is>
      </c>
      <c r="L2727" s="45" t="inlineStr">
        <is>
          <t>31/12/2030</t>
        </is>
      </c>
      <c r="M2727" s="45" t="inlineStr"/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TP - Gestionnaire des opérations de transport routier de marchandises</t>
        </is>
      </c>
      <c r="L2728" s="45" t="inlineStr">
        <is>
          <t>31/12/2030</t>
        </is>
      </c>
      <c r="M2728" s="45" t="inlineStr"/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TP - Exploitant en transport routier de marchandises</t>
        </is>
      </c>
      <c r="L2729" s="45" t="inlineStr">
        <is>
          <t>31/12/2030</t>
        </is>
      </c>
      <c r="M2729" s="45" t="inlineStr"/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DIPLOVIS - Programme supérieur de gestion et de commerce</t>
        </is>
      </c>
      <c r="L2730" s="45" t="inlineStr">
        <is>
          <t>31/12/2030</t>
        </is>
      </c>
      <c r="M2730" s="45" t="inlineStr"/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31/12/2030</t>
        </is>
      </c>
      <c r="M2731" s="45" t="inlineStr"/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DIPLOVIS - Responsable en marketing, commercialisation et gestion</t>
        </is>
      </c>
      <c r="L2732" s="45" t="inlineStr">
        <is>
          <t>31/12/2030</t>
        </is>
      </c>
      <c r="M2732" s="45" t="inlineStr"/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31/12/2030</t>
        </is>
      </c>
      <c r="M2733" s="45" t="inlineStr"/>
      <c r="N2733" s="50" t="inlineStr">
        <is>
          <t>NON</t>
        </is>
      </c>
      <c r="O2733" s="45" t="inlineStr"/>
    </row>
    <row r="2734" customFormat="1" s="4">
      <c r="A2734" s="45" t="n"/>
      <c r="B2734" s="46" t="inlineStr">
        <is>
          <t>32004</t>
        </is>
      </c>
      <c r="C2734" s="46">
        <f>LEFT(Tableau1[[#This Row],[Formacode]],3)</f>
        <v/>
      </c>
      <c r="D2734" s="47" t="n">
        <v>37719</v>
      </c>
      <c r="E2734" s="48">
        <f>"RNCP"&amp;D2734</f>
        <v/>
      </c>
      <c r="F2734" s="48" t="inlineStr">
        <is>
          <t>DIPLOVIS - Diplôme en management international de l'hôtellerie et de la restauration</t>
        </is>
      </c>
      <c r="G2734" s="49">
        <f>E2734&amp;" - "&amp;F2734</f>
        <v/>
      </c>
      <c r="H2734" s="36" t="inlineStr">
        <is>
          <t>RAS</t>
        </is>
      </c>
      <c r="I2734" s="45" t="inlineStr"/>
      <c r="J2734" s="45" t="inlineStr">
        <is>
          <t>RNCP37719</t>
        </is>
      </c>
      <c r="K2734" s="45" t="inlineStr">
        <is>
          <t>DIPLOVIS - Diplôme en management international de l'hôtellerie et de la restauration</t>
        </is>
      </c>
      <c r="L2734" s="45" t="inlineStr">
        <is>
          <t>31/12/2030</t>
        </is>
      </c>
      <c r="M2734" s="45" t="inlineStr"/>
      <c r="N2734" s="50" t="inlineStr">
        <is>
          <t>NON</t>
        </is>
      </c>
      <c r="O2734" s="45" t="inlineStr"/>
    </row>
    <row r="2735" customFormat="1" s="4">
      <c r="A2735" s="45" t="n"/>
      <c r="B2735" s="46" t="inlineStr">
        <is>
          <t>32004</t>
        </is>
      </c>
      <c r="C2735" s="46">
        <f>LEFT(Tableau1[[#This Row],[Formacode]],3)</f>
        <v/>
      </c>
      <c r="D2735" s="47" t="n">
        <v>37932</v>
      </c>
      <c r="E2735" s="48">
        <f>"RNCP"&amp;D2735</f>
        <v/>
      </c>
      <c r="F2735" s="48" t="inlineStr">
        <is>
          <t>DIPLOVIS - Diplôme en Management International des Arts Culinaires</t>
        </is>
      </c>
      <c r="G2735" s="49">
        <f>E2735&amp;" - "&amp;F2735</f>
        <v/>
      </c>
      <c r="H2735" s="36" t="inlineStr">
        <is>
          <t>RAS</t>
        </is>
      </c>
      <c r="I2735" s="45" t="inlineStr"/>
      <c r="J2735" s="45" t="inlineStr">
        <is>
          <t>RNCP37932</t>
        </is>
      </c>
      <c r="K2735" s="45" t="inlineStr">
        <is>
          <t>DIPLOVIS - Diplôme en Management International des Arts Culinaires</t>
        </is>
      </c>
      <c r="L2735" s="45" t="inlineStr">
        <is>
          <t>31/12/2030</t>
        </is>
      </c>
      <c r="M2735" s="45" t="inlineStr"/>
      <c r="N2735" s="50" t="inlineStr">
        <is>
          <t>NON</t>
        </is>
      </c>
      <c r="O2735" s="45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TP - Gestionnaire comptable et  fiscal</t>
        </is>
      </c>
      <c r="L2736" s="45" t="inlineStr">
        <is>
          <t>31/12/2030</t>
        </is>
      </c>
      <c r="M2736" s="45" t="inlineStr"/>
      <c r="N2736" s="50" t="inlineStr">
        <is>
          <t>NON</t>
        </is>
      </c>
      <c r="O2736" s="45" t="inlineStr"/>
    </row>
    <row r="2737" customFormat="1" s="4">
      <c r="A2737" s="45" t="n"/>
      <c r="B2737" s="46" t="inlineStr">
        <is>
          <t>32004</t>
        </is>
      </c>
      <c r="C2737" s="46">
        <f>LEFT(Tableau1[[#This Row],[Formacode]],3)</f>
        <v/>
      </c>
      <c r="D2737" s="47" t="n">
        <v>37988</v>
      </c>
      <c r="E2737" s="48">
        <f>"RNCP"&amp;D2737</f>
        <v/>
      </c>
      <c r="F2737" s="48" t="inlineStr">
        <is>
          <t>Diplôme visé - Diplôme supérieur en marketing, vente et gestion</t>
        </is>
      </c>
      <c r="G2737" s="49">
        <f>E2737&amp;" - "&amp;F2737</f>
        <v/>
      </c>
      <c r="H2737" s="36" t="inlineStr">
        <is>
          <t>RAS</t>
        </is>
      </c>
      <c r="I2737" s="45" t="inlineStr"/>
      <c r="J2737" s="45" t="inlineStr">
        <is>
          <t>RNCP37988</t>
        </is>
      </c>
      <c r="K2737" s="45" t="inlineStr">
        <is>
          <t>Diplôme visé - Diplôme supérieur en marketing, vente et gestion</t>
        </is>
      </c>
      <c r="L2737" s="45" t="inlineStr">
        <is>
          <t>31/12/2030</t>
        </is>
      </c>
      <c r="M2737" s="45" t="inlineStr"/>
      <c r="N2737" s="50" t="inlineStr">
        <is>
          <t>NON</t>
        </is>
      </c>
      <c r="O2737" s="45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31/12/2030</t>
        </is>
      </c>
      <c r="M2738" s="45" t="inlineStr"/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31/12/2030</t>
        </is>
      </c>
      <c r="M2739" s="45" t="inlineStr"/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DIPLOVIS - Programme supérieur de gestion et de commerce</t>
        </is>
      </c>
      <c r="L2740" s="45" t="inlineStr">
        <is>
          <t>31/12/2030</t>
        </is>
      </c>
      <c r="M2740" s="45" t="inlineStr"/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31/12/2030</t>
        </is>
      </c>
      <c r="M2741" s="45" t="inlineStr"/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DIPLOVIS - Responsable en marketing, commercialisation et gestion</t>
        </is>
      </c>
      <c r="L2742" s="45" t="inlineStr">
        <is>
          <t>31/12/2030</t>
        </is>
      </c>
      <c r="M2742" s="45" t="inlineStr"/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31/12/2030</t>
        </is>
      </c>
      <c r="M2743" s="45" t="inlineStr"/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DipViGrM - Programme grande école</t>
        </is>
      </c>
      <c r="L2744" s="45" t="inlineStr">
        <is>
          <t>31/12/2030</t>
        </is>
      </c>
      <c r="M2744" s="45" t="inlineStr"/>
      <c r="N2744" s="50" t="inlineStr">
        <is>
          <t>NON</t>
        </is>
      </c>
      <c r="O2744" s="45" t="inlineStr"/>
    </row>
    <row r="2745" customFormat="1" s="4">
      <c r="A2745" s="45" t="n"/>
      <c r="B2745" s="46" t="inlineStr">
        <is>
          <t>32006</t>
        </is>
      </c>
      <c r="C2745" s="46">
        <f>LEFT(Tableau1[[#This Row],[Formacode]],3)</f>
        <v/>
      </c>
      <c r="D2745" s="47" t="n">
        <v>37719</v>
      </c>
      <c r="E2745" s="48">
        <f>"RNCP"&amp;D2745</f>
        <v/>
      </c>
      <c r="F2745" s="48" t="inlineStr">
        <is>
          <t>DIPLOVIS - Diplôme en management international de l'hôtellerie et de la restauration</t>
        </is>
      </c>
      <c r="G2745" s="49">
        <f>E2745&amp;" - "&amp;F2745</f>
        <v/>
      </c>
      <c r="H2745" s="36" t="inlineStr">
        <is>
          <t>RAS</t>
        </is>
      </c>
      <c r="I2745" s="45" t="inlineStr"/>
      <c r="J2745" s="45" t="inlineStr">
        <is>
          <t>RNCP37719</t>
        </is>
      </c>
      <c r="K2745" s="45" t="inlineStr">
        <is>
          <t>DIPLOVIS - Diplôme en management international de l'hôtellerie et de la restauration</t>
        </is>
      </c>
      <c r="L2745" s="45" t="inlineStr">
        <is>
          <t>31/12/2030</t>
        </is>
      </c>
      <c r="M2745" s="45" t="inlineStr"/>
      <c r="N2745" s="50" t="inlineStr">
        <is>
          <t>NON</t>
        </is>
      </c>
      <c r="O2745" s="45" t="inlineStr"/>
    </row>
    <row r="2746" customFormat="1" s="4">
      <c r="A2746" s="45" t="n"/>
      <c r="B2746" s="46" t="inlineStr">
        <is>
          <t>32006</t>
        </is>
      </c>
      <c r="C2746" s="46">
        <f>LEFT(Tableau1[[#This Row],[Formacode]],3)</f>
        <v/>
      </c>
      <c r="D2746" s="47" t="n">
        <v>37932</v>
      </c>
      <c r="E2746" s="48">
        <f>"RNCP"&amp;D2746</f>
        <v/>
      </c>
      <c r="F2746" s="48" t="inlineStr">
        <is>
          <t>DIPLOVIS - Diplôme en Management International des Arts Culinaires</t>
        </is>
      </c>
      <c r="G2746" s="49">
        <f>E2746&amp;" - "&amp;F2746</f>
        <v/>
      </c>
      <c r="H2746" s="36" t="inlineStr">
        <is>
          <t>RAS</t>
        </is>
      </c>
      <c r="I2746" s="45" t="inlineStr"/>
      <c r="J2746" s="45" t="inlineStr">
        <is>
          <t>RNCP37932</t>
        </is>
      </c>
      <c r="K2746" s="45" t="inlineStr">
        <is>
          <t>DIPLOVIS - Diplôme en Management International des Arts Culinaires</t>
        </is>
      </c>
      <c r="L2746" s="45" t="inlineStr">
        <is>
          <t>31/12/2030</t>
        </is>
      </c>
      <c r="M2746" s="45" t="inlineStr"/>
      <c r="N2746" s="50" t="inlineStr">
        <is>
          <t>NON</t>
        </is>
      </c>
      <c r="O2746" s="45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TP - Gestionnaire comptable et  fiscal</t>
        </is>
      </c>
      <c r="L2747" s="45" t="inlineStr">
        <is>
          <t>31/12/2030</t>
        </is>
      </c>
      <c r="M2747" s="45" t="inlineStr"/>
      <c r="N2747" s="50" t="inlineStr">
        <is>
          <t>NON</t>
        </is>
      </c>
      <c r="O2747" s="45" t="inlineStr"/>
    </row>
    <row r="2748" customFormat="1" s="4">
      <c r="A2748" s="45" t="n"/>
      <c r="B2748" s="46" t="inlineStr">
        <is>
          <t>32006</t>
        </is>
      </c>
      <c r="C2748" s="46">
        <f>LEFT(Tableau1[[#This Row],[Formacode]],3)</f>
        <v/>
      </c>
      <c r="D2748" s="47" t="n">
        <v>37988</v>
      </c>
      <c r="E2748" s="48">
        <f>"RNCP"&amp;D2748</f>
        <v/>
      </c>
      <c r="F2748" s="48" t="inlineStr">
        <is>
          <t>Diplôme visé - Diplôme supérieur en marketing, vente et gestion</t>
        </is>
      </c>
      <c r="G2748" s="49">
        <f>E2748&amp;" - "&amp;F2748</f>
        <v/>
      </c>
      <c r="H2748" s="36" t="inlineStr">
        <is>
          <t>RAS</t>
        </is>
      </c>
      <c r="I2748" s="45" t="inlineStr"/>
      <c r="J2748" s="45" t="inlineStr">
        <is>
          <t>RNCP37988</t>
        </is>
      </c>
      <c r="K2748" s="45" t="inlineStr">
        <is>
          <t>Diplôme visé - Diplôme supérieur en marketing, vente et gestion</t>
        </is>
      </c>
      <c r="L2748" s="45" t="inlineStr">
        <is>
          <t>31/12/2030</t>
        </is>
      </c>
      <c r="M2748" s="45" t="inlineStr"/>
      <c r="N2748" s="50" t="inlineStr">
        <is>
          <t>NON</t>
        </is>
      </c>
      <c r="O2748" s="45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DIPLOVIS - Diplôme d’Etudes Spécialisées en Management International</t>
        </is>
      </c>
      <c r="L2749" s="45" t="inlineStr">
        <is>
          <t>31/12/2030</t>
        </is>
      </c>
      <c r="M2749" s="45" t="inlineStr"/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DIPLOVIS - Coordinateur de projets de développement international et sociétal</t>
        </is>
      </c>
      <c r="L2750" s="45" t="inlineStr">
        <is>
          <t>31/12/2030</t>
        </is>
      </c>
      <c r="M2750" s="45" t="inlineStr"/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31/12/2030</t>
        </is>
      </c>
      <c r="M2751" s="45" t="inlineStr"/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31/12/2030</t>
        </is>
      </c>
      <c r="M2752" s="45" t="inlineStr"/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DipViGrL - Diplôme d’enseignement supérieure en management des affaires internationales</t>
        </is>
      </c>
      <c r="L2753" s="45" t="inlineStr">
        <is>
          <t>31/12/2030</t>
        </is>
      </c>
      <c r="M2753" s="45" t="inlineStr"/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31/12/2030</t>
        </is>
      </c>
      <c r="M2754" s="45" t="inlineStr"/>
      <c r="N2754" s="50" t="inlineStr">
        <is>
          <t>NON</t>
        </is>
      </c>
      <c r="O2754" s="45" t="inlineStr"/>
    </row>
    <row r="2755" customFormat="1" s="4">
      <c r="A2755" s="45" t="n"/>
      <c r="B2755" s="46" t="inlineStr">
        <is>
          <t>32008</t>
        </is>
      </c>
      <c r="C2755" s="46">
        <f>LEFT(Tableau1[[#This Row],[Formacode]],3)</f>
        <v/>
      </c>
      <c r="D2755" s="47" t="n">
        <v>35862</v>
      </c>
      <c r="E2755" s="48">
        <f>"RNCP"&amp;D2755</f>
        <v/>
      </c>
      <c r="F2755" s="48" t="inlineStr">
        <is>
          <t>Responsable qualité, santé, sécurité, environnement</t>
        </is>
      </c>
      <c r="G2755" s="49">
        <f>E2755&amp;" - "&amp;F2755</f>
        <v/>
      </c>
      <c r="H2755" s="36" t="inlineStr">
        <is>
          <t>RAS</t>
        </is>
      </c>
      <c r="I2755" s="45" t="inlineStr"/>
      <c r="J2755" s="45" t="inlineStr">
        <is>
          <t>RNCP35862</t>
        </is>
      </c>
      <c r="K2755" s="45" t="inlineStr">
        <is>
          <t>Responsable qualité, santé, sécurité, environnement</t>
        </is>
      </c>
      <c r="L2755" s="45" t="inlineStr">
        <is>
          <t>31/12/2030</t>
        </is>
      </c>
      <c r="M2755" s="45" t="inlineStr"/>
      <c r="N2755" s="50" t="inlineStr">
        <is>
          <t>NON</t>
        </is>
      </c>
      <c r="O2755" s="45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DIPLOVIS - Programme supérieur de gestion et de commerce</t>
        </is>
      </c>
      <c r="L2756" s="45" t="inlineStr">
        <is>
          <t>31/12/2030</t>
        </is>
      </c>
      <c r="M2756" s="45" t="inlineStr"/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31/12/2030</t>
        </is>
      </c>
      <c r="M2757" s="45" t="inlineStr"/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DIPLOVIS - Responsable en marketing, commercialisation et gestion</t>
        </is>
      </c>
      <c r="L2758" s="45" t="inlineStr">
        <is>
          <t>31/12/2030</t>
        </is>
      </c>
      <c r="M2758" s="45" t="inlineStr"/>
      <c r="N2758" s="50" t="inlineStr">
        <is>
          <t>NON</t>
        </is>
      </c>
      <c r="O2758" s="45" t="inlineStr"/>
    </row>
    <row r="2759" customFormat="1" s="4">
      <c r="A2759" s="45" t="n"/>
      <c r="B2759" s="46" t="inlineStr">
        <is>
          <t>32008</t>
        </is>
      </c>
      <c r="C2759" s="46">
        <f>LEFT(Tableau1[[#This Row],[Formacode]],3)</f>
        <v/>
      </c>
      <c r="D2759" s="47" t="n">
        <v>37523</v>
      </c>
      <c r="E2759" s="48">
        <f>"RNCP"&amp;D2759</f>
        <v/>
      </c>
      <c r="F2759" s="48" t="inlineStr">
        <is>
          <t>Responsable de service ou d'entité dans le secteur de l'économie sociale et solidaire</t>
        </is>
      </c>
      <c r="G2759" s="49">
        <f>E2759&amp;" - "&amp;F2759</f>
        <v/>
      </c>
      <c r="H2759" s="36" t="inlineStr">
        <is>
          <t>RAS</t>
        </is>
      </c>
      <c r="I2759" s="45" t="inlineStr"/>
      <c r="J2759" s="45" t="inlineStr">
        <is>
          <t>RNCP37523</t>
        </is>
      </c>
      <c r="K2759" s="45" t="inlineStr">
        <is>
          <t>Responsable de service ou d'entité dans le secteur de l'économie sociale et solidaire</t>
        </is>
      </c>
      <c r="L2759" s="45" t="inlineStr">
        <is>
          <t>31/12/2030</t>
        </is>
      </c>
      <c r="M2759" s="45" t="inlineStr"/>
      <c r="N2759" s="50" t="inlineStr">
        <is>
          <t>NON</t>
        </is>
      </c>
      <c r="O2759" s="45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31/12/2030</t>
        </is>
      </c>
      <c r="M2760" s="45" t="inlineStr"/>
      <c r="N2760" s="50" t="inlineStr">
        <is>
          <t>NON</t>
        </is>
      </c>
      <c r="O2760" s="45" t="inlineStr"/>
    </row>
    <row r="2761" customFormat="1" s="4">
      <c r="A2761" s="45" t="n"/>
      <c r="B2761" s="46" t="inlineStr">
        <is>
          <t>32008</t>
        </is>
      </c>
      <c r="C2761" s="46">
        <f>LEFT(Tableau1[[#This Row],[Formacode]],3)</f>
        <v/>
      </c>
      <c r="D2761" s="47" t="n">
        <v>37719</v>
      </c>
      <c r="E2761" s="48">
        <f>"RNCP"&amp;D2761</f>
        <v/>
      </c>
      <c r="F2761" s="48" t="inlineStr">
        <is>
          <t>DIPLOVIS - Diplôme en management international de l'hôtellerie et de la restauration</t>
        </is>
      </c>
      <c r="G2761" s="49">
        <f>E2761&amp;" - "&amp;F2761</f>
        <v/>
      </c>
      <c r="H2761" s="36" t="inlineStr">
        <is>
          <t>RAS</t>
        </is>
      </c>
      <c r="I2761" s="45" t="inlineStr"/>
      <c r="J2761" s="45" t="inlineStr">
        <is>
          <t>RNCP37719</t>
        </is>
      </c>
      <c r="K2761" s="45" t="inlineStr">
        <is>
          <t>DIPLOVIS - Diplôme en management international de l'hôtellerie et de la restauration</t>
        </is>
      </c>
      <c r="L2761" s="45" t="inlineStr">
        <is>
          <t>31/12/2030</t>
        </is>
      </c>
      <c r="M2761" s="45" t="inlineStr"/>
      <c r="N2761" s="50" t="inlineStr">
        <is>
          <t>NON</t>
        </is>
      </c>
      <c r="O2761" s="45" t="inlineStr"/>
    </row>
    <row r="2762" customFormat="1" s="4">
      <c r="A2762" s="45" t="n"/>
      <c r="B2762" s="46" t="inlineStr">
        <is>
          <t>32008</t>
        </is>
      </c>
      <c r="C2762" s="46">
        <f>LEFT(Tableau1[[#This Row],[Formacode]],3)</f>
        <v/>
      </c>
      <c r="D2762" s="47" t="n">
        <v>37932</v>
      </c>
      <c r="E2762" s="48">
        <f>"RNCP"&amp;D2762</f>
        <v/>
      </c>
      <c r="F2762" s="48" t="inlineStr">
        <is>
          <t>DIPLOVIS - Diplôme en Management International des Arts Culinaires</t>
        </is>
      </c>
      <c r="G2762" s="49">
        <f>E2762&amp;" - "&amp;F2762</f>
        <v/>
      </c>
      <c r="H2762" s="36" t="inlineStr">
        <is>
          <t>RAS</t>
        </is>
      </c>
      <c r="I2762" s="45" t="inlineStr"/>
      <c r="J2762" s="45" t="inlineStr">
        <is>
          <t>RNCP37932</t>
        </is>
      </c>
      <c r="K2762" s="45" t="inlineStr">
        <is>
          <t>DIPLOVIS - Diplôme en Management International des Arts Culinaires</t>
        </is>
      </c>
      <c r="L2762" s="45" t="inlineStr">
        <is>
          <t>31/12/2030</t>
        </is>
      </c>
      <c r="M2762" s="45" t="inlineStr"/>
      <c r="N2762" s="50" t="inlineStr">
        <is>
          <t>NON</t>
        </is>
      </c>
      <c r="O2762" s="45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TP - Gestionnaire comptable et  fiscal</t>
        </is>
      </c>
      <c r="L2763" s="45" t="inlineStr">
        <is>
          <t>31/12/2030</t>
        </is>
      </c>
      <c r="M2763" s="45" t="inlineStr"/>
      <c r="N2763" s="50" t="inlineStr">
        <is>
          <t>NON</t>
        </is>
      </c>
      <c r="O2763" s="45" t="inlineStr"/>
    </row>
    <row r="2764" customFormat="1" s="4">
      <c r="A2764" s="45" t="n"/>
      <c r="B2764" s="46" t="inlineStr">
        <is>
          <t>32008</t>
        </is>
      </c>
      <c r="C2764" s="46">
        <f>LEFT(Tableau1[[#This Row],[Formacode]],3)</f>
        <v/>
      </c>
      <c r="D2764" s="47" t="n">
        <v>37988</v>
      </c>
      <c r="E2764" s="48">
        <f>"RNCP"&amp;D2764</f>
        <v/>
      </c>
      <c r="F2764" s="48" t="inlineStr">
        <is>
          <t>Diplôme visé - Diplôme supérieur en marketing, vente et gestion</t>
        </is>
      </c>
      <c r="G2764" s="49">
        <f>E2764&amp;" - "&amp;F2764</f>
        <v/>
      </c>
      <c r="H2764" s="36" t="inlineStr">
        <is>
          <t>RAS</t>
        </is>
      </c>
      <c r="I2764" s="45" t="inlineStr"/>
      <c r="J2764" s="45" t="inlineStr">
        <is>
          <t>RNCP37988</t>
        </is>
      </c>
      <c r="K2764" s="45" t="inlineStr">
        <is>
          <t>Diplôme visé - Diplôme supérieur en marketing, vente et gestion</t>
        </is>
      </c>
      <c r="L2764" s="45" t="inlineStr">
        <is>
          <t>31/12/2030</t>
        </is>
      </c>
      <c r="M2764" s="45" t="inlineStr"/>
      <c r="N2764" s="50" t="inlineStr">
        <is>
          <t>NON</t>
        </is>
      </c>
      <c r="O2764" s="45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TP - Responsable de petite ou moyenne structure</t>
        </is>
      </c>
      <c r="L2765" s="45" t="inlineStr">
        <is>
          <t>31/12/2030</t>
        </is>
      </c>
      <c r="M2765" s="45" t="inlineStr"/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31/12/2030</t>
        </is>
      </c>
      <c r="M2766" s="45" t="inlineStr"/>
      <c r="N2766" s="50" t="inlineStr">
        <is>
          <t>NON</t>
        </is>
      </c>
      <c r="O2766" s="45" t="inlineStr"/>
    </row>
    <row r="2767" customFormat="1" s="4">
      <c r="A2767" s="45" t="n"/>
      <c r="B2767" s="46" t="inlineStr">
        <is>
          <t>32008</t>
        </is>
      </c>
      <c r="C2767" s="46">
        <f>LEFT(Tableau1[[#This Row],[Formacode]],3)</f>
        <v/>
      </c>
      <c r="D2767" s="47" t="n">
        <v>39160</v>
      </c>
      <c r="E2767" s="48">
        <f>"RNCP"&amp;D2767</f>
        <v/>
      </c>
      <c r="F2767" s="48" t="inlineStr">
        <is>
          <t>Diplôme visé grade de master - Programme Grande Ecole</t>
        </is>
      </c>
      <c r="G2767" s="49">
        <f>E2767&amp;" - "&amp;F2767</f>
        <v/>
      </c>
      <c r="H2767" s="36" t="inlineStr">
        <is>
          <t>RAS</t>
        </is>
      </c>
      <c r="I2767" s="45" t="inlineStr"/>
      <c r="J2767" s="45" t="inlineStr">
        <is>
          <t>RNCP39160</t>
        </is>
      </c>
      <c r="K2767" s="45" t="inlineStr">
        <is>
          <t>Diplôme visé grade de master - Programme Grande Ecole</t>
        </is>
      </c>
      <c r="L2767" s="45" t="inlineStr">
        <is>
          <t>31/12/2030</t>
        </is>
      </c>
      <c r="M2767" s="45" t="inlineStr"/>
      <c r="N2767" s="50" t="inlineStr">
        <is>
          <t>NON</t>
        </is>
      </c>
      <c r="O2767" s="45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DIPLOVIS - Diplôme d’Etudes Spécialisées en Management International</t>
        </is>
      </c>
      <c r="L2768" s="45" t="inlineStr">
        <is>
          <t>31/12/2030</t>
        </is>
      </c>
      <c r="M2768" s="45" t="inlineStr"/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31/12/2030</t>
        </is>
      </c>
      <c r="M2769" s="45" t="inlineStr"/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BTS - Métiers des services à l'environnement</t>
        </is>
      </c>
      <c r="L2770" s="45" t="inlineStr">
        <is>
          <t>31/12/2030</t>
        </is>
      </c>
      <c r="M2770" s="45" t="inlineStr"/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31/12/2030</t>
        </is>
      </c>
      <c r="M2771" s="45" t="inlineStr"/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31/12/2030</t>
        </is>
      </c>
      <c r="M2772" s="45" t="inlineStr"/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31/12/2030</t>
        </is>
      </c>
      <c r="M2773" s="45" t="inlineStr"/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31/12/2030</t>
        </is>
      </c>
      <c r="M2774" s="45" t="inlineStr"/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31/12/2030</t>
        </is>
      </c>
      <c r="M2775" s="45" t="inlineStr"/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31/12/2030</t>
        </is>
      </c>
      <c r="M2776" s="45" t="inlineStr"/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DIPLOVIS - Programme supérieur de gestion et de commerce</t>
        </is>
      </c>
      <c r="L2777" s="45" t="inlineStr">
        <is>
          <t>31/12/2030</t>
        </is>
      </c>
      <c r="M2777" s="45" t="inlineStr"/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31/12/2030</t>
        </is>
      </c>
      <c r="M2778" s="45" t="inlineStr"/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DIPLOVIS - Responsable en marketing, commercialisation et gestion</t>
        </is>
      </c>
      <c r="L2779" s="45" t="inlineStr">
        <is>
          <t>31/12/2030</t>
        </is>
      </c>
      <c r="M2779" s="45" t="inlineStr"/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31/12/2030</t>
        </is>
      </c>
      <c r="M2780" s="45" t="inlineStr"/>
      <c r="N2780" s="50" t="inlineStr">
        <is>
          <t>NON</t>
        </is>
      </c>
      <c r="O2780" s="45" t="inlineStr"/>
    </row>
    <row r="2781" customFormat="1" s="4">
      <c r="A2781" s="45" t="n"/>
      <c r="B2781" s="46" t="inlineStr">
        <is>
          <t>32012</t>
        </is>
      </c>
      <c r="C2781" s="46">
        <f>LEFT(Tableau1[[#This Row],[Formacode]],3)</f>
        <v/>
      </c>
      <c r="D2781" s="47" t="n">
        <v>37719</v>
      </c>
      <c r="E2781" s="48">
        <f>"RNCP"&amp;D2781</f>
        <v/>
      </c>
      <c r="F2781" s="48" t="inlineStr">
        <is>
          <t>DIPLOVIS - Diplôme en management international de l'hôtellerie et de la restauration</t>
        </is>
      </c>
      <c r="G2781" s="49">
        <f>E2781&amp;" - "&amp;F2781</f>
        <v/>
      </c>
      <c r="H2781" s="36" t="inlineStr">
        <is>
          <t>RAS</t>
        </is>
      </c>
      <c r="I2781" s="45" t="inlineStr"/>
      <c r="J2781" s="45" t="inlineStr">
        <is>
          <t>RNCP37719</t>
        </is>
      </c>
      <c r="K2781" s="45" t="inlineStr">
        <is>
          <t>DIPLOVIS - Diplôme en management international de l'hôtellerie et de la restauration</t>
        </is>
      </c>
      <c r="L2781" s="45" t="inlineStr">
        <is>
          <t>31/12/2030</t>
        </is>
      </c>
      <c r="M2781" s="45" t="inlineStr"/>
      <c r="N2781" s="50" t="inlineStr">
        <is>
          <t>NON</t>
        </is>
      </c>
      <c r="O2781" s="45" t="inlineStr"/>
    </row>
    <row r="2782" customFormat="1" s="4">
      <c r="A2782" s="45" t="n"/>
      <c r="B2782" s="46" t="inlineStr">
        <is>
          <t>32012</t>
        </is>
      </c>
      <c r="C2782" s="46">
        <f>LEFT(Tableau1[[#This Row],[Formacode]],3)</f>
        <v/>
      </c>
      <c r="D2782" s="47" t="n">
        <v>37932</v>
      </c>
      <c r="E2782" s="48">
        <f>"RNCP"&amp;D2782</f>
        <v/>
      </c>
      <c r="F2782" s="48" t="inlineStr">
        <is>
          <t>DIPLOVIS - Diplôme en Management International des Arts Culinaires</t>
        </is>
      </c>
      <c r="G2782" s="49">
        <f>E2782&amp;" - "&amp;F2782</f>
        <v/>
      </c>
      <c r="H2782" s="36" t="inlineStr">
        <is>
          <t>RAS</t>
        </is>
      </c>
      <c r="I2782" s="45" t="inlineStr"/>
      <c r="J2782" s="45" t="inlineStr">
        <is>
          <t>RNCP37932</t>
        </is>
      </c>
      <c r="K2782" s="45" t="inlineStr">
        <is>
          <t>DIPLOVIS - Diplôme en Management International des Arts Culinaires</t>
        </is>
      </c>
      <c r="L2782" s="45" t="inlineStr">
        <is>
          <t>31/12/2030</t>
        </is>
      </c>
      <c r="M2782" s="45" t="inlineStr"/>
      <c r="N2782" s="50" t="inlineStr">
        <is>
          <t>NON</t>
        </is>
      </c>
      <c r="O2782" s="45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TP - Gestionnaire comptable et  fiscal</t>
        </is>
      </c>
      <c r="L2783" s="45" t="inlineStr">
        <is>
          <t>31/12/2030</t>
        </is>
      </c>
      <c r="M2783" s="45" t="inlineStr"/>
      <c r="N2783" s="50" t="inlineStr">
        <is>
          <t>NON</t>
        </is>
      </c>
      <c r="O2783" s="45" t="inlineStr"/>
    </row>
    <row r="2784" customFormat="1" s="4">
      <c r="A2784" s="45" t="n"/>
      <c r="B2784" s="46" t="inlineStr">
        <is>
          <t>32012</t>
        </is>
      </c>
      <c r="C2784" s="46">
        <f>LEFT(Tableau1[[#This Row],[Formacode]],3)</f>
        <v/>
      </c>
      <c r="D2784" s="47" t="n">
        <v>37988</v>
      </c>
      <c r="E2784" s="48">
        <f>"RNCP"&amp;D2784</f>
        <v/>
      </c>
      <c r="F2784" s="48" t="inlineStr">
        <is>
          <t>Diplôme visé - Diplôme supérieur en marketing, vente et gestion</t>
        </is>
      </c>
      <c r="G2784" s="49">
        <f>E2784&amp;" - "&amp;F2784</f>
        <v/>
      </c>
      <c r="H2784" s="36" t="inlineStr">
        <is>
          <t>RAS</t>
        </is>
      </c>
      <c r="I2784" s="45" t="inlineStr"/>
      <c r="J2784" s="45" t="inlineStr">
        <is>
          <t>RNCP37988</t>
        </is>
      </c>
      <c r="K2784" s="45" t="inlineStr">
        <is>
          <t>Diplôme visé - Diplôme supérieur en marketing, vente et gestion</t>
        </is>
      </c>
      <c r="L2784" s="45" t="inlineStr">
        <is>
          <t>31/12/2030</t>
        </is>
      </c>
      <c r="M2784" s="45" t="inlineStr"/>
      <c r="N2784" s="50" t="inlineStr">
        <is>
          <t>NON</t>
        </is>
      </c>
      <c r="O2784" s="45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31/12/2030</t>
        </is>
      </c>
      <c r="M2785" s="45" t="inlineStr"/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31/12/2030</t>
        </is>
      </c>
      <c r="M2786" s="45" t="inlineStr"/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31/12/2030</t>
        </is>
      </c>
      <c r="M2787" s="45" t="inlineStr"/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31/12/2030</t>
        </is>
      </c>
      <c r="M2788" s="45" t="inlineStr"/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31/12/2030</t>
        </is>
      </c>
      <c r="M2789" s="45" t="inlineStr"/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31/12/2030</t>
        </is>
      </c>
      <c r="M2790" s="45" t="inlineStr"/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31/12/2030</t>
        </is>
      </c>
      <c r="M2791" s="45" t="inlineStr"/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DIPLOVIS - Programme supérieur de gestion et de commerce</t>
        </is>
      </c>
      <c r="L2792" s="45" t="inlineStr">
        <is>
          <t>31/12/2030</t>
        </is>
      </c>
      <c r="M2792" s="45" t="inlineStr"/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31/12/2030</t>
        </is>
      </c>
      <c r="M2793" s="45" t="inlineStr"/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DIPLOVIS - Responsable en marketing, commercialisation et gestion</t>
        </is>
      </c>
      <c r="L2794" s="45" t="inlineStr">
        <is>
          <t>31/12/2030</t>
        </is>
      </c>
      <c r="M2794" s="45" t="inlineStr"/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31/12/2030</t>
        </is>
      </c>
      <c r="M2795" s="45" t="inlineStr"/>
      <c r="N2795" s="50" t="inlineStr">
        <is>
          <t>NON</t>
        </is>
      </c>
      <c r="O2795" s="45" t="inlineStr"/>
    </row>
    <row r="2796" customFormat="1" s="4">
      <c r="A2796" s="45" t="n"/>
      <c r="B2796" s="46" t="inlineStr">
        <is>
          <t>32014</t>
        </is>
      </c>
      <c r="C2796" s="46">
        <f>LEFT(Tableau1[[#This Row],[Formacode]],3)</f>
        <v/>
      </c>
      <c r="D2796" s="47" t="n">
        <v>37719</v>
      </c>
      <c r="E2796" s="48">
        <f>"RNCP"&amp;D2796</f>
        <v/>
      </c>
      <c r="F2796" s="48" t="inlineStr">
        <is>
          <t>DIPLOVIS - Diplôme en management international de l'hôtellerie et de la restauration</t>
        </is>
      </c>
      <c r="G2796" s="49">
        <f>E2796&amp;" - "&amp;F2796</f>
        <v/>
      </c>
      <c r="H2796" s="36" t="inlineStr">
        <is>
          <t>RAS</t>
        </is>
      </c>
      <c r="I2796" s="45" t="inlineStr"/>
      <c r="J2796" s="45" t="inlineStr">
        <is>
          <t>RNCP37719</t>
        </is>
      </c>
      <c r="K2796" s="45" t="inlineStr">
        <is>
          <t>DIPLOVIS - Diplôme en management international de l'hôtellerie et de la restauration</t>
        </is>
      </c>
      <c r="L2796" s="45" t="inlineStr">
        <is>
          <t>31/12/2030</t>
        </is>
      </c>
      <c r="M2796" s="45" t="inlineStr"/>
      <c r="N2796" s="50" t="inlineStr">
        <is>
          <t>NON</t>
        </is>
      </c>
      <c r="O2796" s="45" t="inlineStr"/>
    </row>
    <row r="2797" customFormat="1" s="4">
      <c r="A2797" s="45" t="n"/>
      <c r="B2797" s="46" t="inlineStr">
        <is>
          <t>32014</t>
        </is>
      </c>
      <c r="C2797" s="46">
        <f>LEFT(Tableau1[[#This Row],[Formacode]],3)</f>
        <v/>
      </c>
      <c r="D2797" s="47" t="n">
        <v>37932</v>
      </c>
      <c r="E2797" s="48">
        <f>"RNCP"&amp;D2797</f>
        <v/>
      </c>
      <c r="F2797" s="48" t="inlineStr">
        <is>
          <t>DIPLOVIS - Diplôme en Management International des Arts Culinaires</t>
        </is>
      </c>
      <c r="G2797" s="49">
        <f>E2797&amp;" - "&amp;F2797</f>
        <v/>
      </c>
      <c r="H2797" s="36" t="inlineStr">
        <is>
          <t>RAS</t>
        </is>
      </c>
      <c r="I2797" s="45" t="inlineStr"/>
      <c r="J2797" s="45" t="inlineStr">
        <is>
          <t>RNCP37932</t>
        </is>
      </c>
      <c r="K2797" s="45" t="inlineStr">
        <is>
          <t>DIPLOVIS - Diplôme en Management International des Arts Culinaires</t>
        </is>
      </c>
      <c r="L2797" s="45" t="inlineStr">
        <is>
          <t>31/12/2030</t>
        </is>
      </c>
      <c r="M2797" s="45" t="inlineStr"/>
      <c r="N2797" s="50" t="inlineStr">
        <is>
          <t>NON</t>
        </is>
      </c>
      <c r="O2797" s="45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TP - Gestionnaire comptable et  fiscal</t>
        </is>
      </c>
      <c r="L2798" s="45" t="inlineStr">
        <is>
          <t>31/12/2030</t>
        </is>
      </c>
      <c r="M2798" s="45" t="inlineStr"/>
      <c r="N2798" s="50" t="inlineStr">
        <is>
          <t>NON</t>
        </is>
      </c>
      <c r="O2798" s="45" t="inlineStr"/>
    </row>
    <row r="2799" customFormat="1" s="4">
      <c r="A2799" s="45" t="n"/>
      <c r="B2799" s="46" t="inlineStr">
        <is>
          <t>32014</t>
        </is>
      </c>
      <c r="C2799" s="46">
        <f>LEFT(Tableau1[[#This Row],[Formacode]],3)</f>
        <v/>
      </c>
      <c r="D2799" s="47" t="n">
        <v>37988</v>
      </c>
      <c r="E2799" s="48">
        <f>"RNCP"&amp;D2799</f>
        <v/>
      </c>
      <c r="F2799" s="48" t="inlineStr">
        <is>
          <t>Diplôme visé - Diplôme supérieur en marketing, vente et gestion</t>
        </is>
      </c>
      <c r="G2799" s="49">
        <f>E2799&amp;" - "&amp;F2799</f>
        <v/>
      </c>
      <c r="H2799" s="36" t="inlineStr">
        <is>
          <t>RAS</t>
        </is>
      </c>
      <c r="I2799" s="45" t="inlineStr"/>
      <c r="J2799" s="45" t="inlineStr">
        <is>
          <t>RNCP37988</t>
        </is>
      </c>
      <c r="K2799" s="45" t="inlineStr">
        <is>
          <t>Diplôme visé - Diplôme supérieur en marketing, vente et gestion</t>
        </is>
      </c>
      <c r="L2799" s="45" t="inlineStr">
        <is>
          <t>31/12/2030</t>
        </is>
      </c>
      <c r="M2799" s="45" t="inlineStr"/>
      <c r="N2799" s="50" t="inlineStr">
        <is>
          <t>NON</t>
        </is>
      </c>
      <c r="O2799" s="45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31/12/2030</t>
        </is>
      </c>
      <c r="M2800" s="45" t="inlineStr"/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31/12/2030</t>
        </is>
      </c>
      <c r="M2801" s="45" t="inlineStr"/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31/12/2030</t>
        </is>
      </c>
      <c r="M2802" s="45" t="inlineStr"/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DipViGrM - Programme Grande Ecole</t>
        </is>
      </c>
      <c r="L2803" s="45" t="inlineStr">
        <is>
          <t>31/12/2030</t>
        </is>
      </c>
      <c r="M2803" s="45" t="inlineStr"/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DIPLOVIS - Programme supérieur de gestion et de commerce</t>
        </is>
      </c>
      <c r="L2804" s="45" t="inlineStr">
        <is>
          <t>31/12/2030</t>
        </is>
      </c>
      <c r="M2804" s="45" t="inlineStr"/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31/12/2030</t>
        </is>
      </c>
      <c r="M2805" s="45" t="inlineStr"/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DIPLOVIS - Responsable en marketing, commercialisation et gestion</t>
        </is>
      </c>
      <c r="L2806" s="45" t="inlineStr">
        <is>
          <t>31/12/2030</t>
        </is>
      </c>
      <c r="M2806" s="45" t="inlineStr"/>
      <c r="N2806" s="50" t="inlineStr">
        <is>
          <t>NON</t>
        </is>
      </c>
      <c r="O2806" s="45" t="inlineStr"/>
    </row>
    <row r="2807" customFormat="1" s="4">
      <c r="A2807" s="45" t="n"/>
      <c r="B2807" s="46" t="inlineStr">
        <is>
          <t>32024</t>
        </is>
      </c>
      <c r="C2807" s="46">
        <f>LEFT(Tableau1[[#This Row],[Formacode]],3)</f>
        <v/>
      </c>
      <c r="D2807" s="47" t="n">
        <v>37635</v>
      </c>
      <c r="E2807" s="48">
        <f>"RNCP"&amp;D2807</f>
        <v/>
      </c>
      <c r="F2807" s="48" t="inlineStr">
        <is>
          <t>Manager de commerce et de centre de profit</t>
        </is>
      </c>
      <c r="G2807" s="49">
        <f>E2807&amp;" - "&amp;F2807</f>
        <v/>
      </c>
      <c r="H2807" s="36" t="inlineStr">
        <is>
          <t>RAS</t>
        </is>
      </c>
      <c r="I2807" s="45" t="inlineStr"/>
      <c r="J2807" s="45" t="inlineStr">
        <is>
          <t>RNCP37635</t>
        </is>
      </c>
      <c r="K2807" s="45" t="inlineStr">
        <is>
          <t>Manager de commerce et de centre de profit</t>
        </is>
      </c>
      <c r="L2807" s="45" t="inlineStr">
        <is>
          <t>31/12/2030</t>
        </is>
      </c>
      <c r="M2807" s="45" t="inlineStr"/>
      <c r="N2807" s="50" t="inlineStr">
        <is>
          <t>NON</t>
        </is>
      </c>
      <c r="O2807" s="45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31/12/2030</t>
        </is>
      </c>
      <c r="M2808" s="45" t="inlineStr"/>
      <c r="N2808" s="50" t="inlineStr">
        <is>
          <t>NON</t>
        </is>
      </c>
      <c r="O2808" s="45" t="inlineStr"/>
    </row>
    <row r="2809" customFormat="1" s="4">
      <c r="A2809" s="45" t="n"/>
      <c r="B2809" s="46" t="inlineStr">
        <is>
          <t>32024</t>
        </is>
      </c>
      <c r="C2809" s="46">
        <f>LEFT(Tableau1[[#This Row],[Formacode]],3)</f>
        <v/>
      </c>
      <c r="D2809" s="47" t="n">
        <v>37719</v>
      </c>
      <c r="E2809" s="48">
        <f>"RNCP"&amp;D2809</f>
        <v/>
      </c>
      <c r="F2809" s="48" t="inlineStr">
        <is>
          <t>DIPLOVIS - Diplôme en management international de l'hôtellerie et de la restauration</t>
        </is>
      </c>
      <c r="G2809" s="49">
        <f>E2809&amp;" - "&amp;F2809</f>
        <v/>
      </c>
      <c r="H2809" s="36" t="inlineStr">
        <is>
          <t>RAS</t>
        </is>
      </c>
      <c r="I2809" s="45" t="inlineStr"/>
      <c r="J2809" s="45" t="inlineStr">
        <is>
          <t>RNCP37719</t>
        </is>
      </c>
      <c r="K2809" s="45" t="inlineStr">
        <is>
          <t>DIPLOVIS - Diplôme en management international de l'hôtellerie et de la restauration</t>
        </is>
      </c>
      <c r="L2809" s="45" t="inlineStr">
        <is>
          <t>31/12/2030</t>
        </is>
      </c>
      <c r="M2809" s="45" t="inlineStr"/>
      <c r="N2809" s="50" t="inlineStr">
        <is>
          <t>NON</t>
        </is>
      </c>
      <c r="O2809" s="45" t="inlineStr"/>
    </row>
    <row r="2810" customFormat="1" s="4">
      <c r="A2810" s="45" t="n"/>
      <c r="B2810" s="46" t="inlineStr">
        <is>
          <t>32024</t>
        </is>
      </c>
      <c r="C2810" s="46">
        <f>LEFT(Tableau1[[#This Row],[Formacode]],3)</f>
        <v/>
      </c>
      <c r="D2810" s="47" t="n">
        <v>37865</v>
      </c>
      <c r="E2810" s="48">
        <f>"RNCP"&amp;D2810</f>
        <v/>
      </c>
      <c r="F2810" s="48" t="inlineStr">
        <is>
          <t>Responsable en gestion d'activité opérationnelle</t>
        </is>
      </c>
      <c r="G2810" s="49">
        <f>E2810&amp;" - "&amp;F2810</f>
        <v/>
      </c>
      <c r="H2810" s="36" t="inlineStr">
        <is>
          <t>RAS</t>
        </is>
      </c>
      <c r="I2810" s="45" t="inlineStr"/>
      <c r="J2810" s="45" t="inlineStr">
        <is>
          <t>RNCP37865</t>
        </is>
      </c>
      <c r="K2810" s="45" t="inlineStr">
        <is>
          <t>Responsable en gestion d'activité opérationnelle</t>
        </is>
      </c>
      <c r="L2810" s="45" t="inlineStr">
        <is>
          <t>31/12/2030</t>
        </is>
      </c>
      <c r="M2810" s="45" t="inlineStr"/>
      <c r="N2810" s="50" t="inlineStr">
        <is>
          <t>NON</t>
        </is>
      </c>
      <c r="O2810" s="45" t="inlineStr"/>
    </row>
    <row r="2811" customFormat="1" s="4">
      <c r="A2811" s="45" t="n"/>
      <c r="B2811" s="46" t="inlineStr">
        <is>
          <t>32024</t>
        </is>
      </c>
      <c r="C2811" s="46">
        <f>LEFT(Tableau1[[#This Row],[Formacode]],3)</f>
        <v/>
      </c>
      <c r="D2811" s="47" t="n">
        <v>37932</v>
      </c>
      <c r="E2811" s="48">
        <f>"RNCP"&amp;D2811</f>
        <v/>
      </c>
      <c r="F2811" s="48" t="inlineStr">
        <is>
          <t>DIPLOVIS - Diplôme en Management International des Arts Culinaires</t>
        </is>
      </c>
      <c r="G2811" s="49">
        <f>E2811&amp;" - "&amp;F2811</f>
        <v/>
      </c>
      <c r="H2811" s="36" t="inlineStr">
        <is>
          <t>RAS</t>
        </is>
      </c>
      <c r="I2811" s="45" t="inlineStr"/>
      <c r="J2811" s="45" t="inlineStr">
        <is>
          <t>RNCP37932</t>
        </is>
      </c>
      <c r="K2811" s="45" t="inlineStr">
        <is>
          <t>DIPLOVIS - Diplôme en Management International des Arts Culinaires</t>
        </is>
      </c>
      <c r="L2811" s="45" t="inlineStr">
        <is>
          <t>31/12/2030</t>
        </is>
      </c>
      <c r="M2811" s="45" t="inlineStr"/>
      <c r="N2811" s="50" t="inlineStr">
        <is>
          <t>NON</t>
        </is>
      </c>
      <c r="O2811" s="45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TP - Gestionnaire comptable et  fiscal</t>
        </is>
      </c>
      <c r="L2812" s="45" t="inlineStr">
        <is>
          <t>31/12/2030</t>
        </is>
      </c>
      <c r="M2812" s="45" t="inlineStr"/>
      <c r="N2812" s="50" t="inlineStr">
        <is>
          <t>NON</t>
        </is>
      </c>
      <c r="O2812" s="45" t="inlineStr"/>
    </row>
    <row r="2813" customFormat="1" s="4">
      <c r="A2813" s="45" t="n"/>
      <c r="B2813" s="46" t="inlineStr">
        <is>
          <t>32024</t>
        </is>
      </c>
      <c r="C2813" s="46">
        <f>LEFT(Tableau1[[#This Row],[Formacode]],3)</f>
        <v/>
      </c>
      <c r="D2813" s="47" t="n">
        <v>37988</v>
      </c>
      <c r="E2813" s="48">
        <f>"RNCP"&amp;D2813</f>
        <v/>
      </c>
      <c r="F2813" s="48" t="inlineStr">
        <is>
          <t>Diplôme visé - Diplôme supérieur en marketing, vente et gestion</t>
        </is>
      </c>
      <c r="G2813" s="49">
        <f>E2813&amp;" - "&amp;F2813</f>
        <v/>
      </c>
      <c r="H2813" s="36" t="inlineStr">
        <is>
          <t>RAS</t>
        </is>
      </c>
      <c r="I2813" s="45" t="inlineStr"/>
      <c r="J2813" s="45" t="inlineStr">
        <is>
          <t>RNCP37988</t>
        </is>
      </c>
      <c r="K2813" s="45" t="inlineStr">
        <is>
          <t>Diplôme visé - Diplôme supérieur en marketing, vente et gestion</t>
        </is>
      </c>
      <c r="L2813" s="45" t="inlineStr">
        <is>
          <t>31/12/2030</t>
        </is>
      </c>
      <c r="M2813" s="45" t="inlineStr"/>
      <c r="N2813" s="50" t="inlineStr">
        <is>
          <t>NON</t>
        </is>
      </c>
      <c r="O2813" s="45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31/12/2030</t>
        </is>
      </c>
      <c r="M2814" s="45" t="inlineStr"/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31/12/2030</t>
        </is>
      </c>
      <c r="M2815" s="45" t="inlineStr"/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31/12/2030</t>
        </is>
      </c>
      <c r="M2816" s="45" t="inlineStr"/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31/12/2030</t>
        </is>
      </c>
      <c r="M2817" s="45" t="inlineStr"/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31/12/2030</t>
        </is>
      </c>
      <c r="M2818" s="45" t="inlineStr"/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31/12/2030</t>
        </is>
      </c>
      <c r="M2819" s="45" t="inlineStr"/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31/12/2030</t>
        </is>
      </c>
      <c r="M2820" s="45" t="inlineStr"/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DipViGrM - Programme Grande Ecole</t>
        </is>
      </c>
      <c r="L2821" s="45" t="inlineStr">
        <is>
          <t>31/12/2030</t>
        </is>
      </c>
      <c r="M2821" s="45" t="inlineStr"/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DIPLOVIS - Programme supérieur de gestion et de commerce</t>
        </is>
      </c>
      <c r="L2822" s="45" t="inlineStr">
        <is>
          <t>31/12/2030</t>
        </is>
      </c>
      <c r="M2822" s="45" t="inlineStr"/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31/12/2030</t>
        </is>
      </c>
      <c r="M2823" s="45" t="inlineStr"/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DIPLOVIS - Responsable en marketing, commercialisation et gestion</t>
        </is>
      </c>
      <c r="L2824" s="45" t="inlineStr">
        <is>
          <t>31/12/2030</t>
        </is>
      </c>
      <c r="M2824" s="45" t="inlineStr"/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31/12/2030</t>
        </is>
      </c>
      <c r="M2825" s="45" t="inlineStr"/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31/12/2030</t>
        </is>
      </c>
      <c r="M2826" s="45" t="inlineStr"/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31/12/2030</t>
        </is>
      </c>
      <c r="M2827" s="45" t="inlineStr"/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31/12/2030</t>
        </is>
      </c>
      <c r="M2828" s="45" t="inlineStr"/>
      <c r="N2828" s="50" t="inlineStr">
        <is>
          <t>NON</t>
        </is>
      </c>
      <c r="O2828" s="45" t="inlineStr"/>
    </row>
    <row r="2829" customFormat="1" s="4">
      <c r="A2829" s="45" t="n"/>
      <c r="B2829" s="46" t="inlineStr">
        <is>
          <t>32025</t>
        </is>
      </c>
      <c r="C2829" s="46">
        <f>LEFT(Tableau1[[#This Row],[Formacode]],3)</f>
        <v/>
      </c>
      <c r="D2829" s="47" t="n">
        <v>37635</v>
      </c>
      <c r="E2829" s="48">
        <f>"RNCP"&amp;D2829</f>
        <v/>
      </c>
      <c r="F2829" s="48" t="inlineStr">
        <is>
          <t>Manager de commerce et de centre de profit</t>
        </is>
      </c>
      <c r="G2829" s="49">
        <f>E2829&amp;" - "&amp;F2829</f>
        <v/>
      </c>
      <c r="H2829" s="36" t="inlineStr">
        <is>
          <t>RAS</t>
        </is>
      </c>
      <c r="I2829" s="45" t="inlineStr"/>
      <c r="J2829" s="45" t="inlineStr">
        <is>
          <t>RNCP37635</t>
        </is>
      </c>
      <c r="K2829" s="45" t="inlineStr">
        <is>
          <t>Manager de commerce et de centre de profit</t>
        </is>
      </c>
      <c r="L2829" s="45" t="inlineStr">
        <is>
          <t>31/12/2030</t>
        </is>
      </c>
      <c r="M2829" s="45" t="inlineStr"/>
      <c r="N2829" s="50" t="inlineStr">
        <is>
          <t>NON</t>
        </is>
      </c>
      <c r="O2829" s="45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31/12/2030</t>
        </is>
      </c>
      <c r="M2830" s="45" t="inlineStr"/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31/12/2030</t>
        </is>
      </c>
      <c r="M2831" s="45" t="inlineStr"/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DipViGrM - Diplôme d’études supérieures spécialisées en management international</t>
        </is>
      </c>
      <c r="L2832" s="45" t="inlineStr">
        <is>
          <t>31/12/2030</t>
        </is>
      </c>
      <c r="M2832" s="45" t="inlineStr"/>
      <c r="N2832" s="50" t="inlineStr">
        <is>
          <t>NON</t>
        </is>
      </c>
      <c r="O2832" s="45" t="inlineStr"/>
    </row>
    <row r="2833" customFormat="1" s="4">
      <c r="A2833" s="45" t="n"/>
      <c r="B2833" s="46" t="inlineStr">
        <is>
          <t>32025</t>
        </is>
      </c>
      <c r="C2833" s="46">
        <f>LEFT(Tableau1[[#This Row],[Formacode]],3)</f>
        <v/>
      </c>
      <c r="D2833" s="47" t="n">
        <v>37719</v>
      </c>
      <c r="E2833" s="48">
        <f>"RNCP"&amp;D2833</f>
        <v/>
      </c>
      <c r="F2833" s="48" t="inlineStr">
        <is>
          <t>DIPLOVIS - Diplôme en management international de l'hôtellerie et de la restauration</t>
        </is>
      </c>
      <c r="G2833" s="49">
        <f>E2833&amp;" - "&amp;F2833</f>
        <v/>
      </c>
      <c r="H2833" s="36" t="inlineStr">
        <is>
          <t>RAS</t>
        </is>
      </c>
      <c r="I2833" s="45" t="inlineStr"/>
      <c r="J2833" s="45" t="inlineStr">
        <is>
          <t>RNCP37719</t>
        </is>
      </c>
      <c r="K2833" s="45" t="inlineStr">
        <is>
          <t>DIPLOVIS - Diplôme en management international de l'hôtellerie et de la restauration</t>
        </is>
      </c>
      <c r="L2833" s="45" t="inlineStr">
        <is>
          <t>31/12/2030</t>
        </is>
      </c>
      <c r="M2833" s="45" t="inlineStr"/>
      <c r="N2833" s="50" t="inlineStr">
        <is>
          <t>NON</t>
        </is>
      </c>
      <c r="O2833" s="45" t="inlineStr"/>
    </row>
    <row r="2834" customFormat="1" s="4">
      <c r="A2834" s="45" t="n"/>
      <c r="B2834" s="46" t="inlineStr">
        <is>
          <t>32025</t>
        </is>
      </c>
      <c r="C2834" s="46">
        <f>LEFT(Tableau1[[#This Row],[Formacode]],3)</f>
        <v/>
      </c>
      <c r="D2834" s="47" t="n">
        <v>37824</v>
      </c>
      <c r="E2834" s="48">
        <f>"RNCP"&amp;D2834</f>
        <v/>
      </c>
      <c r="F2834" s="48" t="inlineStr">
        <is>
          <t>Expert-conseil en stratégie des filières agricoles et agroalimentaires</t>
        </is>
      </c>
      <c r="G2834" s="49">
        <f>E2834&amp;" - "&amp;F2834</f>
        <v/>
      </c>
      <c r="H2834" s="36" t="inlineStr">
        <is>
          <t>RAS</t>
        </is>
      </c>
      <c r="I2834" s="45" t="inlineStr"/>
      <c r="J2834" s="45" t="inlineStr">
        <is>
          <t>RNCP37824</t>
        </is>
      </c>
      <c r="K2834" s="45" t="inlineStr">
        <is>
          <t>Expert-conseil en stratégie des filières agricoles et agroalimentaires</t>
        </is>
      </c>
      <c r="L2834" s="45" t="inlineStr">
        <is>
          <t>31/12/2030</t>
        </is>
      </c>
      <c r="M2834" s="45" t="inlineStr"/>
      <c r="N2834" s="50" t="inlineStr">
        <is>
          <t>NON</t>
        </is>
      </c>
      <c r="O2834" s="45" t="inlineStr"/>
    </row>
    <row r="2835" customFormat="1" s="4">
      <c r="A2835" s="45" t="n"/>
      <c r="B2835" s="46" t="inlineStr">
        <is>
          <t>32025</t>
        </is>
      </c>
      <c r="C2835" s="46">
        <f>LEFT(Tableau1[[#This Row],[Formacode]],3)</f>
        <v/>
      </c>
      <c r="D2835" s="47" t="n">
        <v>37932</v>
      </c>
      <c r="E2835" s="48">
        <f>"RNCP"&amp;D2835</f>
        <v/>
      </c>
      <c r="F2835" s="48" t="inlineStr">
        <is>
          <t>DIPLOVIS - Diplôme en Management International des Arts Culinaires</t>
        </is>
      </c>
      <c r="G2835" s="49">
        <f>E2835&amp;" - "&amp;F2835</f>
        <v/>
      </c>
      <c r="H2835" s="36" t="inlineStr">
        <is>
          <t>RAS</t>
        </is>
      </c>
      <c r="I2835" s="45" t="inlineStr"/>
      <c r="J2835" s="45" t="inlineStr">
        <is>
          <t>RNCP37932</t>
        </is>
      </c>
      <c r="K2835" s="45" t="inlineStr">
        <is>
          <t>DIPLOVIS - Diplôme en Management International des Arts Culinaires</t>
        </is>
      </c>
      <c r="L2835" s="45" t="inlineStr">
        <is>
          <t>31/12/2030</t>
        </is>
      </c>
      <c r="M2835" s="45" t="inlineStr"/>
      <c r="N2835" s="50" t="inlineStr">
        <is>
          <t>NON</t>
        </is>
      </c>
      <c r="O2835" s="45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TP - Gestionnaire comptable et  fiscal</t>
        </is>
      </c>
      <c r="L2836" s="45" t="inlineStr">
        <is>
          <t>31/12/2030</t>
        </is>
      </c>
      <c r="M2836" s="45" t="inlineStr"/>
      <c r="N2836" s="50" t="inlineStr">
        <is>
          <t>NON</t>
        </is>
      </c>
      <c r="O2836" s="45" t="inlineStr"/>
    </row>
    <row r="2837" customFormat="1" s="4">
      <c r="A2837" s="45" t="n"/>
      <c r="B2837" s="46" t="inlineStr">
        <is>
          <t>32025</t>
        </is>
      </c>
      <c r="C2837" s="46">
        <f>LEFT(Tableau1[[#This Row],[Formacode]],3)</f>
        <v/>
      </c>
      <c r="D2837" s="47" t="n">
        <v>37988</v>
      </c>
      <c r="E2837" s="48">
        <f>"RNCP"&amp;D2837</f>
        <v/>
      </c>
      <c r="F2837" s="48" t="inlineStr">
        <is>
          <t>Diplôme visé - Diplôme supérieur en marketing, vente et gestion</t>
        </is>
      </c>
      <c r="G2837" s="49">
        <f>E2837&amp;" - "&amp;F2837</f>
        <v/>
      </c>
      <c r="H2837" s="36" t="inlineStr">
        <is>
          <t>RAS</t>
        </is>
      </c>
      <c r="I2837" s="45" t="inlineStr"/>
      <c r="J2837" s="45" t="inlineStr">
        <is>
          <t>RNCP37988</t>
        </is>
      </c>
      <c r="K2837" s="45" t="inlineStr">
        <is>
          <t>Diplôme visé - Diplôme supérieur en marketing, vente et gestion</t>
        </is>
      </c>
      <c r="L2837" s="45" t="inlineStr">
        <is>
          <t>31/12/2030</t>
        </is>
      </c>
      <c r="M2837" s="45" t="inlineStr"/>
      <c r="N2837" s="50" t="inlineStr">
        <is>
          <t>NON</t>
        </is>
      </c>
      <c r="O2837" s="45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31/12/2030</t>
        </is>
      </c>
      <c r="M2838" s="45" t="inlineStr"/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31/12/2030</t>
        </is>
      </c>
      <c r="M2839" s="45" t="inlineStr"/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31/12/2030</t>
        </is>
      </c>
      <c r="M2840" s="45" t="inlineStr"/>
      <c r="N2840" s="50" t="inlineStr">
        <is>
          <t>NON</t>
        </is>
      </c>
      <c r="O2840" s="45" t="inlineStr"/>
    </row>
    <row r="2841" customFormat="1" s="4">
      <c r="A2841" s="45" t="n"/>
      <c r="B2841" s="46" t="inlineStr">
        <is>
          <t>32025</t>
        </is>
      </c>
      <c r="C2841" s="46">
        <f>LEFT(Tableau1[[#This Row],[Formacode]],3)</f>
        <v/>
      </c>
      <c r="D2841" s="47" t="n">
        <v>39160</v>
      </c>
      <c r="E2841" s="48">
        <f>"RNCP"&amp;D2841</f>
        <v/>
      </c>
      <c r="F2841" s="48" t="inlineStr">
        <is>
          <t>Diplôme visé grade de master - Programme Grande Ecole</t>
        </is>
      </c>
      <c r="G2841" s="49">
        <f>E2841&amp;" - "&amp;F2841</f>
        <v/>
      </c>
      <c r="H2841" s="36" t="inlineStr">
        <is>
          <t>RAS</t>
        </is>
      </c>
      <c r="I2841" s="45" t="inlineStr"/>
      <c r="J2841" s="45" t="inlineStr">
        <is>
          <t>RNCP39160</t>
        </is>
      </c>
      <c r="K2841" s="45" t="inlineStr">
        <is>
          <t>Diplôme visé grade de master - Programme Grande Ecole</t>
        </is>
      </c>
      <c r="L2841" s="45" t="inlineStr">
        <is>
          <t>31/12/2030</t>
        </is>
      </c>
      <c r="M2841" s="45" t="inlineStr"/>
      <c r="N2841" s="50" t="inlineStr">
        <is>
          <t>NON</t>
        </is>
      </c>
      <c r="O2841" s="45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DIPLOVIS - Diplôme d’Etudes Spécialisées en Management International</t>
        </is>
      </c>
      <c r="L2842" s="45" t="inlineStr">
        <is>
          <t>31/12/2030</t>
        </is>
      </c>
      <c r="M2842" s="45" t="inlineStr"/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31/12/2030</t>
        </is>
      </c>
      <c r="M2843" s="45" t="inlineStr"/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31/12/2030</t>
        </is>
      </c>
      <c r="M2844" s="45" t="inlineStr"/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31/12/2030</t>
        </is>
      </c>
      <c r="M2845" s="45" t="inlineStr"/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31/12/2030</t>
        </is>
      </c>
      <c r="M2846" s="45" t="inlineStr"/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31/12/2030</t>
        </is>
      </c>
      <c r="M2847" s="45" t="inlineStr"/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31/12/2030</t>
        </is>
      </c>
      <c r="M2848" s="45" t="inlineStr"/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31/12/2030</t>
        </is>
      </c>
      <c r="M2849" s="45" t="inlineStr"/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31/12/2030</t>
        </is>
      </c>
      <c r="M2850" s="45" t="inlineStr"/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31/12/2030</t>
        </is>
      </c>
      <c r="M2851" s="45" t="inlineStr"/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31/12/2030</t>
        </is>
      </c>
      <c r="M2852" s="45" t="inlineStr"/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31/12/2030</t>
        </is>
      </c>
      <c r="M2853" s="45" t="inlineStr"/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31/12/2030</t>
        </is>
      </c>
      <c r="M2854" s="45" t="inlineStr"/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DipViGrM - EM Normandie - Programme Grande Ecole</t>
        </is>
      </c>
      <c r="L2855" s="45" t="inlineStr">
        <is>
          <t>31/12/2030</t>
        </is>
      </c>
      <c r="M2855" s="45" t="inlineStr"/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31/12/2030</t>
        </is>
      </c>
      <c r="M2856" s="45" t="inlineStr"/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31/12/2030</t>
        </is>
      </c>
      <c r="M2857" s="45" t="inlineStr"/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31/12/2030</t>
        </is>
      </c>
      <c r="M2858" s="45" t="inlineStr"/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31/12/2030</t>
        </is>
      </c>
      <c r="M2859" s="45" t="inlineStr"/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31/12/2030</t>
        </is>
      </c>
      <c r="M2860" s="45" t="inlineStr"/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DIPLOVIS - Programme supérieur de gestion et de commerce</t>
        </is>
      </c>
      <c r="L2861" s="45" t="inlineStr">
        <is>
          <t>31/12/2030</t>
        </is>
      </c>
      <c r="M2861" s="45" t="inlineStr"/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31/12/2030</t>
        </is>
      </c>
      <c r="M2862" s="45" t="inlineStr"/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DIPLOVIS - Responsable en marketing, commercialisation et gestion</t>
        </is>
      </c>
      <c r="L2863" s="45" t="inlineStr">
        <is>
          <t>31/12/2030</t>
        </is>
      </c>
      <c r="M2863" s="45" t="inlineStr"/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31/12/2030</t>
        </is>
      </c>
      <c r="M2864" s="45" t="inlineStr"/>
      <c r="N2864" s="50" t="inlineStr">
        <is>
          <t>NON</t>
        </is>
      </c>
      <c r="O2864" s="45" t="inlineStr"/>
    </row>
    <row r="2865" customFormat="1" s="4">
      <c r="A2865" s="45" t="n"/>
      <c r="B2865" s="46" t="inlineStr">
        <is>
          <t>32037</t>
        </is>
      </c>
      <c r="C2865" s="46">
        <f>LEFT(Tableau1[[#This Row],[Formacode]],3)</f>
        <v/>
      </c>
      <c r="D2865" s="47" t="n">
        <v>37719</v>
      </c>
      <c r="E2865" s="48">
        <f>"RNCP"&amp;D2865</f>
        <v/>
      </c>
      <c r="F2865" s="48" t="inlineStr">
        <is>
          <t>DIPLOVIS - Diplôme en management international de l'hôtellerie et de la restauration</t>
        </is>
      </c>
      <c r="G2865" s="49">
        <f>E2865&amp;" - "&amp;F2865</f>
        <v/>
      </c>
      <c r="H2865" s="36" t="inlineStr">
        <is>
          <t>RAS</t>
        </is>
      </c>
      <c r="I2865" s="45" t="inlineStr"/>
      <c r="J2865" s="45" t="inlineStr">
        <is>
          <t>RNCP37719</t>
        </is>
      </c>
      <c r="K2865" s="45" t="inlineStr">
        <is>
          <t>DIPLOVIS - Diplôme en management international de l'hôtellerie et de la restauration</t>
        </is>
      </c>
      <c r="L2865" s="45" t="inlineStr">
        <is>
          <t>31/12/2030</t>
        </is>
      </c>
      <c r="M2865" s="45" t="inlineStr"/>
      <c r="N2865" s="50" t="inlineStr">
        <is>
          <t>NON</t>
        </is>
      </c>
      <c r="O2865" s="45" t="inlineStr"/>
    </row>
    <row r="2866" customFormat="1" s="4">
      <c r="A2866" s="45" t="n"/>
      <c r="B2866" s="46" t="inlineStr">
        <is>
          <t>32037</t>
        </is>
      </c>
      <c r="C2866" s="46">
        <f>LEFT(Tableau1[[#This Row],[Formacode]],3)</f>
        <v/>
      </c>
      <c r="D2866" s="47" t="n">
        <v>37932</v>
      </c>
      <c r="E2866" s="48">
        <f>"RNCP"&amp;D2866</f>
        <v/>
      </c>
      <c r="F2866" s="48" t="inlineStr">
        <is>
          <t>DIPLOVIS - Diplôme en Management International des Arts Culinaires</t>
        </is>
      </c>
      <c r="G2866" s="49">
        <f>E2866&amp;" - "&amp;F2866</f>
        <v/>
      </c>
      <c r="H2866" s="36" t="inlineStr">
        <is>
          <t>RAS</t>
        </is>
      </c>
      <c r="I2866" s="45" t="inlineStr"/>
      <c r="J2866" s="45" t="inlineStr">
        <is>
          <t>RNCP37932</t>
        </is>
      </c>
      <c r="K2866" s="45" t="inlineStr">
        <is>
          <t>DIPLOVIS - Diplôme en Management International des Arts Culinaires</t>
        </is>
      </c>
      <c r="L2866" s="45" t="inlineStr">
        <is>
          <t>31/12/2030</t>
        </is>
      </c>
      <c r="M2866" s="45" t="inlineStr"/>
      <c r="N2866" s="50" t="inlineStr">
        <is>
          <t>NON</t>
        </is>
      </c>
      <c r="O2866" s="45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TP - Gestionnaire comptable et  fiscal</t>
        </is>
      </c>
      <c r="L2867" s="45" t="inlineStr">
        <is>
          <t>31/12/2030</t>
        </is>
      </c>
      <c r="M2867" s="45" t="inlineStr"/>
      <c r="N2867" s="50" t="inlineStr">
        <is>
          <t>NON</t>
        </is>
      </c>
      <c r="O2867" s="45" t="inlineStr"/>
    </row>
    <row r="2868" customFormat="1" s="4">
      <c r="A2868" s="45" t="n"/>
      <c r="B2868" s="46" t="inlineStr">
        <is>
          <t>32037</t>
        </is>
      </c>
      <c r="C2868" s="46">
        <f>LEFT(Tableau1[[#This Row],[Formacode]],3)</f>
        <v/>
      </c>
      <c r="D2868" s="47" t="n">
        <v>37988</v>
      </c>
      <c r="E2868" s="48">
        <f>"RNCP"&amp;D2868</f>
        <v/>
      </c>
      <c r="F2868" s="48" t="inlineStr">
        <is>
          <t>Diplôme visé - Diplôme supérieur en marketing, vente et gestion</t>
        </is>
      </c>
      <c r="G2868" s="49">
        <f>E2868&amp;" - "&amp;F2868</f>
        <v/>
      </c>
      <c r="H2868" s="36" t="inlineStr">
        <is>
          <t>RAS</t>
        </is>
      </c>
      <c r="I2868" s="45" t="inlineStr"/>
      <c r="J2868" s="45" t="inlineStr">
        <is>
          <t>RNCP37988</t>
        </is>
      </c>
      <c r="K2868" s="45" t="inlineStr">
        <is>
          <t>Diplôme visé - Diplôme supérieur en marketing, vente et gestion</t>
        </is>
      </c>
      <c r="L2868" s="45" t="inlineStr">
        <is>
          <t>31/12/2030</t>
        </is>
      </c>
      <c r="M2868" s="45" t="inlineStr"/>
      <c r="N2868" s="50" t="inlineStr">
        <is>
          <t>NON</t>
        </is>
      </c>
      <c r="O2868" s="45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31/12/2030</t>
        </is>
      </c>
      <c r="M2869" s="45" t="inlineStr"/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31/12/2030</t>
        </is>
      </c>
      <c r="M2870" s="45" t="inlineStr"/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DIPLOVIS - Programme supérieur de gestion et de commerce</t>
        </is>
      </c>
      <c r="L2871" s="45" t="inlineStr">
        <is>
          <t>31/12/2030</t>
        </is>
      </c>
      <c r="M2871" s="45" t="inlineStr"/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31/12/2030</t>
        </is>
      </c>
      <c r="M2872" s="45" t="inlineStr"/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DIPLOVIS - Responsable en marketing, commercialisation et gestion</t>
        </is>
      </c>
      <c r="L2873" s="45" t="inlineStr">
        <is>
          <t>31/12/2030</t>
        </is>
      </c>
      <c r="M2873" s="45" t="inlineStr"/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31/12/2030</t>
        </is>
      </c>
      <c r="M2874" s="45" t="inlineStr"/>
      <c r="N2874" s="50" t="inlineStr">
        <is>
          <t>NON</t>
        </is>
      </c>
      <c r="O2874" s="45" t="inlineStr"/>
    </row>
    <row r="2875" customFormat="1" s="4">
      <c r="A2875" s="45" t="n"/>
      <c r="B2875" s="46" t="inlineStr">
        <is>
          <t>32043</t>
        </is>
      </c>
      <c r="C2875" s="46">
        <f>LEFT(Tableau1[[#This Row],[Formacode]],3)</f>
        <v/>
      </c>
      <c r="D2875" s="47" t="n">
        <v>37719</v>
      </c>
      <c r="E2875" s="48">
        <f>"RNCP"&amp;D2875</f>
        <v/>
      </c>
      <c r="F2875" s="48" t="inlineStr">
        <is>
          <t>DIPLOVIS - Diplôme en management international de l'hôtellerie et de la restauration</t>
        </is>
      </c>
      <c r="G2875" s="49">
        <f>E2875&amp;" - "&amp;F2875</f>
        <v/>
      </c>
      <c r="H2875" s="36" t="inlineStr">
        <is>
          <t>RAS</t>
        </is>
      </c>
      <c r="I2875" s="45" t="inlineStr"/>
      <c r="J2875" s="45" t="inlineStr">
        <is>
          <t>RNCP37719</t>
        </is>
      </c>
      <c r="K2875" s="45" t="inlineStr">
        <is>
          <t>DIPLOVIS - Diplôme en management international de l'hôtellerie et de la restauration</t>
        </is>
      </c>
      <c r="L2875" s="45" t="inlineStr">
        <is>
          <t>31/12/2030</t>
        </is>
      </c>
      <c r="M2875" s="45" t="inlineStr"/>
      <c r="N2875" s="50" t="inlineStr">
        <is>
          <t>NON</t>
        </is>
      </c>
      <c r="O2875" s="45" t="inlineStr"/>
    </row>
    <row r="2876" customFormat="1" s="4">
      <c r="A2876" s="45" t="n"/>
      <c r="B2876" s="46" t="inlineStr">
        <is>
          <t>32043</t>
        </is>
      </c>
      <c r="C2876" s="46">
        <f>LEFT(Tableau1[[#This Row],[Formacode]],3)</f>
        <v/>
      </c>
      <c r="D2876" s="47" t="n">
        <v>37824</v>
      </c>
      <c r="E2876" s="48">
        <f>"RNCP"&amp;D2876</f>
        <v/>
      </c>
      <c r="F2876" s="48" t="inlineStr">
        <is>
          <t>Expert-conseil en stratégie des filières agricoles et agroalimentaires</t>
        </is>
      </c>
      <c r="G2876" s="49">
        <f>E2876&amp;" - "&amp;F2876</f>
        <v/>
      </c>
      <c r="H2876" s="36" t="inlineStr">
        <is>
          <t>RAS</t>
        </is>
      </c>
      <c r="I2876" s="45" t="inlineStr"/>
      <c r="J2876" s="45" t="inlineStr">
        <is>
          <t>RNCP37824</t>
        </is>
      </c>
      <c r="K2876" s="45" t="inlineStr">
        <is>
          <t>Expert-conseil en stratégie des filières agricoles et agroalimentaires</t>
        </is>
      </c>
      <c r="L2876" s="45" t="inlineStr">
        <is>
          <t>31/12/2030</t>
        </is>
      </c>
      <c r="M2876" s="45" t="inlineStr"/>
      <c r="N2876" s="50" t="inlineStr">
        <is>
          <t>NON</t>
        </is>
      </c>
      <c r="O2876" s="45" t="inlineStr"/>
    </row>
    <row r="2877" customFormat="1" s="4">
      <c r="A2877" s="45" t="n"/>
      <c r="B2877" s="46" t="inlineStr">
        <is>
          <t>32043</t>
        </is>
      </c>
      <c r="C2877" s="46">
        <f>LEFT(Tableau1[[#This Row],[Formacode]],3)</f>
        <v/>
      </c>
      <c r="D2877" s="47" t="n">
        <v>37932</v>
      </c>
      <c r="E2877" s="48">
        <f>"RNCP"&amp;D2877</f>
        <v/>
      </c>
      <c r="F2877" s="48" t="inlineStr">
        <is>
          <t>DIPLOVIS - Diplôme en Management International des Arts Culinaires</t>
        </is>
      </c>
      <c r="G2877" s="49">
        <f>E2877&amp;" - "&amp;F2877</f>
        <v/>
      </c>
      <c r="H2877" s="36" t="inlineStr">
        <is>
          <t>RAS</t>
        </is>
      </c>
      <c r="I2877" s="45" t="inlineStr"/>
      <c r="J2877" s="45" t="inlineStr">
        <is>
          <t>RNCP37932</t>
        </is>
      </c>
      <c r="K2877" s="45" t="inlineStr">
        <is>
          <t>DIPLOVIS - Diplôme en Management International des Arts Culinaires</t>
        </is>
      </c>
      <c r="L2877" s="45" t="inlineStr">
        <is>
          <t>31/12/2030</t>
        </is>
      </c>
      <c r="M2877" s="45" t="inlineStr"/>
      <c r="N2877" s="50" t="inlineStr">
        <is>
          <t>NON</t>
        </is>
      </c>
      <c r="O2877" s="45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TP - Gestionnaire comptable et  fiscal</t>
        </is>
      </c>
      <c r="L2878" s="45" t="inlineStr">
        <is>
          <t>31/12/2030</t>
        </is>
      </c>
      <c r="M2878" s="45" t="inlineStr"/>
      <c r="N2878" s="50" t="inlineStr">
        <is>
          <t>NON</t>
        </is>
      </c>
      <c r="O2878" s="45" t="inlineStr"/>
    </row>
    <row r="2879" customFormat="1" s="4">
      <c r="A2879" s="45" t="n"/>
      <c r="B2879" s="46" t="inlineStr">
        <is>
          <t>32043</t>
        </is>
      </c>
      <c r="C2879" s="46">
        <f>LEFT(Tableau1[[#This Row],[Formacode]],3)</f>
        <v/>
      </c>
      <c r="D2879" s="47" t="n">
        <v>37988</v>
      </c>
      <c r="E2879" s="48">
        <f>"RNCP"&amp;D2879</f>
        <v/>
      </c>
      <c r="F2879" s="48" t="inlineStr">
        <is>
          <t>Diplôme visé - Diplôme supérieur en marketing, vente et gestion</t>
        </is>
      </c>
      <c r="G2879" s="49">
        <f>E2879&amp;" - "&amp;F2879</f>
        <v/>
      </c>
      <c r="H2879" s="36" t="inlineStr">
        <is>
          <t>RAS</t>
        </is>
      </c>
      <c r="I2879" s="45" t="inlineStr"/>
      <c r="J2879" s="45" t="inlineStr">
        <is>
          <t>RNCP37988</t>
        </is>
      </c>
      <c r="K2879" s="45" t="inlineStr">
        <is>
          <t>Diplôme visé - Diplôme supérieur en marketing, vente et gestion</t>
        </is>
      </c>
      <c r="L2879" s="45" t="inlineStr">
        <is>
          <t>31/12/2030</t>
        </is>
      </c>
      <c r="M2879" s="45" t="inlineStr"/>
      <c r="N2879" s="50" t="inlineStr">
        <is>
          <t>NON</t>
        </is>
      </c>
      <c r="O2879" s="45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31/12/2030</t>
        </is>
      </c>
      <c r="M2880" s="45" t="inlineStr"/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31/12/2030</t>
        </is>
      </c>
      <c r="M2881" s="45" t="inlineStr"/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31/12/2030</t>
        </is>
      </c>
      <c r="M2882" s="45" t="inlineStr"/>
      <c r="N2882" s="50" t="inlineStr">
        <is>
          <t>NON</t>
        </is>
      </c>
      <c r="O2882" s="45" t="inlineStr"/>
    </row>
    <row r="2883" customFormat="1" s="4">
      <c r="A2883" s="45" t="n"/>
      <c r="B2883" s="46" t="inlineStr">
        <is>
          <t>32043</t>
        </is>
      </c>
      <c r="C2883" s="46">
        <f>LEFT(Tableau1[[#This Row],[Formacode]],3)</f>
        <v/>
      </c>
      <c r="D2883" s="47" t="n">
        <v>39786</v>
      </c>
      <c r="E2883" s="48">
        <f>"RNCP"&amp;D2883</f>
        <v/>
      </c>
      <c r="F2883" s="48" t="inlineStr">
        <is>
          <t>Coach professionnel</t>
        </is>
      </c>
      <c r="G2883" s="49">
        <f>E2883&amp;" - "&amp;F2883</f>
        <v/>
      </c>
      <c r="H2883" s="36" t="inlineStr">
        <is>
          <t>RAS</t>
        </is>
      </c>
      <c r="I2883" s="45" t="inlineStr"/>
      <c r="J2883" s="45" t="inlineStr">
        <is>
          <t>RNCP39786</t>
        </is>
      </c>
      <c r="K2883" s="45" t="inlineStr">
        <is>
          <t>Coach professionnel</t>
        </is>
      </c>
      <c r="L2883" s="45" t="inlineStr">
        <is>
          <t>31/12/2030</t>
        </is>
      </c>
      <c r="M2883" s="45" t="inlineStr"/>
      <c r="N2883" s="50" t="inlineStr">
        <is>
          <t>NON</t>
        </is>
      </c>
      <c r="O2883" s="45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31/12/2030</t>
        </is>
      </c>
      <c r="M2884" s="45" t="inlineStr"/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31/12/2030</t>
        </is>
      </c>
      <c r="M2885" s="45" t="inlineStr"/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DIPLOVIS - Programme supérieur de gestion et de commerce</t>
        </is>
      </c>
      <c r="L2886" s="45" t="inlineStr">
        <is>
          <t>31/12/2030</t>
        </is>
      </c>
      <c r="M2886" s="45" t="inlineStr"/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31/12/2030</t>
        </is>
      </c>
      <c r="M2887" s="45" t="inlineStr"/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DIPLOVIS - Responsable en marketing, commercialisation et gestion</t>
        </is>
      </c>
      <c r="L2888" s="45" t="inlineStr">
        <is>
          <t>31/12/2030</t>
        </is>
      </c>
      <c r="M2888" s="45" t="inlineStr"/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31/12/2030</t>
        </is>
      </c>
      <c r="M2889" s="45" t="inlineStr"/>
      <c r="N2889" s="50" t="inlineStr">
        <is>
          <t>NON</t>
        </is>
      </c>
      <c r="O2889" s="45" t="inlineStr"/>
    </row>
    <row r="2890" customFormat="1" s="4">
      <c r="A2890" s="45" t="n"/>
      <c r="B2890" s="46" t="inlineStr">
        <is>
          <t>32047</t>
        </is>
      </c>
      <c r="C2890" s="46">
        <f>LEFT(Tableau1[[#This Row],[Formacode]],3)</f>
        <v/>
      </c>
      <c r="D2890" s="47" t="n">
        <v>37719</v>
      </c>
      <c r="E2890" s="48">
        <f>"RNCP"&amp;D2890</f>
        <v/>
      </c>
      <c r="F2890" s="48" t="inlineStr">
        <is>
          <t>DIPLOVIS - Diplôme en management international de l'hôtellerie et de la restauration</t>
        </is>
      </c>
      <c r="G2890" s="49">
        <f>E2890&amp;" - "&amp;F2890</f>
        <v/>
      </c>
      <c r="H2890" s="36" t="inlineStr">
        <is>
          <t>RAS</t>
        </is>
      </c>
      <c r="I2890" s="45" t="inlineStr"/>
      <c r="J2890" s="45" t="inlineStr">
        <is>
          <t>RNCP37719</t>
        </is>
      </c>
      <c r="K2890" s="45" t="inlineStr">
        <is>
          <t>DIPLOVIS - Diplôme en management international de l'hôtellerie et de la restauration</t>
        </is>
      </c>
      <c r="L2890" s="45" t="inlineStr">
        <is>
          <t>31/12/2030</t>
        </is>
      </c>
      <c r="M2890" s="45" t="inlineStr"/>
      <c r="N2890" s="50" t="inlineStr">
        <is>
          <t>NON</t>
        </is>
      </c>
      <c r="O2890" s="45" t="inlineStr"/>
    </row>
    <row r="2891" customFormat="1" s="4">
      <c r="A2891" s="45" t="n"/>
      <c r="B2891" s="46" t="inlineStr">
        <is>
          <t>32047</t>
        </is>
      </c>
      <c r="C2891" s="46">
        <f>LEFT(Tableau1[[#This Row],[Formacode]],3)</f>
        <v/>
      </c>
      <c r="D2891" s="47" t="n">
        <v>37932</v>
      </c>
      <c r="E2891" s="48">
        <f>"RNCP"&amp;D2891</f>
        <v/>
      </c>
      <c r="F2891" s="48" t="inlineStr">
        <is>
          <t>DIPLOVIS - Diplôme en Management International des Arts Culinaires</t>
        </is>
      </c>
      <c r="G2891" s="49">
        <f>E2891&amp;" - "&amp;F2891</f>
        <v/>
      </c>
      <c r="H2891" s="36" t="inlineStr">
        <is>
          <t>RAS</t>
        </is>
      </c>
      <c r="I2891" s="45" t="inlineStr"/>
      <c r="J2891" s="45" t="inlineStr">
        <is>
          <t>RNCP37932</t>
        </is>
      </c>
      <c r="K2891" s="45" t="inlineStr">
        <is>
          <t>DIPLOVIS - Diplôme en Management International des Arts Culinaires</t>
        </is>
      </c>
      <c r="L2891" s="45" t="inlineStr">
        <is>
          <t>31/12/2030</t>
        </is>
      </c>
      <c r="M2891" s="45" t="inlineStr"/>
      <c r="N2891" s="50" t="inlineStr">
        <is>
          <t>NON</t>
        </is>
      </c>
      <c r="O2891" s="45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TP - Gestionnaire comptable et  fiscal</t>
        </is>
      </c>
      <c r="L2892" s="45" t="inlineStr">
        <is>
          <t>31/12/2030</t>
        </is>
      </c>
      <c r="M2892" s="45" t="inlineStr"/>
      <c r="N2892" s="50" t="inlineStr">
        <is>
          <t>NON</t>
        </is>
      </c>
      <c r="O2892" s="45" t="inlineStr"/>
    </row>
    <row r="2893" customFormat="1" s="4">
      <c r="A2893" s="45" t="n"/>
      <c r="B2893" s="46" t="inlineStr">
        <is>
          <t>32047</t>
        </is>
      </c>
      <c r="C2893" s="46">
        <f>LEFT(Tableau1[[#This Row],[Formacode]],3)</f>
        <v/>
      </c>
      <c r="D2893" s="47" t="n">
        <v>37988</v>
      </c>
      <c r="E2893" s="48">
        <f>"RNCP"&amp;D2893</f>
        <v/>
      </c>
      <c r="F2893" s="48" t="inlineStr">
        <is>
          <t>Diplôme visé - Diplôme supérieur en marketing, vente et gestion</t>
        </is>
      </c>
      <c r="G2893" s="49">
        <f>E2893&amp;" - "&amp;F2893</f>
        <v/>
      </c>
      <c r="H2893" s="36" t="inlineStr">
        <is>
          <t>RAS</t>
        </is>
      </c>
      <c r="I2893" s="45" t="inlineStr"/>
      <c r="J2893" s="45" t="inlineStr">
        <is>
          <t>RNCP37988</t>
        </is>
      </c>
      <c r="K2893" s="45" t="inlineStr">
        <is>
          <t>Diplôme visé - Diplôme supérieur en marketing, vente et gestion</t>
        </is>
      </c>
      <c r="L2893" s="45" t="inlineStr">
        <is>
          <t>31/12/2030</t>
        </is>
      </c>
      <c r="M2893" s="45" t="inlineStr"/>
      <c r="N2893" s="50" t="inlineStr">
        <is>
          <t>NON</t>
        </is>
      </c>
      <c r="O2893" s="45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31/12/2030</t>
        </is>
      </c>
      <c r="M2894" s="45" t="inlineStr"/>
      <c r="N2894" s="50" t="inlineStr">
        <is>
          <t>NON</t>
        </is>
      </c>
      <c r="O2894" s="45" t="inlineStr"/>
    </row>
    <row r="2895" customFormat="1" s="4">
      <c r="A2895" s="45" t="n"/>
      <c r="B2895" s="46" t="inlineStr">
        <is>
          <t>32047</t>
        </is>
      </c>
      <c r="C2895" s="46">
        <f>LEFT(Tableau1[[#This Row],[Formacode]],3)</f>
        <v/>
      </c>
      <c r="D2895" s="47" t="n">
        <v>39160</v>
      </c>
      <c r="E2895" s="48">
        <f>"RNCP"&amp;D2895</f>
        <v/>
      </c>
      <c r="F2895" s="48" t="inlineStr">
        <is>
          <t>Diplôme visé grade de master - Programme Grande Ecole</t>
        </is>
      </c>
      <c r="G2895" s="49">
        <f>E2895&amp;" - "&amp;F2895</f>
        <v/>
      </c>
      <c r="H2895" s="36" t="inlineStr">
        <is>
          <t>RAS</t>
        </is>
      </c>
      <c r="I2895" s="45" t="inlineStr"/>
      <c r="J2895" s="45" t="inlineStr">
        <is>
          <t>RNCP39160</t>
        </is>
      </c>
      <c r="K2895" s="45" t="inlineStr">
        <is>
          <t>Diplôme visé grade de master - Programme Grande Ecole</t>
        </is>
      </c>
      <c r="L2895" s="45" t="inlineStr">
        <is>
          <t>31/12/2030</t>
        </is>
      </c>
      <c r="M2895" s="45" t="inlineStr"/>
      <c r="N2895" s="50" t="inlineStr">
        <is>
          <t>NON</t>
        </is>
      </c>
      <c r="O2895" s="45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31/12/2030</t>
        </is>
      </c>
      <c r="M2896" s="45" t="inlineStr"/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BTSA - ACS'AGRI : Analyse, Conduite et Stratégie de l'entreprise Agricole</t>
        </is>
      </c>
      <c r="L2897" s="45" t="inlineStr">
        <is>
          <t>31/12/2030</t>
        </is>
      </c>
      <c r="M2897" s="45" t="inlineStr"/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31/12/2030</t>
        </is>
      </c>
      <c r="M2898" s="45" t="inlineStr"/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31/12/2030</t>
        </is>
      </c>
      <c r="M2899" s="45" t="inlineStr"/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31/12/2030</t>
        </is>
      </c>
      <c r="M2900" s="45" t="inlineStr"/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DIPLOVIS - Programme supérieur de gestion et de commerce</t>
        </is>
      </c>
      <c r="L2901" s="45" t="inlineStr">
        <is>
          <t>31/12/2030</t>
        </is>
      </c>
      <c r="M2901" s="45" t="inlineStr"/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31/12/2030</t>
        </is>
      </c>
      <c r="M2902" s="45" t="inlineStr"/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DIPLOVIS - Responsable en marketing, commercialisation et gestion</t>
        </is>
      </c>
      <c r="L2903" s="45" t="inlineStr">
        <is>
          <t>31/12/2030</t>
        </is>
      </c>
      <c r="M2903" s="45" t="inlineStr"/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31/12/2030</t>
        </is>
      </c>
      <c r="M2904" s="45" t="inlineStr"/>
      <c r="N2904" s="50" t="inlineStr">
        <is>
          <t>NON</t>
        </is>
      </c>
      <c r="O2904" s="45" t="inlineStr"/>
    </row>
    <row r="2905" customFormat="1" s="4">
      <c r="A2905" s="45" t="n"/>
      <c r="B2905" s="46" t="inlineStr">
        <is>
          <t>32048</t>
        </is>
      </c>
      <c r="C2905" s="46">
        <f>LEFT(Tableau1[[#This Row],[Formacode]],3)</f>
        <v/>
      </c>
      <c r="D2905" s="47" t="n">
        <v>37719</v>
      </c>
      <c r="E2905" s="48">
        <f>"RNCP"&amp;D2905</f>
        <v/>
      </c>
      <c r="F2905" s="48" t="inlineStr">
        <is>
          <t>DIPLOVIS - Diplôme en management international de l'hôtellerie et de la restauration</t>
        </is>
      </c>
      <c r="G2905" s="49">
        <f>E2905&amp;" - "&amp;F2905</f>
        <v/>
      </c>
      <c r="H2905" s="36" t="inlineStr">
        <is>
          <t>RAS</t>
        </is>
      </c>
      <c r="I2905" s="45" t="inlineStr"/>
      <c r="J2905" s="45" t="inlineStr">
        <is>
          <t>RNCP37719</t>
        </is>
      </c>
      <c r="K2905" s="45" t="inlineStr">
        <is>
          <t>DIPLOVIS - Diplôme en management international de l'hôtellerie et de la restauration</t>
        </is>
      </c>
      <c r="L2905" s="45" t="inlineStr">
        <is>
          <t>31/12/2030</t>
        </is>
      </c>
      <c r="M2905" s="45" t="inlineStr"/>
      <c r="N2905" s="50" t="inlineStr">
        <is>
          <t>NON</t>
        </is>
      </c>
      <c r="O2905" s="45" t="inlineStr"/>
    </row>
    <row r="2906" customFormat="1" s="4">
      <c r="A2906" s="45" t="n"/>
      <c r="B2906" s="46" t="inlineStr">
        <is>
          <t>32048</t>
        </is>
      </c>
      <c r="C2906" s="46">
        <f>LEFT(Tableau1[[#This Row],[Formacode]],3)</f>
        <v/>
      </c>
      <c r="D2906" s="47" t="n">
        <v>37932</v>
      </c>
      <c r="E2906" s="48">
        <f>"RNCP"&amp;D2906</f>
        <v/>
      </c>
      <c r="F2906" s="48" t="inlineStr">
        <is>
          <t>DIPLOVIS - Diplôme en Management International des Arts Culinaires</t>
        </is>
      </c>
      <c r="G2906" s="49">
        <f>E2906&amp;" - "&amp;F2906</f>
        <v/>
      </c>
      <c r="H2906" s="36" t="inlineStr">
        <is>
          <t>RAS</t>
        </is>
      </c>
      <c r="I2906" s="45" t="inlineStr"/>
      <c r="J2906" s="45" t="inlineStr">
        <is>
          <t>RNCP37932</t>
        </is>
      </c>
      <c r="K2906" s="45" t="inlineStr">
        <is>
          <t>DIPLOVIS - Diplôme en Management International des Arts Culinaires</t>
        </is>
      </c>
      <c r="L2906" s="45" t="inlineStr">
        <is>
          <t>31/12/2030</t>
        </is>
      </c>
      <c r="M2906" s="45" t="inlineStr"/>
      <c r="N2906" s="50" t="inlineStr">
        <is>
          <t>NON</t>
        </is>
      </c>
      <c r="O2906" s="45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TP - Gestionnaire comptable et  fiscal</t>
        </is>
      </c>
      <c r="L2907" s="45" t="inlineStr">
        <is>
          <t>31/12/2030</t>
        </is>
      </c>
      <c r="M2907" s="45" t="inlineStr"/>
      <c r="N2907" s="50" t="inlineStr">
        <is>
          <t>NON</t>
        </is>
      </c>
      <c r="O2907" s="45" t="inlineStr"/>
    </row>
    <row r="2908" customFormat="1" s="4">
      <c r="A2908" s="45" t="n"/>
      <c r="B2908" s="46" t="inlineStr">
        <is>
          <t>32048</t>
        </is>
      </c>
      <c r="C2908" s="46">
        <f>LEFT(Tableau1[[#This Row],[Formacode]],3)</f>
        <v/>
      </c>
      <c r="D2908" s="47" t="n">
        <v>37988</v>
      </c>
      <c r="E2908" s="48">
        <f>"RNCP"&amp;D2908</f>
        <v/>
      </c>
      <c r="F2908" s="48" t="inlineStr">
        <is>
          <t>Diplôme visé - Diplôme supérieur en marketing, vente et gestion</t>
        </is>
      </c>
      <c r="G2908" s="49">
        <f>E2908&amp;" - "&amp;F2908</f>
        <v/>
      </c>
      <c r="H2908" s="36" t="inlineStr">
        <is>
          <t>RAS</t>
        </is>
      </c>
      <c r="I2908" s="45" t="inlineStr"/>
      <c r="J2908" s="45" t="inlineStr">
        <is>
          <t>RNCP37988</t>
        </is>
      </c>
      <c r="K2908" s="45" t="inlineStr">
        <is>
          <t>Diplôme visé - Diplôme supérieur en marketing, vente et gestion</t>
        </is>
      </c>
      <c r="L2908" s="45" t="inlineStr">
        <is>
          <t>31/12/2030</t>
        </is>
      </c>
      <c r="M2908" s="45" t="inlineStr"/>
      <c r="N2908" s="50" t="inlineStr">
        <is>
          <t>NON</t>
        </is>
      </c>
      <c r="O2908" s="45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31/12/2030</t>
        </is>
      </c>
      <c r="M2909" s="45" t="inlineStr"/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31/12/2030</t>
        </is>
      </c>
      <c r="M2910" s="45" t="inlineStr"/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DIPLOVIS - Programme supérieur de gestion et de commerce</t>
        </is>
      </c>
      <c r="L2911" s="45" t="inlineStr">
        <is>
          <t>31/12/2030</t>
        </is>
      </c>
      <c r="M2911" s="45" t="inlineStr"/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31/12/2030</t>
        </is>
      </c>
      <c r="M2912" s="45" t="inlineStr"/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DIPLOVIS - Responsable en marketing, commercialisation et gestion</t>
        </is>
      </c>
      <c r="L2913" s="45" t="inlineStr">
        <is>
          <t>31/12/2030</t>
        </is>
      </c>
      <c r="M2913" s="45" t="inlineStr"/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31/12/2030</t>
        </is>
      </c>
      <c r="M2914" s="45" t="inlineStr"/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31/12/2030</t>
        </is>
      </c>
      <c r="M2915" s="45" t="inlineStr"/>
      <c r="N2915" s="50" t="inlineStr">
        <is>
          <t>NON</t>
        </is>
      </c>
      <c r="O2915" s="45" t="inlineStr"/>
    </row>
    <row r="2916" customFormat="1" s="4">
      <c r="A2916" s="45" t="n"/>
      <c r="B2916" s="46" t="inlineStr">
        <is>
          <t>32062</t>
        </is>
      </c>
      <c r="C2916" s="46">
        <f>LEFT(Tableau1[[#This Row],[Formacode]],3)</f>
        <v/>
      </c>
      <c r="D2916" s="47" t="n">
        <v>37719</v>
      </c>
      <c r="E2916" s="48">
        <f>"RNCP"&amp;D2916</f>
        <v/>
      </c>
      <c r="F2916" s="48" t="inlineStr">
        <is>
          <t>DIPLOVIS - Diplôme en management international de l'hôtellerie et de la restauration</t>
        </is>
      </c>
      <c r="G2916" s="49">
        <f>E2916&amp;" - "&amp;F2916</f>
        <v/>
      </c>
      <c r="H2916" s="36" t="inlineStr">
        <is>
          <t>RAS</t>
        </is>
      </c>
      <c r="I2916" s="45" t="inlineStr"/>
      <c r="J2916" s="45" t="inlineStr">
        <is>
          <t>RNCP37719</t>
        </is>
      </c>
      <c r="K2916" s="45" t="inlineStr">
        <is>
          <t>DIPLOVIS - Diplôme en management international de l'hôtellerie et de la restauration</t>
        </is>
      </c>
      <c r="L2916" s="45" t="inlineStr">
        <is>
          <t>31/12/2030</t>
        </is>
      </c>
      <c r="M2916" s="45" t="inlineStr"/>
      <c r="N2916" s="50" t="inlineStr">
        <is>
          <t>NON</t>
        </is>
      </c>
      <c r="O2916" s="45" t="inlineStr"/>
    </row>
    <row r="2917" customFormat="1" s="4">
      <c r="A2917" s="45" t="n"/>
      <c r="B2917" s="46" t="inlineStr">
        <is>
          <t>32062</t>
        </is>
      </c>
      <c r="C2917" s="46">
        <f>LEFT(Tableau1[[#This Row],[Formacode]],3)</f>
        <v/>
      </c>
      <c r="D2917" s="47" t="n">
        <v>37932</v>
      </c>
      <c r="E2917" s="48">
        <f>"RNCP"&amp;D2917</f>
        <v/>
      </c>
      <c r="F2917" s="48" t="inlineStr">
        <is>
          <t>DIPLOVIS - Diplôme en Management International des Arts Culinaires</t>
        </is>
      </c>
      <c r="G2917" s="49">
        <f>E2917&amp;" - "&amp;F2917</f>
        <v/>
      </c>
      <c r="H2917" s="36" t="inlineStr">
        <is>
          <t>RAS</t>
        </is>
      </c>
      <c r="I2917" s="45" t="inlineStr"/>
      <c r="J2917" s="45" t="inlineStr">
        <is>
          <t>RNCP37932</t>
        </is>
      </c>
      <c r="K2917" s="45" t="inlineStr">
        <is>
          <t>DIPLOVIS - Diplôme en Management International des Arts Culinaires</t>
        </is>
      </c>
      <c r="L2917" s="45" t="inlineStr">
        <is>
          <t>31/12/2030</t>
        </is>
      </c>
      <c r="M2917" s="45" t="inlineStr"/>
      <c r="N2917" s="50" t="inlineStr">
        <is>
          <t>NON</t>
        </is>
      </c>
      <c r="O2917" s="45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TP - Gestionnaire comptable et  fiscal</t>
        </is>
      </c>
      <c r="L2918" s="45" t="inlineStr">
        <is>
          <t>31/12/2030</t>
        </is>
      </c>
      <c r="M2918" s="45" t="inlineStr"/>
      <c r="N2918" s="50" t="inlineStr">
        <is>
          <t>NON</t>
        </is>
      </c>
      <c r="O2918" s="45" t="inlineStr"/>
    </row>
    <row r="2919" customFormat="1" s="4">
      <c r="A2919" s="45" t="n"/>
      <c r="B2919" s="46" t="inlineStr">
        <is>
          <t>32062</t>
        </is>
      </c>
      <c r="C2919" s="46">
        <f>LEFT(Tableau1[[#This Row],[Formacode]],3)</f>
        <v/>
      </c>
      <c r="D2919" s="47" t="n">
        <v>37988</v>
      </c>
      <c r="E2919" s="48">
        <f>"RNCP"&amp;D2919</f>
        <v/>
      </c>
      <c r="F2919" s="48" t="inlineStr">
        <is>
          <t>Diplôme visé - Diplôme supérieur en marketing, vente et gestion</t>
        </is>
      </c>
      <c r="G2919" s="49">
        <f>E2919&amp;" - "&amp;F2919</f>
        <v/>
      </c>
      <c r="H2919" s="36" t="inlineStr">
        <is>
          <t>RAS</t>
        </is>
      </c>
      <c r="I2919" s="45" t="inlineStr"/>
      <c r="J2919" s="45" t="inlineStr">
        <is>
          <t>RNCP37988</t>
        </is>
      </c>
      <c r="K2919" s="45" t="inlineStr">
        <is>
          <t>Diplôme visé - Diplôme supérieur en marketing, vente et gestion</t>
        </is>
      </c>
      <c r="L2919" s="45" t="inlineStr">
        <is>
          <t>31/12/2030</t>
        </is>
      </c>
      <c r="M2919" s="45" t="inlineStr"/>
      <c r="N2919" s="50" t="inlineStr">
        <is>
          <t>NON</t>
        </is>
      </c>
      <c r="O2919" s="45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TP - Conducteur d'équipements agroalimentaires</t>
        </is>
      </c>
      <c r="L2920" s="45" t="inlineStr">
        <is>
          <t>31/12/2030</t>
        </is>
      </c>
      <c r="M2920" s="45" t="inlineStr"/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31/12/2030</t>
        </is>
      </c>
      <c r="M2921" s="45" t="inlineStr"/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Diplôme visé - Expert en Ingénierie Informatique et Innovation Numérique</t>
        </is>
      </c>
      <c r="L2922" s="45" t="inlineStr">
        <is>
          <t>31/12/2030</t>
        </is>
      </c>
      <c r="M2922" s="45" t="inlineStr"/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Titre ingénieur - Ingénieur diplômé de l'Institut supérieur d'électronique de Paris</t>
        </is>
      </c>
      <c r="L2923" s="45" t="inlineStr">
        <is>
          <t>31/12/2030</t>
        </is>
      </c>
      <c r="M2923" s="45" t="inlineStr"/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31/12/2030</t>
        </is>
      </c>
      <c r="M2924" s="45" t="inlineStr"/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Titre ingénieur - Diplôme d'ingénieur d'Efrei Paris (Université Paris- Panthéon Assas)</t>
        </is>
      </c>
      <c r="L2925" s="45" t="inlineStr">
        <is>
          <t>31/12/2030</t>
        </is>
      </c>
      <c r="M2925" s="45" t="inlineStr"/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31/12/2030</t>
        </is>
      </c>
      <c r="M2926" s="45" t="inlineStr"/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31/12/2030</t>
        </is>
      </c>
      <c r="M2927" s="45" t="inlineStr"/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Grade_Master - Créateur industriel</t>
        </is>
      </c>
      <c r="L2928" s="45" t="inlineStr">
        <is>
          <t>31/12/2030</t>
        </is>
      </c>
      <c r="M2928" s="45" t="inlineStr"/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Grade_Master - Designer textile</t>
        </is>
      </c>
      <c r="L2929" s="45" t="inlineStr">
        <is>
          <t>31/12/2030</t>
        </is>
      </c>
      <c r="M2929" s="45" t="inlineStr"/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Titre ingénieur - Ingénieur diplômé de l’ESIEE IT - CCI Paris Ile-de-France Éducation</t>
        </is>
      </c>
      <c r="L2930" s="45" t="inlineStr">
        <is>
          <t>31/12/2030</t>
        </is>
      </c>
      <c r="M2930" s="45" t="inlineStr"/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DIPLOVIS - Programme supérieur de gestion et de commerce</t>
        </is>
      </c>
      <c r="L2931" s="45" t="inlineStr">
        <is>
          <t>31/12/2030</t>
        </is>
      </c>
      <c r="M2931" s="45" t="inlineStr"/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31/12/2030</t>
        </is>
      </c>
      <c r="M2932" s="45" t="inlineStr"/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DIPLOVIS - Responsable en marketing, commercialisation et gestion</t>
        </is>
      </c>
      <c r="L2933" s="45" t="inlineStr">
        <is>
          <t>31/12/2030</t>
        </is>
      </c>
      <c r="M2933" s="45" t="inlineStr"/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31/12/2030</t>
        </is>
      </c>
      <c r="M2934" s="45" t="inlineStr"/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31/12/2030</t>
        </is>
      </c>
      <c r="M2935" s="45" t="inlineStr"/>
      <c r="N2935" s="50" t="inlineStr">
        <is>
          <t>NON</t>
        </is>
      </c>
      <c r="O2935" s="45" t="inlineStr"/>
    </row>
    <row r="2936" customFormat="1" s="4">
      <c r="A2936" s="45" t="n"/>
      <c r="B2936" s="46" t="inlineStr">
        <is>
          <t>32066</t>
        </is>
      </c>
      <c r="C2936" s="46">
        <f>LEFT(Tableau1[[#This Row],[Formacode]],3)</f>
        <v/>
      </c>
      <c r="D2936" s="47" t="n">
        <v>37719</v>
      </c>
      <c r="E2936" s="48">
        <f>"RNCP"&amp;D2936</f>
        <v/>
      </c>
      <c r="F2936" s="48" t="inlineStr">
        <is>
          <t>DIPLOVIS - Diplôme en management international de l'hôtellerie et de la restauration</t>
        </is>
      </c>
      <c r="G2936" s="49">
        <f>E2936&amp;" - "&amp;F2936</f>
        <v/>
      </c>
      <c r="H2936" s="36" t="inlineStr">
        <is>
          <t>RAS</t>
        </is>
      </c>
      <c r="I2936" s="45" t="inlineStr"/>
      <c r="J2936" s="45" t="inlineStr">
        <is>
          <t>RNCP37719</t>
        </is>
      </c>
      <c r="K2936" s="45" t="inlineStr">
        <is>
          <t>DIPLOVIS - Diplôme en management international de l'hôtellerie et de la restauration</t>
        </is>
      </c>
      <c r="L2936" s="45" t="inlineStr">
        <is>
          <t>31/12/2030</t>
        </is>
      </c>
      <c r="M2936" s="45" t="inlineStr"/>
      <c r="N2936" s="50" t="inlineStr">
        <is>
          <t>NON</t>
        </is>
      </c>
      <c r="O2936" s="45" t="inlineStr"/>
    </row>
    <row r="2937" customFormat="1" s="4">
      <c r="A2937" s="45" t="n"/>
      <c r="B2937" s="46" t="inlineStr">
        <is>
          <t>32066</t>
        </is>
      </c>
      <c r="C2937" s="46">
        <f>LEFT(Tableau1[[#This Row],[Formacode]],3)</f>
        <v/>
      </c>
      <c r="D2937" s="47" t="n">
        <v>37932</v>
      </c>
      <c r="E2937" s="48">
        <f>"RNCP"&amp;D2937</f>
        <v/>
      </c>
      <c r="F2937" s="48" t="inlineStr">
        <is>
          <t>DIPLOVIS - Diplôme en Management International des Arts Culinaires</t>
        </is>
      </c>
      <c r="G2937" s="49">
        <f>E2937&amp;" - "&amp;F2937</f>
        <v/>
      </c>
      <c r="H2937" s="36" t="inlineStr">
        <is>
          <t>RAS</t>
        </is>
      </c>
      <c r="I2937" s="45" t="inlineStr"/>
      <c r="J2937" s="45" t="inlineStr">
        <is>
          <t>RNCP37932</t>
        </is>
      </c>
      <c r="K2937" s="45" t="inlineStr">
        <is>
          <t>DIPLOVIS - Diplôme en Management International des Arts Culinaires</t>
        </is>
      </c>
      <c r="L2937" s="45" t="inlineStr">
        <is>
          <t>31/12/2030</t>
        </is>
      </c>
      <c r="M2937" s="45" t="inlineStr"/>
      <c r="N2937" s="50" t="inlineStr">
        <is>
          <t>NON</t>
        </is>
      </c>
      <c r="O2937" s="45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TP - Gestionnaire comptable et  fiscal</t>
        </is>
      </c>
      <c r="L2938" s="45" t="inlineStr">
        <is>
          <t>31/12/2030</t>
        </is>
      </c>
      <c r="M2938" s="45" t="inlineStr"/>
      <c r="N2938" s="50" t="inlineStr">
        <is>
          <t>NON</t>
        </is>
      </c>
      <c r="O2938" s="45" t="inlineStr"/>
    </row>
    <row r="2939" customFormat="1" s="4">
      <c r="A2939" s="45" t="n"/>
      <c r="B2939" s="46" t="inlineStr">
        <is>
          <t>32066</t>
        </is>
      </c>
      <c r="C2939" s="46">
        <f>LEFT(Tableau1[[#This Row],[Formacode]],3)</f>
        <v/>
      </c>
      <c r="D2939" s="47" t="n">
        <v>37988</v>
      </c>
      <c r="E2939" s="48">
        <f>"RNCP"&amp;D2939</f>
        <v/>
      </c>
      <c r="F2939" s="48" t="inlineStr">
        <is>
          <t>Diplôme visé - Diplôme supérieur en marketing, vente et gestion</t>
        </is>
      </c>
      <c r="G2939" s="49">
        <f>E2939&amp;" - "&amp;F2939</f>
        <v/>
      </c>
      <c r="H2939" s="36" t="inlineStr">
        <is>
          <t>RAS</t>
        </is>
      </c>
      <c r="I2939" s="45" t="inlineStr"/>
      <c r="J2939" s="45" t="inlineStr">
        <is>
          <t>RNCP37988</t>
        </is>
      </c>
      <c r="K2939" s="45" t="inlineStr">
        <is>
          <t>Diplôme visé - Diplôme supérieur en marketing, vente et gestion</t>
        </is>
      </c>
      <c r="L2939" s="45" t="inlineStr">
        <is>
          <t>31/12/2030</t>
        </is>
      </c>
      <c r="M2939" s="45" t="inlineStr"/>
      <c r="N2939" s="50" t="inlineStr">
        <is>
          <t>NON</t>
        </is>
      </c>
      <c r="O2939" s="45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31/12/2030</t>
        </is>
      </c>
      <c r="M2940" s="45" t="inlineStr"/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31/12/2030</t>
        </is>
      </c>
      <c r="M2941" s="45" t="inlineStr"/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31/12/2030</t>
        </is>
      </c>
      <c r="M2942" s="45" t="inlineStr"/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31/12/2030</t>
        </is>
      </c>
      <c r="M2943" s="45" t="inlineStr"/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DIPLOVIS - Programme supérieur de gestion et de commerce</t>
        </is>
      </c>
      <c r="L2944" s="45" t="inlineStr">
        <is>
          <t>31/12/2030</t>
        </is>
      </c>
      <c r="M2944" s="45" t="inlineStr"/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31/12/2030</t>
        </is>
      </c>
      <c r="M2945" s="45" t="inlineStr"/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DIPLOVIS - Responsable en marketing, commercialisation et gestion</t>
        </is>
      </c>
      <c r="L2946" s="45" t="inlineStr">
        <is>
          <t>31/12/2030</t>
        </is>
      </c>
      <c r="M2946" s="45" t="inlineStr"/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31/12/2030</t>
        </is>
      </c>
      <c r="M2947" s="45" t="inlineStr"/>
      <c r="N2947" s="50" t="inlineStr">
        <is>
          <t>NON</t>
        </is>
      </c>
      <c r="O2947" s="45" t="inlineStr"/>
    </row>
    <row r="2948" customFormat="1" s="4">
      <c r="A2948" s="45" t="n"/>
      <c r="B2948" s="46" t="inlineStr">
        <is>
          <t>32068</t>
        </is>
      </c>
      <c r="C2948" s="46">
        <f>LEFT(Tableau1[[#This Row],[Formacode]],3)</f>
        <v/>
      </c>
      <c r="D2948" s="47" t="n">
        <v>37719</v>
      </c>
      <c r="E2948" s="48">
        <f>"RNCP"&amp;D2948</f>
        <v/>
      </c>
      <c r="F2948" s="48" t="inlineStr">
        <is>
          <t>DIPLOVIS - Diplôme en management international de l'hôtellerie et de la restauration</t>
        </is>
      </c>
      <c r="G2948" s="49">
        <f>E2948&amp;" - "&amp;F2948</f>
        <v/>
      </c>
      <c r="H2948" s="36" t="inlineStr">
        <is>
          <t>RAS</t>
        </is>
      </c>
      <c r="I2948" s="45" t="inlineStr"/>
      <c r="J2948" s="45" t="inlineStr">
        <is>
          <t>RNCP37719</t>
        </is>
      </c>
      <c r="K2948" s="45" t="inlineStr">
        <is>
          <t>DIPLOVIS - Diplôme en management international de l'hôtellerie et de la restauration</t>
        </is>
      </c>
      <c r="L2948" s="45" t="inlineStr">
        <is>
          <t>31/12/2030</t>
        </is>
      </c>
      <c r="M2948" s="45" t="inlineStr"/>
      <c r="N2948" s="50" t="inlineStr">
        <is>
          <t>NON</t>
        </is>
      </c>
      <c r="O2948" s="45" t="inlineStr"/>
    </row>
    <row r="2949" customFormat="1" s="4">
      <c r="A2949" s="45" t="n"/>
      <c r="B2949" s="46" t="inlineStr">
        <is>
          <t>32068</t>
        </is>
      </c>
      <c r="C2949" s="46">
        <f>LEFT(Tableau1[[#This Row],[Formacode]],3)</f>
        <v/>
      </c>
      <c r="D2949" s="47" t="n">
        <v>37932</v>
      </c>
      <c r="E2949" s="48">
        <f>"RNCP"&amp;D2949</f>
        <v/>
      </c>
      <c r="F2949" s="48" t="inlineStr">
        <is>
          <t>DIPLOVIS - Diplôme en Management International des Arts Culinaires</t>
        </is>
      </c>
      <c r="G2949" s="49">
        <f>E2949&amp;" - "&amp;F2949</f>
        <v/>
      </c>
      <c r="H2949" s="36" t="inlineStr">
        <is>
          <t>RAS</t>
        </is>
      </c>
      <c r="I2949" s="45" t="inlineStr"/>
      <c r="J2949" s="45" t="inlineStr">
        <is>
          <t>RNCP37932</t>
        </is>
      </c>
      <c r="K2949" s="45" t="inlineStr">
        <is>
          <t>DIPLOVIS - Diplôme en Management International des Arts Culinaires</t>
        </is>
      </c>
      <c r="L2949" s="45" t="inlineStr">
        <is>
          <t>31/12/2030</t>
        </is>
      </c>
      <c r="M2949" s="45" t="inlineStr"/>
      <c r="N2949" s="50" t="inlineStr">
        <is>
          <t>NON</t>
        </is>
      </c>
      <c r="O2949" s="45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TP - Gestionnaire comptable et  fiscal</t>
        </is>
      </c>
      <c r="L2950" s="45" t="inlineStr">
        <is>
          <t>31/12/2030</t>
        </is>
      </c>
      <c r="M2950" s="45" t="inlineStr"/>
      <c r="N2950" s="50" t="inlineStr">
        <is>
          <t>NON</t>
        </is>
      </c>
      <c r="O2950" s="45" t="inlineStr"/>
    </row>
    <row r="2951" customFormat="1" s="4">
      <c r="A2951" s="45" t="n"/>
      <c r="B2951" s="46" t="inlineStr">
        <is>
          <t>32068</t>
        </is>
      </c>
      <c r="C2951" s="46">
        <f>LEFT(Tableau1[[#This Row],[Formacode]],3)</f>
        <v/>
      </c>
      <c r="D2951" s="47" t="n">
        <v>37988</v>
      </c>
      <c r="E2951" s="48">
        <f>"RNCP"&amp;D2951</f>
        <v/>
      </c>
      <c r="F2951" s="48" t="inlineStr">
        <is>
          <t>Diplôme visé - Diplôme supérieur en marketing, vente et gestion</t>
        </is>
      </c>
      <c r="G2951" s="49">
        <f>E2951&amp;" - "&amp;F2951</f>
        <v/>
      </c>
      <c r="H2951" s="36" t="inlineStr">
        <is>
          <t>RAS</t>
        </is>
      </c>
      <c r="I2951" s="45" t="inlineStr"/>
      <c r="J2951" s="45" t="inlineStr">
        <is>
          <t>RNCP37988</t>
        </is>
      </c>
      <c r="K2951" s="45" t="inlineStr">
        <is>
          <t>Diplôme visé - Diplôme supérieur en marketing, vente et gestion</t>
        </is>
      </c>
      <c r="L2951" s="45" t="inlineStr">
        <is>
          <t>31/12/2030</t>
        </is>
      </c>
      <c r="M2951" s="45" t="inlineStr"/>
      <c r="N2951" s="50" t="inlineStr">
        <is>
          <t>NON</t>
        </is>
      </c>
      <c r="O2951" s="45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31/12/2030</t>
        </is>
      </c>
      <c r="M2952" s="45" t="inlineStr"/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31/12/2030</t>
        </is>
      </c>
      <c r="M2953" s="45" t="inlineStr"/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31/12/2030</t>
        </is>
      </c>
      <c r="M2954" s="45" t="inlineStr"/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31/12/2030</t>
        </is>
      </c>
      <c r="M2955" s="45" t="inlineStr"/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DIPLOVIS - Programme supérieur de gestion et de commerce</t>
        </is>
      </c>
      <c r="L2956" s="45" t="inlineStr">
        <is>
          <t>31/12/2030</t>
        </is>
      </c>
      <c r="M2956" s="45" t="inlineStr"/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31/12/2030</t>
        </is>
      </c>
      <c r="M2957" s="45" t="inlineStr"/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DIPLOVIS - Responsable en marketing, commercialisation et gestion</t>
        </is>
      </c>
      <c r="L2958" s="45" t="inlineStr">
        <is>
          <t>31/12/2030</t>
        </is>
      </c>
      <c r="M2958" s="45" t="inlineStr"/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31/12/2030</t>
        </is>
      </c>
      <c r="M2959" s="45" t="inlineStr"/>
      <c r="N2959" s="50" t="inlineStr">
        <is>
          <t>NON</t>
        </is>
      </c>
      <c r="O2959" s="45" t="inlineStr"/>
    </row>
    <row r="2960" customFormat="1" s="4">
      <c r="A2960" s="45" t="n"/>
      <c r="B2960" s="46" t="inlineStr">
        <is>
          <t>32072</t>
        </is>
      </c>
      <c r="C2960" s="46">
        <f>LEFT(Tableau1[[#This Row],[Formacode]],3)</f>
        <v/>
      </c>
      <c r="D2960" s="47" t="n">
        <v>37719</v>
      </c>
      <c r="E2960" s="48">
        <f>"RNCP"&amp;D2960</f>
        <v/>
      </c>
      <c r="F2960" s="48" t="inlineStr">
        <is>
          <t>DIPLOVIS - Diplôme en management international de l'hôtellerie et de la restauration</t>
        </is>
      </c>
      <c r="G2960" s="49">
        <f>E2960&amp;" - "&amp;F2960</f>
        <v/>
      </c>
      <c r="H2960" s="36" t="inlineStr">
        <is>
          <t>RAS</t>
        </is>
      </c>
      <c r="I2960" s="45" t="inlineStr"/>
      <c r="J2960" s="45" t="inlineStr">
        <is>
          <t>RNCP37719</t>
        </is>
      </c>
      <c r="K2960" s="45" t="inlineStr">
        <is>
          <t>DIPLOVIS - Diplôme en management international de l'hôtellerie et de la restauration</t>
        </is>
      </c>
      <c r="L2960" s="45" t="inlineStr">
        <is>
          <t>31/12/2030</t>
        </is>
      </c>
      <c r="M2960" s="45" t="inlineStr"/>
      <c r="N2960" s="50" t="inlineStr">
        <is>
          <t>NON</t>
        </is>
      </c>
      <c r="O2960" s="45" t="inlineStr"/>
    </row>
    <row r="2961" customFormat="1" s="4">
      <c r="A2961" s="45" t="n"/>
      <c r="B2961" s="46" t="inlineStr">
        <is>
          <t>32072</t>
        </is>
      </c>
      <c r="C2961" s="46">
        <f>LEFT(Tableau1[[#This Row],[Formacode]],3)</f>
        <v/>
      </c>
      <c r="D2961" s="47" t="n">
        <v>37932</v>
      </c>
      <c r="E2961" s="48">
        <f>"RNCP"&amp;D2961</f>
        <v/>
      </c>
      <c r="F2961" s="48" t="inlineStr">
        <is>
          <t>DIPLOVIS - Diplôme en Management International des Arts Culinaires</t>
        </is>
      </c>
      <c r="G2961" s="49">
        <f>E2961&amp;" - "&amp;F2961</f>
        <v/>
      </c>
      <c r="H2961" s="36" t="inlineStr">
        <is>
          <t>RAS</t>
        </is>
      </c>
      <c r="I2961" s="45" t="inlineStr"/>
      <c r="J2961" s="45" t="inlineStr">
        <is>
          <t>RNCP37932</t>
        </is>
      </c>
      <c r="K2961" s="45" t="inlineStr">
        <is>
          <t>DIPLOVIS - Diplôme en Management International des Arts Culinaires</t>
        </is>
      </c>
      <c r="L2961" s="45" t="inlineStr">
        <is>
          <t>31/12/2030</t>
        </is>
      </c>
      <c r="M2961" s="45" t="inlineStr"/>
      <c r="N2961" s="50" t="inlineStr">
        <is>
          <t>NON</t>
        </is>
      </c>
      <c r="O2961" s="45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TP - Gestionnaire comptable et  fiscal</t>
        </is>
      </c>
      <c r="L2962" s="45" t="inlineStr">
        <is>
          <t>31/12/2030</t>
        </is>
      </c>
      <c r="M2962" s="45" t="inlineStr"/>
      <c r="N2962" s="50" t="inlineStr">
        <is>
          <t>NON</t>
        </is>
      </c>
      <c r="O2962" s="45" t="inlineStr"/>
    </row>
    <row r="2963" customFormat="1" s="4">
      <c r="A2963" s="45" t="n"/>
      <c r="B2963" s="46" t="inlineStr">
        <is>
          <t>32072</t>
        </is>
      </c>
      <c r="C2963" s="46">
        <f>LEFT(Tableau1[[#This Row],[Formacode]],3)</f>
        <v/>
      </c>
      <c r="D2963" s="47" t="n">
        <v>37988</v>
      </c>
      <c r="E2963" s="48">
        <f>"RNCP"&amp;D2963</f>
        <v/>
      </c>
      <c r="F2963" s="48" t="inlineStr">
        <is>
          <t>Diplôme visé - Diplôme supérieur en marketing, vente et gestion</t>
        </is>
      </c>
      <c r="G2963" s="49">
        <f>E2963&amp;" - "&amp;F2963</f>
        <v/>
      </c>
      <c r="H2963" s="36" t="inlineStr">
        <is>
          <t>RAS</t>
        </is>
      </c>
      <c r="I2963" s="45" t="inlineStr"/>
      <c r="J2963" s="45" t="inlineStr">
        <is>
          <t>RNCP37988</t>
        </is>
      </c>
      <c r="K2963" s="45" t="inlineStr">
        <is>
          <t>Diplôme visé - Diplôme supérieur en marketing, vente et gestion</t>
        </is>
      </c>
      <c r="L2963" s="45" t="inlineStr">
        <is>
          <t>31/12/2030</t>
        </is>
      </c>
      <c r="M2963" s="45" t="inlineStr"/>
      <c r="N2963" s="50" t="inlineStr">
        <is>
          <t>NON</t>
        </is>
      </c>
      <c r="O2963" s="45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31/12/2030</t>
        </is>
      </c>
      <c r="M2964" s="45" t="inlineStr"/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31/12/2030</t>
        </is>
      </c>
      <c r="M2965" s="45" t="inlineStr"/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DIPLOVIS - Programme supérieur de gestion et de commerce</t>
        </is>
      </c>
      <c r="L2966" s="45" t="inlineStr">
        <is>
          <t>31/12/2030</t>
        </is>
      </c>
      <c r="M2966" s="45" t="inlineStr"/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31/12/2030</t>
        </is>
      </c>
      <c r="M2967" s="45" t="inlineStr"/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DIPLOVIS - Responsable en marketing, commercialisation et gestion</t>
        </is>
      </c>
      <c r="L2968" s="45" t="inlineStr">
        <is>
          <t>31/12/2030</t>
        </is>
      </c>
      <c r="M2968" s="45" t="inlineStr"/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31/12/2030</t>
        </is>
      </c>
      <c r="M2969" s="45" t="inlineStr"/>
      <c r="N2969" s="50" t="inlineStr">
        <is>
          <t>NON</t>
        </is>
      </c>
      <c r="O2969" s="45" t="inlineStr"/>
    </row>
    <row r="2970" customFormat="1" s="4">
      <c r="A2970" s="45" t="n"/>
      <c r="B2970" s="46" t="inlineStr">
        <is>
          <t>32074</t>
        </is>
      </c>
      <c r="C2970" s="46">
        <f>LEFT(Tableau1[[#This Row],[Formacode]],3)</f>
        <v/>
      </c>
      <c r="D2970" s="47" t="n">
        <v>37719</v>
      </c>
      <c r="E2970" s="48">
        <f>"RNCP"&amp;D2970</f>
        <v/>
      </c>
      <c r="F2970" s="48" t="inlineStr">
        <is>
          <t>DIPLOVIS - Diplôme en management international de l'hôtellerie et de la restauration</t>
        </is>
      </c>
      <c r="G2970" s="49">
        <f>E2970&amp;" - "&amp;F2970</f>
        <v/>
      </c>
      <c r="H2970" s="36" t="inlineStr">
        <is>
          <t>RAS</t>
        </is>
      </c>
      <c r="I2970" s="45" t="inlineStr"/>
      <c r="J2970" s="45" t="inlineStr">
        <is>
          <t>RNCP37719</t>
        </is>
      </c>
      <c r="K2970" s="45" t="inlineStr">
        <is>
          <t>DIPLOVIS - Diplôme en management international de l'hôtellerie et de la restauration</t>
        </is>
      </c>
      <c r="L2970" s="45" t="inlineStr">
        <is>
          <t>31/12/2030</t>
        </is>
      </c>
      <c r="M2970" s="45" t="inlineStr"/>
      <c r="N2970" s="50" t="inlineStr">
        <is>
          <t>NON</t>
        </is>
      </c>
      <c r="O2970" s="45" t="inlineStr"/>
    </row>
    <row r="2971" customFormat="1" s="4">
      <c r="A2971" s="45" t="n"/>
      <c r="B2971" s="46" t="inlineStr">
        <is>
          <t>32074</t>
        </is>
      </c>
      <c r="C2971" s="46">
        <f>LEFT(Tableau1[[#This Row],[Formacode]],3)</f>
        <v/>
      </c>
      <c r="D2971" s="47" t="n">
        <v>37932</v>
      </c>
      <c r="E2971" s="48">
        <f>"RNCP"&amp;D2971</f>
        <v/>
      </c>
      <c r="F2971" s="48" t="inlineStr">
        <is>
          <t>DIPLOVIS - Diplôme en Management International des Arts Culinaires</t>
        </is>
      </c>
      <c r="G2971" s="49">
        <f>E2971&amp;" - "&amp;F2971</f>
        <v/>
      </c>
      <c r="H2971" s="36" t="inlineStr">
        <is>
          <t>RAS</t>
        </is>
      </c>
      <c r="I2971" s="45" t="inlineStr"/>
      <c r="J2971" s="45" t="inlineStr">
        <is>
          <t>RNCP37932</t>
        </is>
      </c>
      <c r="K2971" s="45" t="inlineStr">
        <is>
          <t>DIPLOVIS - Diplôme en Management International des Arts Culinaires</t>
        </is>
      </c>
      <c r="L2971" s="45" t="inlineStr">
        <is>
          <t>31/12/2030</t>
        </is>
      </c>
      <c r="M2971" s="45" t="inlineStr"/>
      <c r="N2971" s="50" t="inlineStr">
        <is>
          <t>NON</t>
        </is>
      </c>
      <c r="O2971" s="45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TP - Gestionnaire comptable et  fiscal</t>
        </is>
      </c>
      <c r="L2972" s="45" t="inlineStr">
        <is>
          <t>31/12/2030</t>
        </is>
      </c>
      <c r="M2972" s="45" t="inlineStr"/>
      <c r="N2972" s="50" t="inlineStr">
        <is>
          <t>NON</t>
        </is>
      </c>
      <c r="O2972" s="45" t="inlineStr"/>
    </row>
    <row r="2973" customFormat="1" s="4">
      <c r="A2973" s="45" t="n"/>
      <c r="B2973" s="46" t="inlineStr">
        <is>
          <t>32074</t>
        </is>
      </c>
      <c r="C2973" s="46">
        <f>LEFT(Tableau1[[#This Row],[Formacode]],3)</f>
        <v/>
      </c>
      <c r="D2973" s="47" t="n">
        <v>37988</v>
      </c>
      <c r="E2973" s="48">
        <f>"RNCP"&amp;D2973</f>
        <v/>
      </c>
      <c r="F2973" s="48" t="inlineStr">
        <is>
          <t>Diplôme visé - Diplôme supérieur en marketing, vente et gestion</t>
        </is>
      </c>
      <c r="G2973" s="49">
        <f>E2973&amp;" - "&amp;F2973</f>
        <v/>
      </c>
      <c r="H2973" s="36" t="inlineStr">
        <is>
          <t>RAS</t>
        </is>
      </c>
      <c r="I2973" s="45" t="inlineStr"/>
      <c r="J2973" s="45" t="inlineStr">
        <is>
          <t>RNCP37988</t>
        </is>
      </c>
      <c r="K2973" s="45" t="inlineStr">
        <is>
          <t>Diplôme visé - Diplôme supérieur en marketing, vente et gestion</t>
        </is>
      </c>
      <c r="L2973" s="45" t="inlineStr">
        <is>
          <t>31/12/2030</t>
        </is>
      </c>
      <c r="M2973" s="45" t="inlineStr"/>
      <c r="N2973" s="50" t="inlineStr">
        <is>
          <t>NON</t>
        </is>
      </c>
      <c r="O2973" s="45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31/12/2030</t>
        </is>
      </c>
      <c r="M2974" s="45" t="inlineStr"/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31/12/2030</t>
        </is>
      </c>
      <c r="M2975" s="45" t="inlineStr"/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DIPLOVIS - Programme supérieur de gestion et de commerce</t>
        </is>
      </c>
      <c r="L2976" s="45" t="inlineStr">
        <is>
          <t>31/12/2030</t>
        </is>
      </c>
      <c r="M2976" s="45" t="inlineStr"/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31/12/2030</t>
        </is>
      </c>
      <c r="M2977" s="45" t="inlineStr"/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DIPLOVIS - Responsable en marketing, commercialisation et gestion</t>
        </is>
      </c>
      <c r="L2978" s="45" t="inlineStr">
        <is>
          <t>31/12/2030</t>
        </is>
      </c>
      <c r="M2978" s="45" t="inlineStr"/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31/12/2030</t>
        </is>
      </c>
      <c r="M2979" s="45" t="inlineStr"/>
      <c r="N2979" s="50" t="inlineStr">
        <is>
          <t>NON</t>
        </is>
      </c>
      <c r="O2979" s="45" t="inlineStr"/>
    </row>
    <row r="2980" customFormat="1" s="4">
      <c r="A2980" s="45" t="n"/>
      <c r="B2980" s="46" t="inlineStr">
        <is>
          <t>32079</t>
        </is>
      </c>
      <c r="C2980" s="46">
        <f>LEFT(Tableau1[[#This Row],[Formacode]],3)</f>
        <v/>
      </c>
      <c r="D2980" s="47" t="n">
        <v>37635</v>
      </c>
      <c r="E2980" s="48">
        <f>"RNCP"&amp;D2980</f>
        <v/>
      </c>
      <c r="F2980" s="48" t="inlineStr">
        <is>
          <t>Manager de commerce et de centre de profit</t>
        </is>
      </c>
      <c r="G2980" s="49">
        <f>E2980&amp;" - "&amp;F2980</f>
        <v/>
      </c>
      <c r="H2980" s="36" t="inlineStr">
        <is>
          <t>RAS</t>
        </is>
      </c>
      <c r="I2980" s="45" t="inlineStr"/>
      <c r="J2980" s="45" t="inlineStr">
        <is>
          <t>RNCP37635</t>
        </is>
      </c>
      <c r="K2980" s="45" t="inlineStr">
        <is>
          <t>Manager de commerce et de centre de profit</t>
        </is>
      </c>
      <c r="L2980" s="45" t="inlineStr">
        <is>
          <t>31/12/2030</t>
        </is>
      </c>
      <c r="M2980" s="45" t="inlineStr"/>
      <c r="N2980" s="50" t="inlineStr">
        <is>
          <t>NON</t>
        </is>
      </c>
      <c r="O2980" s="45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31/12/2030</t>
        </is>
      </c>
      <c r="M2981" s="45" t="inlineStr"/>
      <c r="N2981" s="50" t="inlineStr">
        <is>
          <t>NON</t>
        </is>
      </c>
      <c r="O2981" s="45" t="inlineStr"/>
    </row>
    <row r="2982" customFormat="1" s="4">
      <c r="A2982" s="45" t="n"/>
      <c r="B2982" s="46" t="inlineStr">
        <is>
          <t>32079</t>
        </is>
      </c>
      <c r="C2982" s="46">
        <f>LEFT(Tableau1[[#This Row],[Formacode]],3)</f>
        <v/>
      </c>
      <c r="D2982" s="47" t="n">
        <v>37719</v>
      </c>
      <c r="E2982" s="48">
        <f>"RNCP"&amp;D2982</f>
        <v/>
      </c>
      <c r="F2982" s="48" t="inlineStr">
        <is>
          <t>DIPLOVIS - Diplôme en management international de l'hôtellerie et de la restauration</t>
        </is>
      </c>
      <c r="G2982" s="49">
        <f>E2982&amp;" - "&amp;F2982</f>
        <v/>
      </c>
      <c r="H2982" s="36" t="inlineStr">
        <is>
          <t>RAS</t>
        </is>
      </c>
      <c r="I2982" s="45" t="inlineStr"/>
      <c r="J2982" s="45" t="inlineStr">
        <is>
          <t>RNCP37719</t>
        </is>
      </c>
      <c r="K2982" s="45" t="inlineStr">
        <is>
          <t>DIPLOVIS - Diplôme en management international de l'hôtellerie et de la restauration</t>
        </is>
      </c>
      <c r="L2982" s="45" t="inlineStr">
        <is>
          <t>31/12/2030</t>
        </is>
      </c>
      <c r="M2982" s="45" t="inlineStr"/>
      <c r="N2982" s="50" t="inlineStr">
        <is>
          <t>NON</t>
        </is>
      </c>
      <c r="O2982" s="45" t="inlineStr"/>
    </row>
    <row r="2983" customFormat="1" s="4">
      <c r="A2983" s="45" t="n"/>
      <c r="B2983" s="46" t="inlineStr">
        <is>
          <t>32079</t>
        </is>
      </c>
      <c r="C2983" s="46">
        <f>LEFT(Tableau1[[#This Row],[Formacode]],3)</f>
        <v/>
      </c>
      <c r="D2983" s="47" t="n">
        <v>37932</v>
      </c>
      <c r="E2983" s="48">
        <f>"RNCP"&amp;D2983</f>
        <v/>
      </c>
      <c r="F2983" s="48" t="inlineStr">
        <is>
          <t>DIPLOVIS - Diplôme en Management International des Arts Culinaires</t>
        </is>
      </c>
      <c r="G2983" s="49">
        <f>E2983&amp;" - "&amp;F2983</f>
        <v/>
      </c>
      <c r="H2983" s="36" t="inlineStr">
        <is>
          <t>RAS</t>
        </is>
      </c>
      <c r="I2983" s="45" t="inlineStr"/>
      <c r="J2983" s="45" t="inlineStr">
        <is>
          <t>RNCP37932</t>
        </is>
      </c>
      <c r="K2983" s="45" t="inlineStr">
        <is>
          <t>DIPLOVIS - Diplôme en Management International des Arts Culinaires</t>
        </is>
      </c>
      <c r="L2983" s="45" t="inlineStr">
        <is>
          <t>31/12/2030</t>
        </is>
      </c>
      <c r="M2983" s="45" t="inlineStr"/>
      <c r="N2983" s="50" t="inlineStr">
        <is>
          <t>NON</t>
        </is>
      </c>
      <c r="O2983" s="45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TP - Gestionnaire comptable et  fiscal</t>
        </is>
      </c>
      <c r="L2984" s="45" t="inlineStr">
        <is>
          <t>31/12/2030</t>
        </is>
      </c>
      <c r="M2984" s="45" t="inlineStr"/>
      <c r="N2984" s="50" t="inlineStr">
        <is>
          <t>NON</t>
        </is>
      </c>
      <c r="O2984" s="45" t="inlineStr"/>
    </row>
    <row r="2985" customFormat="1" s="4">
      <c r="A2985" s="45" t="n"/>
      <c r="B2985" s="46" t="inlineStr">
        <is>
          <t>32079</t>
        </is>
      </c>
      <c r="C2985" s="46">
        <f>LEFT(Tableau1[[#This Row],[Formacode]],3)</f>
        <v/>
      </c>
      <c r="D2985" s="47" t="n">
        <v>37988</v>
      </c>
      <c r="E2985" s="48">
        <f>"RNCP"&amp;D2985</f>
        <v/>
      </c>
      <c r="F2985" s="48" t="inlineStr">
        <is>
          <t>Diplôme visé - Diplôme supérieur en marketing, vente et gestion</t>
        </is>
      </c>
      <c r="G2985" s="49">
        <f>E2985&amp;" - "&amp;F2985</f>
        <v/>
      </c>
      <c r="H2985" s="36" t="inlineStr">
        <is>
          <t>RAS</t>
        </is>
      </c>
      <c r="I2985" s="45" t="inlineStr"/>
      <c r="J2985" s="45" t="inlineStr">
        <is>
          <t>RNCP37988</t>
        </is>
      </c>
      <c r="K2985" s="45" t="inlineStr">
        <is>
          <t>Diplôme visé - Diplôme supérieur en marketing, vente et gestion</t>
        </is>
      </c>
      <c r="L2985" s="45" t="inlineStr">
        <is>
          <t>31/12/2030</t>
        </is>
      </c>
      <c r="M2985" s="45" t="inlineStr"/>
      <c r="N2985" s="50" t="inlineStr">
        <is>
          <t>NON</t>
        </is>
      </c>
      <c r="O2985" s="45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31/12/2030</t>
        </is>
      </c>
      <c r="M2986" s="45" t="inlineStr"/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DIPLOVIS - Gestion et Développement Commercial</t>
        </is>
      </c>
      <c r="L2987" s="45" t="inlineStr">
        <is>
          <t>31/12/2030</t>
        </is>
      </c>
      <c r="M2987" s="45" t="inlineStr"/>
      <c r="N2987" s="50" t="inlineStr">
        <is>
          <t>NON</t>
        </is>
      </c>
      <c r="O2987" s="45" t="inlineStr"/>
    </row>
    <row r="2988" customFormat="1" s="4">
      <c r="A2988" s="45" t="n"/>
      <c r="B2988" s="46" t="inlineStr">
        <is>
          <t>32079</t>
        </is>
      </c>
      <c r="C2988" s="46">
        <f>LEFT(Tableau1[[#This Row],[Formacode]],3)</f>
        <v/>
      </c>
      <c r="D2988" s="47" t="n">
        <v>39395</v>
      </c>
      <c r="E2988" s="48">
        <f>"RNCP"&amp;D2988</f>
        <v/>
      </c>
      <c r="F2988" s="48" t="inlineStr">
        <is>
          <t>Responsable d'agence et de commerce</t>
        </is>
      </c>
      <c r="G2988" s="49">
        <f>E2988&amp;" - "&amp;F2988</f>
        <v/>
      </c>
      <c r="H2988" s="36" t="inlineStr">
        <is>
          <t>RAS</t>
        </is>
      </c>
      <c r="I2988" s="45" t="inlineStr"/>
      <c r="J2988" s="45" t="inlineStr">
        <is>
          <t>RNCP39395</t>
        </is>
      </c>
      <c r="K2988" s="45" t="inlineStr">
        <is>
          <t>Responsable d'agence et de commerce</t>
        </is>
      </c>
      <c r="L2988" s="45" t="inlineStr">
        <is>
          <t>31/12/2030</t>
        </is>
      </c>
      <c r="M2988" s="45" t="inlineStr"/>
      <c r="N2988" s="50" t="inlineStr">
        <is>
          <t>NON</t>
        </is>
      </c>
      <c r="O2988" s="45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31/12/2030</t>
        </is>
      </c>
      <c r="M2989" s="45" t="inlineStr"/>
      <c r="N2989" s="50" t="inlineStr">
        <is>
          <t>NON</t>
        </is>
      </c>
      <c r="O2989" s="45" t="inlineStr"/>
    </row>
    <row r="2990" customFormat="1" s="4">
      <c r="A2990" s="45" t="n"/>
      <c r="B2990" s="46" t="inlineStr">
        <is>
          <t>32079</t>
        </is>
      </c>
      <c r="C2990" s="46">
        <f>LEFT(Tableau1[[#This Row],[Formacode]],3)</f>
        <v/>
      </c>
      <c r="D2990" s="47" t="n">
        <v>39763</v>
      </c>
      <c r="E2990" s="48">
        <f>"RNCP"&amp;D2990</f>
        <v/>
      </c>
      <c r="F2990" s="48" t="inlineStr">
        <is>
          <t>Manager de la performance financière</t>
        </is>
      </c>
      <c r="G2990" s="49">
        <f>E2990&amp;" - "&amp;F2990</f>
        <v/>
      </c>
      <c r="H2990" s="36" t="inlineStr">
        <is>
          <t>RAS</t>
        </is>
      </c>
      <c r="I2990" s="45" t="inlineStr"/>
      <c r="J2990" s="45" t="inlineStr">
        <is>
          <t>RNCP39763</t>
        </is>
      </c>
      <c r="K2990" s="45" t="inlineStr">
        <is>
          <t>Manager de la performance financière</t>
        </is>
      </c>
      <c r="L2990" s="45" t="inlineStr">
        <is>
          <t>31/12/2030</t>
        </is>
      </c>
      <c r="M2990" s="45" t="inlineStr"/>
      <c r="N2990" s="50" t="inlineStr">
        <is>
          <t>NON</t>
        </is>
      </c>
      <c r="O2990" s="45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31/12/2030</t>
        </is>
      </c>
      <c r="M2991" s="45" t="inlineStr"/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31/12/2030</t>
        </is>
      </c>
      <c r="M2992" s="45" t="inlineStr"/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31/12/2030</t>
        </is>
      </c>
      <c r="M2993" s="45" t="inlineStr"/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31/12/2030</t>
        </is>
      </c>
      <c r="M2994" s="45" t="inlineStr"/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DIPLOVIS - Programme supérieur de gestion et de commerce</t>
        </is>
      </c>
      <c r="L2995" s="45" t="inlineStr">
        <is>
          <t>31/12/2030</t>
        </is>
      </c>
      <c r="M2995" s="45" t="inlineStr"/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31/12/2030</t>
        </is>
      </c>
      <c r="M2996" s="45" t="inlineStr"/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DIPLOVIS - Responsable en marketing, commercialisation et gestion</t>
        </is>
      </c>
      <c r="L2997" s="45" t="inlineStr">
        <is>
          <t>31/12/2030</t>
        </is>
      </c>
      <c r="M2997" s="45" t="inlineStr"/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31/12/2030</t>
        </is>
      </c>
      <c r="M2998" s="45" t="inlineStr"/>
      <c r="N2998" s="50" t="inlineStr">
        <is>
          <t>NON</t>
        </is>
      </c>
      <c r="O2998" s="45" t="inlineStr"/>
    </row>
    <row r="2999" customFormat="1" s="4">
      <c r="A2999" s="45" t="n"/>
      <c r="B2999" s="46" t="inlineStr">
        <is>
          <t>32089</t>
        </is>
      </c>
      <c r="C2999" s="46">
        <f>LEFT(Tableau1[[#This Row],[Formacode]],3)</f>
        <v/>
      </c>
      <c r="D2999" s="47" t="n">
        <v>37719</v>
      </c>
      <c r="E2999" s="48">
        <f>"RNCP"&amp;D2999</f>
        <v/>
      </c>
      <c r="F2999" s="48" t="inlineStr">
        <is>
          <t>DIPLOVIS - Diplôme en management international de l'hôtellerie et de la restauration</t>
        </is>
      </c>
      <c r="G2999" s="49">
        <f>E2999&amp;" - "&amp;F2999</f>
        <v/>
      </c>
      <c r="H2999" s="36" t="inlineStr">
        <is>
          <t>RAS</t>
        </is>
      </c>
      <c r="I2999" s="45" t="inlineStr"/>
      <c r="J2999" s="45" t="inlineStr">
        <is>
          <t>RNCP37719</t>
        </is>
      </c>
      <c r="K2999" s="45" t="inlineStr">
        <is>
          <t>DIPLOVIS - Diplôme en management international de l'hôtellerie et de la restauration</t>
        </is>
      </c>
      <c r="L2999" s="45" t="inlineStr">
        <is>
          <t>31/12/2030</t>
        </is>
      </c>
      <c r="M2999" s="45" t="inlineStr"/>
      <c r="N2999" s="50" t="inlineStr">
        <is>
          <t>NON</t>
        </is>
      </c>
      <c r="O2999" s="45" t="inlineStr"/>
    </row>
    <row r="3000" customFormat="1" s="4">
      <c r="A3000" s="45" t="n"/>
      <c r="B3000" s="46" t="inlineStr">
        <is>
          <t>32089</t>
        </is>
      </c>
      <c r="C3000" s="46">
        <f>LEFT(Tableau1[[#This Row],[Formacode]],3)</f>
        <v/>
      </c>
      <c r="D3000" s="47" t="n">
        <v>37932</v>
      </c>
      <c r="E3000" s="48">
        <f>"RNCP"&amp;D3000</f>
        <v/>
      </c>
      <c r="F3000" s="48" t="inlineStr">
        <is>
          <t>DIPLOVIS - Diplôme en Management International des Arts Culinaires</t>
        </is>
      </c>
      <c r="G3000" s="49">
        <f>E3000&amp;" - "&amp;F3000</f>
        <v/>
      </c>
      <c r="H3000" s="36" t="inlineStr">
        <is>
          <t>RAS</t>
        </is>
      </c>
      <c r="I3000" s="45" t="inlineStr"/>
      <c r="J3000" s="45" t="inlineStr">
        <is>
          <t>RNCP37932</t>
        </is>
      </c>
      <c r="K3000" s="45" t="inlineStr">
        <is>
          <t>DIPLOVIS - Diplôme en Management International des Arts Culinaires</t>
        </is>
      </c>
      <c r="L3000" s="45" t="inlineStr">
        <is>
          <t>31/12/2030</t>
        </is>
      </c>
      <c r="M3000" s="45" t="inlineStr"/>
      <c r="N3000" s="50" t="inlineStr">
        <is>
          <t>NON</t>
        </is>
      </c>
      <c r="O3000" s="45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TP - Gestionnaire comptable et  fiscal</t>
        </is>
      </c>
      <c r="L3001" s="45" t="inlineStr">
        <is>
          <t>31/12/2030</t>
        </is>
      </c>
      <c r="M3001" s="45" t="inlineStr"/>
      <c r="N3001" s="50" t="inlineStr">
        <is>
          <t>NON</t>
        </is>
      </c>
      <c r="O3001" s="45" t="inlineStr"/>
    </row>
    <row r="3002" customFormat="1" s="4">
      <c r="A3002" s="45" t="n"/>
      <c r="B3002" s="46" t="inlineStr">
        <is>
          <t>32089</t>
        </is>
      </c>
      <c r="C3002" s="46">
        <f>LEFT(Tableau1[[#This Row],[Formacode]],3)</f>
        <v/>
      </c>
      <c r="D3002" s="47" t="n">
        <v>37988</v>
      </c>
      <c r="E3002" s="48">
        <f>"RNCP"&amp;D3002</f>
        <v/>
      </c>
      <c r="F3002" s="48" t="inlineStr">
        <is>
          <t>Diplôme visé - Diplôme supérieur en marketing, vente et gestion</t>
        </is>
      </c>
      <c r="G3002" s="49">
        <f>E3002&amp;" - "&amp;F3002</f>
        <v/>
      </c>
      <c r="H3002" s="36" t="inlineStr">
        <is>
          <t>RAS</t>
        </is>
      </c>
      <c r="I3002" s="45" t="inlineStr"/>
      <c r="J3002" s="45" t="inlineStr">
        <is>
          <t>RNCP37988</t>
        </is>
      </c>
      <c r="K3002" s="45" t="inlineStr">
        <is>
          <t>Diplôme visé - Diplôme supérieur en marketing, vente et gestion</t>
        </is>
      </c>
      <c r="L3002" s="45" t="inlineStr">
        <is>
          <t>31/12/2030</t>
        </is>
      </c>
      <c r="M3002" s="45" t="inlineStr"/>
      <c r="N3002" s="50" t="inlineStr">
        <is>
          <t>NON</t>
        </is>
      </c>
      <c r="O3002" s="45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31/12/2030</t>
        </is>
      </c>
      <c r="M3003" s="45" t="inlineStr"/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31/12/2030</t>
        </is>
      </c>
      <c r="M3004" s="45" t="inlineStr"/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DIPLOVIS - Programme supérieur de gestion et de commerce</t>
        </is>
      </c>
      <c r="L3005" s="45" t="inlineStr">
        <is>
          <t>31/12/2030</t>
        </is>
      </c>
      <c r="M3005" s="45" t="inlineStr"/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31/12/2030</t>
        </is>
      </c>
      <c r="M3006" s="45" t="inlineStr"/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DIPLOVIS - Responsable en marketing, commercialisation et gestion</t>
        </is>
      </c>
      <c r="L3007" s="45" t="inlineStr">
        <is>
          <t>31/12/2030</t>
        </is>
      </c>
      <c r="M3007" s="45" t="inlineStr"/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31/12/2030</t>
        </is>
      </c>
      <c r="M3008" s="45" t="inlineStr"/>
      <c r="N3008" s="50" t="inlineStr">
        <is>
          <t>NON</t>
        </is>
      </c>
      <c r="O3008" s="45" t="inlineStr"/>
    </row>
    <row r="3009" customFormat="1" s="4">
      <c r="A3009" s="45" t="n"/>
      <c r="B3009" s="46" t="inlineStr">
        <is>
          <t>32090</t>
        </is>
      </c>
      <c r="C3009" s="46">
        <f>LEFT(Tableau1[[#This Row],[Formacode]],3)</f>
        <v/>
      </c>
      <c r="D3009" s="47" t="n">
        <v>37719</v>
      </c>
      <c r="E3009" s="48">
        <f>"RNCP"&amp;D3009</f>
        <v/>
      </c>
      <c r="F3009" s="48" t="inlineStr">
        <is>
          <t>DIPLOVIS - Diplôme en management international de l'hôtellerie et de la restauration</t>
        </is>
      </c>
      <c r="G3009" s="49">
        <f>E3009&amp;" - "&amp;F3009</f>
        <v/>
      </c>
      <c r="H3009" s="36" t="inlineStr">
        <is>
          <t>RAS</t>
        </is>
      </c>
      <c r="I3009" s="45" t="inlineStr"/>
      <c r="J3009" s="45" t="inlineStr">
        <is>
          <t>RNCP37719</t>
        </is>
      </c>
      <c r="K3009" s="45" t="inlineStr">
        <is>
          <t>DIPLOVIS - Diplôme en management international de l'hôtellerie et de la restauration</t>
        </is>
      </c>
      <c r="L3009" s="45" t="inlineStr">
        <is>
          <t>31/12/2030</t>
        </is>
      </c>
      <c r="M3009" s="45" t="inlineStr"/>
      <c r="N3009" s="50" t="inlineStr">
        <is>
          <t>NON</t>
        </is>
      </c>
      <c r="O3009" s="45" t="inlineStr"/>
    </row>
    <row r="3010" customFormat="1" s="4">
      <c r="A3010" s="45" t="n"/>
      <c r="B3010" s="46" t="inlineStr">
        <is>
          <t>32090</t>
        </is>
      </c>
      <c r="C3010" s="46">
        <f>LEFT(Tableau1[[#This Row],[Formacode]],3)</f>
        <v/>
      </c>
      <c r="D3010" s="47" t="n">
        <v>37932</v>
      </c>
      <c r="E3010" s="48">
        <f>"RNCP"&amp;D3010</f>
        <v/>
      </c>
      <c r="F3010" s="48" t="inlineStr">
        <is>
          <t>DIPLOVIS - Diplôme en Management International des Arts Culinaires</t>
        </is>
      </c>
      <c r="G3010" s="49">
        <f>E3010&amp;" - "&amp;F3010</f>
        <v/>
      </c>
      <c r="H3010" s="36" t="inlineStr">
        <is>
          <t>RAS</t>
        </is>
      </c>
      <c r="I3010" s="45" t="inlineStr"/>
      <c r="J3010" s="45" t="inlineStr">
        <is>
          <t>RNCP37932</t>
        </is>
      </c>
      <c r="K3010" s="45" t="inlineStr">
        <is>
          <t>DIPLOVIS - Diplôme en Management International des Arts Culinaires</t>
        </is>
      </c>
      <c r="L3010" s="45" t="inlineStr">
        <is>
          <t>31/12/2030</t>
        </is>
      </c>
      <c r="M3010" s="45" t="inlineStr"/>
      <c r="N3010" s="50" t="inlineStr">
        <is>
          <t>NON</t>
        </is>
      </c>
      <c r="O3010" s="45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TP - Gestionnaire comptable et  fiscal</t>
        </is>
      </c>
      <c r="L3011" s="45" t="inlineStr">
        <is>
          <t>31/12/2030</t>
        </is>
      </c>
      <c r="M3011" s="45" t="inlineStr"/>
      <c r="N3011" s="50" t="inlineStr">
        <is>
          <t>NON</t>
        </is>
      </c>
      <c r="O3011" s="45" t="inlineStr"/>
    </row>
    <row r="3012" customFormat="1" s="4">
      <c r="A3012" s="45" t="n"/>
      <c r="B3012" s="46" t="inlineStr">
        <is>
          <t>32090</t>
        </is>
      </c>
      <c r="C3012" s="46">
        <f>LEFT(Tableau1[[#This Row],[Formacode]],3)</f>
        <v/>
      </c>
      <c r="D3012" s="47" t="n">
        <v>37988</v>
      </c>
      <c r="E3012" s="48">
        <f>"RNCP"&amp;D3012</f>
        <v/>
      </c>
      <c r="F3012" s="48" t="inlineStr">
        <is>
          <t>Diplôme visé - Diplôme supérieur en marketing, vente et gestion</t>
        </is>
      </c>
      <c r="G3012" s="49">
        <f>E3012&amp;" - "&amp;F3012</f>
        <v/>
      </c>
      <c r="H3012" s="36" t="inlineStr">
        <is>
          <t>RAS</t>
        </is>
      </c>
      <c r="I3012" s="45" t="inlineStr"/>
      <c r="J3012" s="45" t="inlineStr">
        <is>
          <t>RNCP37988</t>
        </is>
      </c>
      <c r="K3012" s="45" t="inlineStr">
        <is>
          <t>Diplôme visé - Diplôme supérieur en marketing, vente et gestion</t>
        </is>
      </c>
      <c r="L3012" s="45" t="inlineStr">
        <is>
          <t>31/12/2030</t>
        </is>
      </c>
      <c r="M3012" s="45" t="inlineStr"/>
      <c r="N3012" s="50" t="inlineStr">
        <is>
          <t>NON</t>
        </is>
      </c>
      <c r="O3012" s="45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31/12/2030</t>
        </is>
      </c>
      <c r="M3013" s="45" t="inlineStr"/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31/12/2030</t>
        </is>
      </c>
      <c r="M3014" s="45" t="inlineStr"/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DIPLOVIS - Programme supérieur de gestion et de commerce</t>
        </is>
      </c>
      <c r="L3015" s="45" t="inlineStr">
        <is>
          <t>31/12/2030</t>
        </is>
      </c>
      <c r="M3015" s="45" t="inlineStr"/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31/12/2030</t>
        </is>
      </c>
      <c r="M3016" s="45" t="inlineStr"/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DIPLOVIS - Responsable en marketing, commercialisation et gestion</t>
        </is>
      </c>
      <c r="L3017" s="45" t="inlineStr">
        <is>
          <t>31/12/2030</t>
        </is>
      </c>
      <c r="M3017" s="45" t="inlineStr"/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31/12/2030</t>
        </is>
      </c>
      <c r="M3018" s="45" t="inlineStr"/>
      <c r="N3018" s="50" t="inlineStr">
        <is>
          <t>NON</t>
        </is>
      </c>
      <c r="O3018" s="45" t="inlineStr"/>
    </row>
    <row r="3019" customFormat="1" s="4">
      <c r="A3019" s="45" t="n"/>
      <c r="B3019" s="46" t="inlineStr">
        <is>
          <t>32092</t>
        </is>
      </c>
      <c r="C3019" s="46">
        <f>LEFT(Tableau1[[#This Row],[Formacode]],3)</f>
        <v/>
      </c>
      <c r="D3019" s="47" t="n">
        <v>37719</v>
      </c>
      <c r="E3019" s="48">
        <f>"RNCP"&amp;D3019</f>
        <v/>
      </c>
      <c r="F3019" s="48" t="inlineStr">
        <is>
          <t>DIPLOVIS - Diplôme en management international de l'hôtellerie et de la restauration</t>
        </is>
      </c>
      <c r="G3019" s="49">
        <f>E3019&amp;" - "&amp;F3019</f>
        <v/>
      </c>
      <c r="H3019" s="36" t="inlineStr">
        <is>
          <t>RAS</t>
        </is>
      </c>
      <c r="I3019" s="45" t="inlineStr"/>
      <c r="J3019" s="45" t="inlineStr">
        <is>
          <t>RNCP37719</t>
        </is>
      </c>
      <c r="K3019" s="45" t="inlineStr">
        <is>
          <t>DIPLOVIS - Diplôme en management international de l'hôtellerie et de la restauration</t>
        </is>
      </c>
      <c r="L3019" s="45" t="inlineStr">
        <is>
          <t>31/12/2030</t>
        </is>
      </c>
      <c r="M3019" s="45" t="inlineStr"/>
      <c r="N3019" s="50" t="inlineStr">
        <is>
          <t>NON</t>
        </is>
      </c>
      <c r="O3019" s="45" t="inlineStr"/>
    </row>
    <row r="3020" customFormat="1" s="4">
      <c r="A3020" s="45" t="n"/>
      <c r="B3020" s="46" t="inlineStr">
        <is>
          <t>32092</t>
        </is>
      </c>
      <c r="C3020" s="46">
        <f>LEFT(Tableau1[[#This Row],[Formacode]],3)</f>
        <v/>
      </c>
      <c r="D3020" s="47" t="n">
        <v>37932</v>
      </c>
      <c r="E3020" s="48">
        <f>"RNCP"&amp;D3020</f>
        <v/>
      </c>
      <c r="F3020" s="48" t="inlineStr">
        <is>
          <t>DIPLOVIS - Diplôme en Management International des Arts Culinaires</t>
        </is>
      </c>
      <c r="G3020" s="49">
        <f>E3020&amp;" - "&amp;F3020</f>
        <v/>
      </c>
      <c r="H3020" s="36" t="inlineStr">
        <is>
          <t>RAS</t>
        </is>
      </c>
      <c r="I3020" s="45" t="inlineStr"/>
      <c r="J3020" s="45" t="inlineStr">
        <is>
          <t>RNCP37932</t>
        </is>
      </c>
      <c r="K3020" s="45" t="inlineStr">
        <is>
          <t>DIPLOVIS - Diplôme en Management International des Arts Culinaires</t>
        </is>
      </c>
      <c r="L3020" s="45" t="inlineStr">
        <is>
          <t>31/12/2030</t>
        </is>
      </c>
      <c r="M3020" s="45" t="inlineStr"/>
      <c r="N3020" s="50" t="inlineStr">
        <is>
          <t>NON</t>
        </is>
      </c>
      <c r="O3020" s="45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TP - Gestionnaire comptable et  fiscal</t>
        </is>
      </c>
      <c r="L3021" s="45" t="inlineStr">
        <is>
          <t>31/12/2030</t>
        </is>
      </c>
      <c r="M3021" s="45" t="inlineStr"/>
      <c r="N3021" s="50" t="inlineStr">
        <is>
          <t>NON</t>
        </is>
      </c>
      <c r="O3021" s="45" t="inlineStr"/>
    </row>
    <row r="3022" customFormat="1" s="4">
      <c r="A3022" s="45" t="n"/>
      <c r="B3022" s="46" t="inlineStr">
        <is>
          <t>32092</t>
        </is>
      </c>
      <c r="C3022" s="46">
        <f>LEFT(Tableau1[[#This Row],[Formacode]],3)</f>
        <v/>
      </c>
      <c r="D3022" s="47" t="n">
        <v>37988</v>
      </c>
      <c r="E3022" s="48">
        <f>"RNCP"&amp;D3022</f>
        <v/>
      </c>
      <c r="F3022" s="48" t="inlineStr">
        <is>
          <t>Diplôme visé - Diplôme supérieur en marketing, vente et gestion</t>
        </is>
      </c>
      <c r="G3022" s="49">
        <f>E3022&amp;" - "&amp;F3022</f>
        <v/>
      </c>
      <c r="H3022" s="36" t="inlineStr">
        <is>
          <t>RAS</t>
        </is>
      </c>
      <c r="I3022" s="45" t="inlineStr"/>
      <c r="J3022" s="45" t="inlineStr">
        <is>
          <t>RNCP37988</t>
        </is>
      </c>
      <c r="K3022" s="45" t="inlineStr">
        <is>
          <t>Diplôme visé - Diplôme supérieur en marketing, vente et gestion</t>
        </is>
      </c>
      <c r="L3022" s="45" t="inlineStr">
        <is>
          <t>31/12/2030</t>
        </is>
      </c>
      <c r="M3022" s="45" t="inlineStr"/>
      <c r="N3022" s="50" t="inlineStr">
        <is>
          <t>NON</t>
        </is>
      </c>
      <c r="O3022" s="45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31/12/2030</t>
        </is>
      </c>
      <c r="M3023" s="45" t="inlineStr"/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31/12/2030</t>
        </is>
      </c>
      <c r="M3024" s="45" t="inlineStr"/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DIPLOVIS - Programme supérieur de gestion et de commerce</t>
        </is>
      </c>
      <c r="L3025" s="45" t="inlineStr">
        <is>
          <t>31/12/2030</t>
        </is>
      </c>
      <c r="M3025" s="45" t="inlineStr"/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31/12/2030</t>
        </is>
      </c>
      <c r="M3026" s="45" t="inlineStr"/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DIPLOVIS - Responsable en marketing, commercialisation et gestion</t>
        </is>
      </c>
      <c r="L3027" s="45" t="inlineStr">
        <is>
          <t>31/12/2030</t>
        </is>
      </c>
      <c r="M3027" s="45" t="inlineStr"/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31/12/2030</t>
        </is>
      </c>
      <c r="M3028" s="45" t="inlineStr"/>
      <c r="N3028" s="50" t="inlineStr">
        <is>
          <t>NON</t>
        </is>
      </c>
      <c r="O3028" s="45" t="inlineStr"/>
    </row>
    <row r="3029" customFormat="1" s="4">
      <c r="A3029" s="45" t="n"/>
      <c r="B3029" s="46" t="inlineStr">
        <is>
          <t>32093</t>
        </is>
      </c>
      <c r="C3029" s="46">
        <f>LEFT(Tableau1[[#This Row],[Formacode]],3)</f>
        <v/>
      </c>
      <c r="D3029" s="47" t="n">
        <v>37719</v>
      </c>
      <c r="E3029" s="48">
        <f>"RNCP"&amp;D3029</f>
        <v/>
      </c>
      <c r="F3029" s="48" t="inlineStr">
        <is>
          <t>DIPLOVIS - Diplôme en management international de l'hôtellerie et de la restauration</t>
        </is>
      </c>
      <c r="G3029" s="49">
        <f>E3029&amp;" - "&amp;F3029</f>
        <v/>
      </c>
      <c r="H3029" s="36" t="inlineStr">
        <is>
          <t>RAS</t>
        </is>
      </c>
      <c r="I3029" s="45" t="inlineStr"/>
      <c r="J3029" s="45" t="inlineStr">
        <is>
          <t>RNCP37719</t>
        </is>
      </c>
      <c r="K3029" s="45" t="inlineStr">
        <is>
          <t>DIPLOVIS - Diplôme en management international de l'hôtellerie et de la restauration</t>
        </is>
      </c>
      <c r="L3029" s="45" t="inlineStr">
        <is>
          <t>31/12/2030</t>
        </is>
      </c>
      <c r="M3029" s="45" t="inlineStr"/>
      <c r="N3029" s="50" t="inlineStr">
        <is>
          <t>NON</t>
        </is>
      </c>
      <c r="O3029" s="45" t="inlineStr"/>
    </row>
    <row r="3030" customFormat="1" s="4">
      <c r="A3030" s="45" t="n"/>
      <c r="B3030" s="46" t="inlineStr">
        <is>
          <t>32093</t>
        </is>
      </c>
      <c r="C3030" s="46">
        <f>LEFT(Tableau1[[#This Row],[Formacode]],3)</f>
        <v/>
      </c>
      <c r="D3030" s="47" t="n">
        <v>37932</v>
      </c>
      <c r="E3030" s="48">
        <f>"RNCP"&amp;D3030</f>
        <v/>
      </c>
      <c r="F3030" s="48" t="inlineStr">
        <is>
          <t>DIPLOVIS - Diplôme en Management International des Arts Culinaires</t>
        </is>
      </c>
      <c r="G3030" s="49">
        <f>E3030&amp;" - "&amp;F3030</f>
        <v/>
      </c>
      <c r="H3030" s="36" t="inlineStr">
        <is>
          <t>RAS</t>
        </is>
      </c>
      <c r="I3030" s="45" t="inlineStr"/>
      <c r="J3030" s="45" t="inlineStr">
        <is>
          <t>RNCP37932</t>
        </is>
      </c>
      <c r="K3030" s="45" t="inlineStr">
        <is>
          <t>DIPLOVIS - Diplôme en Management International des Arts Culinaires</t>
        </is>
      </c>
      <c r="L3030" s="45" t="inlineStr">
        <is>
          <t>31/12/2030</t>
        </is>
      </c>
      <c r="M3030" s="45" t="inlineStr"/>
      <c r="N3030" s="50" t="inlineStr">
        <is>
          <t>NON</t>
        </is>
      </c>
      <c r="O3030" s="45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TP - Gestionnaire comptable et  fiscal</t>
        </is>
      </c>
      <c r="L3031" s="45" t="inlineStr">
        <is>
          <t>31/12/2030</t>
        </is>
      </c>
      <c r="M3031" s="45" t="inlineStr"/>
      <c r="N3031" s="50" t="inlineStr">
        <is>
          <t>NON</t>
        </is>
      </c>
      <c r="O3031" s="45" t="inlineStr"/>
    </row>
    <row r="3032" customFormat="1" s="4">
      <c r="A3032" s="45" t="n"/>
      <c r="B3032" s="46" t="inlineStr">
        <is>
          <t>32093</t>
        </is>
      </c>
      <c r="C3032" s="46">
        <f>LEFT(Tableau1[[#This Row],[Formacode]],3)</f>
        <v/>
      </c>
      <c r="D3032" s="47" t="n">
        <v>37988</v>
      </c>
      <c r="E3032" s="48">
        <f>"RNCP"&amp;D3032</f>
        <v/>
      </c>
      <c r="F3032" s="48" t="inlineStr">
        <is>
          <t>Diplôme visé - Diplôme supérieur en marketing, vente et gestion</t>
        </is>
      </c>
      <c r="G3032" s="49">
        <f>E3032&amp;" - "&amp;F3032</f>
        <v/>
      </c>
      <c r="H3032" s="36" t="inlineStr">
        <is>
          <t>RAS</t>
        </is>
      </c>
      <c r="I3032" s="45" t="inlineStr"/>
      <c r="J3032" s="45" t="inlineStr">
        <is>
          <t>RNCP37988</t>
        </is>
      </c>
      <c r="K3032" s="45" t="inlineStr">
        <is>
          <t>Diplôme visé - Diplôme supérieur en marketing, vente et gestion</t>
        </is>
      </c>
      <c r="L3032" s="45" t="inlineStr">
        <is>
          <t>31/12/2030</t>
        </is>
      </c>
      <c r="M3032" s="45" t="inlineStr"/>
      <c r="N3032" s="50" t="inlineStr">
        <is>
          <t>NON</t>
        </is>
      </c>
      <c r="O3032" s="45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31/12/2030</t>
        </is>
      </c>
      <c r="M3033" s="45" t="inlineStr"/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31/12/2030</t>
        </is>
      </c>
      <c r="M3034" s="45" t="inlineStr"/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DipViGrM - Programme Grande Ecole</t>
        </is>
      </c>
      <c r="L3035" s="45" t="inlineStr">
        <is>
          <t>31/12/2030</t>
        </is>
      </c>
      <c r="M3035" s="45" t="inlineStr"/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DIPLOVIS - Programme supérieur de gestion et de commerce</t>
        </is>
      </c>
      <c r="L3036" s="45" t="inlineStr">
        <is>
          <t>31/12/2030</t>
        </is>
      </c>
      <c r="M3036" s="45" t="inlineStr"/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31/12/2030</t>
        </is>
      </c>
      <c r="M3037" s="45" t="inlineStr"/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DIPLOVIS - Responsable en marketing, commercialisation et gestion</t>
        </is>
      </c>
      <c r="L3038" s="45" t="inlineStr">
        <is>
          <t>31/12/2030</t>
        </is>
      </c>
      <c r="M3038" s="45" t="inlineStr"/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31/12/2030</t>
        </is>
      </c>
      <c r="M3039" s="45" t="inlineStr"/>
      <c r="N3039" s="50" t="inlineStr">
        <is>
          <t>NON</t>
        </is>
      </c>
      <c r="O3039" s="45" t="inlineStr"/>
    </row>
    <row r="3040" customFormat="1" s="4">
      <c r="A3040" s="45" t="n"/>
      <c r="B3040" s="46" t="inlineStr">
        <is>
          <t>32094</t>
        </is>
      </c>
      <c r="C3040" s="46">
        <f>LEFT(Tableau1[[#This Row],[Formacode]],3)</f>
        <v/>
      </c>
      <c r="D3040" s="47" t="n">
        <v>37719</v>
      </c>
      <c r="E3040" s="48">
        <f>"RNCP"&amp;D3040</f>
        <v/>
      </c>
      <c r="F3040" s="48" t="inlineStr">
        <is>
          <t>DIPLOVIS - Diplôme en management international de l'hôtellerie et de la restauration</t>
        </is>
      </c>
      <c r="G3040" s="49">
        <f>E3040&amp;" - "&amp;F3040</f>
        <v/>
      </c>
      <c r="H3040" s="36" t="inlineStr">
        <is>
          <t>RAS</t>
        </is>
      </c>
      <c r="I3040" s="45" t="inlineStr"/>
      <c r="J3040" s="45" t="inlineStr">
        <is>
          <t>RNCP37719</t>
        </is>
      </c>
      <c r="K3040" s="45" t="inlineStr">
        <is>
          <t>DIPLOVIS - Diplôme en management international de l'hôtellerie et de la restauration</t>
        </is>
      </c>
      <c r="L3040" s="45" t="inlineStr">
        <is>
          <t>31/12/2030</t>
        </is>
      </c>
      <c r="M3040" s="45" t="inlineStr"/>
      <c r="N3040" s="50" t="inlineStr">
        <is>
          <t>NON</t>
        </is>
      </c>
      <c r="O3040" s="45" t="inlineStr"/>
    </row>
    <row r="3041" customFormat="1" s="4">
      <c r="A3041" s="45" t="n"/>
      <c r="B3041" s="46" t="inlineStr">
        <is>
          <t>32094</t>
        </is>
      </c>
      <c r="C3041" s="46">
        <f>LEFT(Tableau1[[#This Row],[Formacode]],3)</f>
        <v/>
      </c>
      <c r="D3041" s="47" t="n">
        <v>37932</v>
      </c>
      <c r="E3041" s="48">
        <f>"RNCP"&amp;D3041</f>
        <v/>
      </c>
      <c r="F3041" s="48" t="inlineStr">
        <is>
          <t>DIPLOVIS - Diplôme en Management International des Arts Culinaires</t>
        </is>
      </c>
      <c r="G3041" s="49">
        <f>E3041&amp;" - "&amp;F3041</f>
        <v/>
      </c>
      <c r="H3041" s="36" t="inlineStr">
        <is>
          <t>RAS</t>
        </is>
      </c>
      <c r="I3041" s="45" t="inlineStr"/>
      <c r="J3041" s="45" t="inlineStr">
        <is>
          <t>RNCP37932</t>
        </is>
      </c>
      <c r="K3041" s="45" t="inlineStr">
        <is>
          <t>DIPLOVIS - Diplôme en Management International des Arts Culinaires</t>
        </is>
      </c>
      <c r="L3041" s="45" t="inlineStr">
        <is>
          <t>31/12/2030</t>
        </is>
      </c>
      <c r="M3041" s="45" t="inlineStr"/>
      <c r="N3041" s="50" t="inlineStr">
        <is>
          <t>NON</t>
        </is>
      </c>
      <c r="O3041" s="45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TP - Gestionnaire comptable et  fiscal</t>
        </is>
      </c>
      <c r="L3042" s="45" t="inlineStr">
        <is>
          <t>31/12/2030</t>
        </is>
      </c>
      <c r="M3042" s="45" t="inlineStr"/>
      <c r="N3042" s="50" t="inlineStr">
        <is>
          <t>NON</t>
        </is>
      </c>
      <c r="O3042" s="45" t="inlineStr"/>
    </row>
    <row r="3043" customFormat="1" s="4">
      <c r="A3043" s="45" t="n"/>
      <c r="B3043" s="46" t="inlineStr">
        <is>
          <t>32094</t>
        </is>
      </c>
      <c r="C3043" s="46">
        <f>LEFT(Tableau1[[#This Row],[Formacode]],3)</f>
        <v/>
      </c>
      <c r="D3043" s="47" t="n">
        <v>37988</v>
      </c>
      <c r="E3043" s="48">
        <f>"RNCP"&amp;D3043</f>
        <v/>
      </c>
      <c r="F3043" s="48" t="inlineStr">
        <is>
          <t>Diplôme visé - Diplôme supérieur en marketing, vente et gestion</t>
        </is>
      </c>
      <c r="G3043" s="49">
        <f>E3043&amp;" - "&amp;F3043</f>
        <v/>
      </c>
      <c r="H3043" s="36" t="inlineStr">
        <is>
          <t>RAS</t>
        </is>
      </c>
      <c r="I3043" s="45" t="inlineStr"/>
      <c r="J3043" s="45" t="inlineStr">
        <is>
          <t>RNCP37988</t>
        </is>
      </c>
      <c r="K3043" s="45" t="inlineStr">
        <is>
          <t>Diplôme visé - Diplôme supérieur en marketing, vente et gestion</t>
        </is>
      </c>
      <c r="L3043" s="45" t="inlineStr">
        <is>
          <t>31/12/2030</t>
        </is>
      </c>
      <c r="M3043" s="45" t="inlineStr"/>
      <c r="N3043" s="50" t="inlineStr">
        <is>
          <t>NON</t>
        </is>
      </c>
      <c r="O3043" s="45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TP - Responsable de petite ou moyenne structure</t>
        </is>
      </c>
      <c r="L3044" s="45" t="inlineStr">
        <is>
          <t>31/12/2030</t>
        </is>
      </c>
      <c r="M3044" s="45" t="inlineStr"/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DIPLOVIS - Gestion et Développement Commercial</t>
        </is>
      </c>
      <c r="L3045" s="45" t="inlineStr">
        <is>
          <t>31/12/2030</t>
        </is>
      </c>
      <c r="M3045" s="45" t="inlineStr"/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31/12/2030</t>
        </is>
      </c>
      <c r="M3046" s="45" t="inlineStr"/>
      <c r="N3046" s="50" t="inlineStr">
        <is>
          <t>NON</t>
        </is>
      </c>
      <c r="O3046" s="45" t="inlineStr"/>
    </row>
    <row r="3047" customFormat="1" s="4">
      <c r="A3047" s="45" t="n"/>
      <c r="B3047" s="46" t="inlineStr">
        <is>
          <t>32094</t>
        </is>
      </c>
      <c r="C3047" s="46">
        <f>LEFT(Tableau1[[#This Row],[Formacode]],3)</f>
        <v/>
      </c>
      <c r="D3047" s="47" t="n">
        <v>39395</v>
      </c>
      <c r="E3047" s="48">
        <f>"RNCP"&amp;D3047</f>
        <v/>
      </c>
      <c r="F3047" s="48" t="inlineStr">
        <is>
          <t>Responsable d'agence et de commerce</t>
        </is>
      </c>
      <c r="G3047" s="49">
        <f>E3047&amp;" - "&amp;F3047</f>
        <v/>
      </c>
      <c r="H3047" s="36" t="inlineStr">
        <is>
          <t>RAS</t>
        </is>
      </c>
      <c r="I3047" s="45" t="inlineStr"/>
      <c r="J3047" s="45" t="inlineStr">
        <is>
          <t>RNCP39395</t>
        </is>
      </c>
      <c r="K3047" s="45" t="inlineStr">
        <is>
          <t>Responsable d'agence et de commerce</t>
        </is>
      </c>
      <c r="L3047" s="45" t="inlineStr">
        <is>
          <t>31/12/2030</t>
        </is>
      </c>
      <c r="M3047" s="45" t="inlineStr"/>
      <c r="N3047" s="50" t="inlineStr">
        <is>
          <t>NON</t>
        </is>
      </c>
      <c r="O3047" s="45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DIPLOVIS - Coordinateur de projets de développement international et sociétal</t>
        </is>
      </c>
      <c r="L3048" s="45" t="inlineStr">
        <is>
          <t>31/12/2030</t>
        </is>
      </c>
      <c r="M3048" s="45" t="inlineStr"/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31/12/2030</t>
        </is>
      </c>
      <c r="M3049" s="45" t="inlineStr"/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31/12/2030</t>
        </is>
      </c>
      <c r="M3050" s="45" t="inlineStr"/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31/12/2030</t>
        </is>
      </c>
      <c r="M3051" s="45" t="inlineStr"/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DIPLOVIS - Programme supérieur de gestion et de commerce</t>
        </is>
      </c>
      <c r="L3052" s="45" t="inlineStr">
        <is>
          <t>31/12/2030</t>
        </is>
      </c>
      <c r="M3052" s="45" t="inlineStr"/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31/12/2030</t>
        </is>
      </c>
      <c r="M3053" s="45" t="inlineStr"/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DIPLOVIS - Responsable en marketing, commercialisation et gestion</t>
        </is>
      </c>
      <c r="L3054" s="45" t="inlineStr">
        <is>
          <t>31/12/2030</t>
        </is>
      </c>
      <c r="M3054" s="45" t="inlineStr"/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31/12/2030</t>
        </is>
      </c>
      <c r="M3055" s="45" t="inlineStr"/>
      <c r="N3055" s="50" t="inlineStr">
        <is>
          <t>NON</t>
        </is>
      </c>
      <c r="O3055" s="45" t="inlineStr"/>
    </row>
    <row r="3056" customFormat="1" s="4">
      <c r="A3056" s="45" t="n"/>
      <c r="B3056" s="46" t="inlineStr">
        <is>
          <t>32095</t>
        </is>
      </c>
      <c r="C3056" s="46">
        <f>LEFT(Tableau1[[#This Row],[Formacode]],3)</f>
        <v/>
      </c>
      <c r="D3056" s="47" t="n">
        <v>37719</v>
      </c>
      <c r="E3056" s="48">
        <f>"RNCP"&amp;D3056</f>
        <v/>
      </c>
      <c r="F3056" s="48" t="inlineStr">
        <is>
          <t>DIPLOVIS - Diplôme en management international de l'hôtellerie et de la restauration</t>
        </is>
      </c>
      <c r="G3056" s="49">
        <f>E3056&amp;" - "&amp;F3056</f>
        <v/>
      </c>
      <c r="H3056" s="36" t="inlineStr">
        <is>
          <t>RAS</t>
        </is>
      </c>
      <c r="I3056" s="45" t="inlineStr"/>
      <c r="J3056" s="45" t="inlineStr">
        <is>
          <t>RNCP37719</t>
        </is>
      </c>
      <c r="K3056" s="45" t="inlineStr">
        <is>
          <t>DIPLOVIS - Diplôme en management international de l'hôtellerie et de la restauration</t>
        </is>
      </c>
      <c r="L3056" s="45" t="inlineStr">
        <is>
          <t>31/12/2030</t>
        </is>
      </c>
      <c r="M3056" s="45" t="inlineStr"/>
      <c r="N3056" s="50" t="inlineStr">
        <is>
          <t>NON</t>
        </is>
      </c>
      <c r="O3056" s="45" t="inlineStr"/>
    </row>
    <row r="3057" customFormat="1" s="4">
      <c r="A3057" s="45" t="n"/>
      <c r="B3057" s="46" t="inlineStr">
        <is>
          <t>32095</t>
        </is>
      </c>
      <c r="C3057" s="46">
        <f>LEFT(Tableau1[[#This Row],[Formacode]],3)</f>
        <v/>
      </c>
      <c r="D3057" s="47" t="n">
        <v>37932</v>
      </c>
      <c r="E3057" s="48">
        <f>"RNCP"&amp;D3057</f>
        <v/>
      </c>
      <c r="F3057" s="48" t="inlineStr">
        <is>
          <t>DIPLOVIS - Diplôme en Management International des Arts Culinaires</t>
        </is>
      </c>
      <c r="G3057" s="49">
        <f>E3057&amp;" - "&amp;F3057</f>
        <v/>
      </c>
      <c r="H3057" s="36" t="inlineStr">
        <is>
          <t>RAS</t>
        </is>
      </c>
      <c r="I3057" s="45" t="inlineStr"/>
      <c r="J3057" s="45" t="inlineStr">
        <is>
          <t>RNCP37932</t>
        </is>
      </c>
      <c r="K3057" s="45" t="inlineStr">
        <is>
          <t>DIPLOVIS - Diplôme en Management International des Arts Culinaires</t>
        </is>
      </c>
      <c r="L3057" s="45" t="inlineStr">
        <is>
          <t>31/12/2030</t>
        </is>
      </c>
      <c r="M3057" s="45" t="inlineStr"/>
      <c r="N3057" s="50" t="inlineStr">
        <is>
          <t>NON</t>
        </is>
      </c>
      <c r="O3057" s="45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TP - Gestionnaire comptable et  fiscal</t>
        </is>
      </c>
      <c r="L3058" s="45" t="inlineStr">
        <is>
          <t>31/12/2030</t>
        </is>
      </c>
      <c r="M3058" s="45" t="inlineStr"/>
      <c r="N3058" s="50" t="inlineStr">
        <is>
          <t>NON</t>
        </is>
      </c>
      <c r="O3058" s="45" t="inlineStr"/>
    </row>
    <row r="3059" customFormat="1" s="4">
      <c r="A3059" s="45" t="n"/>
      <c r="B3059" s="46" t="inlineStr">
        <is>
          <t>32095</t>
        </is>
      </c>
      <c r="C3059" s="46">
        <f>LEFT(Tableau1[[#This Row],[Formacode]],3)</f>
        <v/>
      </c>
      <c r="D3059" s="47" t="n">
        <v>37988</v>
      </c>
      <c r="E3059" s="48">
        <f>"RNCP"&amp;D3059</f>
        <v/>
      </c>
      <c r="F3059" s="48" t="inlineStr">
        <is>
          <t>Diplôme visé - Diplôme supérieur en marketing, vente et gestion</t>
        </is>
      </c>
      <c r="G3059" s="49">
        <f>E3059&amp;" - "&amp;F3059</f>
        <v/>
      </c>
      <c r="H3059" s="36" t="inlineStr">
        <is>
          <t>RAS</t>
        </is>
      </c>
      <c r="I3059" s="45" t="inlineStr"/>
      <c r="J3059" s="45" t="inlineStr">
        <is>
          <t>RNCP37988</t>
        </is>
      </c>
      <c r="K3059" s="45" t="inlineStr">
        <is>
          <t>Diplôme visé - Diplôme supérieur en marketing, vente et gestion</t>
        </is>
      </c>
      <c r="L3059" s="45" t="inlineStr">
        <is>
          <t>31/12/2030</t>
        </is>
      </c>
      <c r="M3059" s="45" t="inlineStr"/>
      <c r="N3059" s="50" t="inlineStr">
        <is>
          <t>NON</t>
        </is>
      </c>
      <c r="O3059" s="45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31/12/2030</t>
        </is>
      </c>
      <c r="M3060" s="45" t="inlineStr"/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31/12/2030</t>
        </is>
      </c>
      <c r="M3061" s="45" t="inlineStr"/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DIPLOVIS - Programme supérieur de gestion et de commerce</t>
        </is>
      </c>
      <c r="L3062" s="45" t="inlineStr">
        <is>
          <t>31/12/2030</t>
        </is>
      </c>
      <c r="M3062" s="45" t="inlineStr"/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31/12/2030</t>
        </is>
      </c>
      <c r="M3063" s="45" t="inlineStr"/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DIPLOVIS - Responsable en marketing, commercialisation et gestion</t>
        </is>
      </c>
      <c r="L3064" s="45" t="inlineStr">
        <is>
          <t>31/12/2030</t>
        </is>
      </c>
      <c r="M3064" s="45" t="inlineStr"/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31/12/2030</t>
        </is>
      </c>
      <c r="M3065" s="45" t="inlineStr"/>
      <c r="N3065" s="50" t="inlineStr">
        <is>
          <t>NON</t>
        </is>
      </c>
      <c r="O3065" s="45" t="inlineStr"/>
    </row>
    <row r="3066" customFormat="1" s="4">
      <c r="A3066" s="45" t="n"/>
      <c r="B3066" s="46" t="inlineStr">
        <is>
          <t>32096</t>
        </is>
      </c>
      <c r="C3066" s="46">
        <f>LEFT(Tableau1[[#This Row],[Formacode]],3)</f>
        <v/>
      </c>
      <c r="D3066" s="47" t="n">
        <v>37719</v>
      </c>
      <c r="E3066" s="48">
        <f>"RNCP"&amp;D3066</f>
        <v/>
      </c>
      <c r="F3066" s="48" t="inlineStr">
        <is>
          <t>DIPLOVIS - Diplôme en management international de l'hôtellerie et de la restauration</t>
        </is>
      </c>
      <c r="G3066" s="49">
        <f>E3066&amp;" - "&amp;F3066</f>
        <v/>
      </c>
      <c r="H3066" s="36" t="inlineStr">
        <is>
          <t>RAS</t>
        </is>
      </c>
      <c r="I3066" s="45" t="inlineStr"/>
      <c r="J3066" s="45" t="inlineStr">
        <is>
          <t>RNCP37719</t>
        </is>
      </c>
      <c r="K3066" s="45" t="inlineStr">
        <is>
          <t>DIPLOVIS - Diplôme en management international de l'hôtellerie et de la restauration</t>
        </is>
      </c>
      <c r="L3066" s="45" t="inlineStr">
        <is>
          <t>31/12/2030</t>
        </is>
      </c>
      <c r="M3066" s="45" t="inlineStr"/>
      <c r="N3066" s="50" t="inlineStr">
        <is>
          <t>NON</t>
        </is>
      </c>
      <c r="O3066" s="45" t="inlineStr"/>
    </row>
    <row r="3067" customFormat="1" s="4">
      <c r="A3067" s="45" t="n"/>
      <c r="B3067" s="46" t="inlineStr">
        <is>
          <t>32096</t>
        </is>
      </c>
      <c r="C3067" s="46">
        <f>LEFT(Tableau1[[#This Row],[Formacode]],3)</f>
        <v/>
      </c>
      <c r="D3067" s="47" t="n">
        <v>37932</v>
      </c>
      <c r="E3067" s="48">
        <f>"RNCP"&amp;D3067</f>
        <v/>
      </c>
      <c r="F3067" s="48" t="inlineStr">
        <is>
          <t>DIPLOVIS - Diplôme en Management International des Arts Culinaires</t>
        </is>
      </c>
      <c r="G3067" s="49">
        <f>E3067&amp;" - "&amp;F3067</f>
        <v/>
      </c>
      <c r="H3067" s="36" t="inlineStr">
        <is>
          <t>RAS</t>
        </is>
      </c>
      <c r="I3067" s="45" t="inlineStr"/>
      <c r="J3067" s="45" t="inlineStr">
        <is>
          <t>RNCP37932</t>
        </is>
      </c>
      <c r="K3067" s="45" t="inlineStr">
        <is>
          <t>DIPLOVIS - Diplôme en Management International des Arts Culinaires</t>
        </is>
      </c>
      <c r="L3067" s="45" t="inlineStr">
        <is>
          <t>31/12/2030</t>
        </is>
      </c>
      <c r="M3067" s="45" t="inlineStr"/>
      <c r="N3067" s="50" t="inlineStr">
        <is>
          <t>NON</t>
        </is>
      </c>
      <c r="O3067" s="45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TP - Gestionnaire comptable et  fiscal</t>
        </is>
      </c>
      <c r="L3068" s="45" t="inlineStr">
        <is>
          <t>31/12/2030</t>
        </is>
      </c>
      <c r="M3068" s="45" t="inlineStr"/>
      <c r="N3068" s="50" t="inlineStr">
        <is>
          <t>NON</t>
        </is>
      </c>
      <c r="O3068" s="45" t="inlineStr"/>
    </row>
    <row r="3069" customFormat="1" s="4">
      <c r="A3069" s="45" t="n"/>
      <c r="B3069" s="46" t="inlineStr">
        <is>
          <t>32096</t>
        </is>
      </c>
      <c r="C3069" s="46">
        <f>LEFT(Tableau1[[#This Row],[Formacode]],3)</f>
        <v/>
      </c>
      <c r="D3069" s="47" t="n">
        <v>37988</v>
      </c>
      <c r="E3069" s="48">
        <f>"RNCP"&amp;D3069</f>
        <v/>
      </c>
      <c r="F3069" s="48" t="inlineStr">
        <is>
          <t>Diplôme visé - Diplôme supérieur en marketing, vente et gestion</t>
        </is>
      </c>
      <c r="G3069" s="49">
        <f>E3069&amp;" - "&amp;F3069</f>
        <v/>
      </c>
      <c r="H3069" s="36" t="inlineStr">
        <is>
          <t>RAS</t>
        </is>
      </c>
      <c r="I3069" s="45" t="inlineStr"/>
      <c r="J3069" s="45" t="inlineStr">
        <is>
          <t>RNCP37988</t>
        </is>
      </c>
      <c r="K3069" s="45" t="inlineStr">
        <is>
          <t>Diplôme visé - Diplôme supérieur en marketing, vente et gestion</t>
        </is>
      </c>
      <c r="L3069" s="45" t="inlineStr">
        <is>
          <t>31/12/2030</t>
        </is>
      </c>
      <c r="M3069" s="45" t="inlineStr"/>
      <c r="N3069" s="50" t="inlineStr">
        <is>
          <t>NON</t>
        </is>
      </c>
      <c r="O3069" s="45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31/12/2030</t>
        </is>
      </c>
      <c r="M3070" s="45" t="inlineStr"/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31/12/2030</t>
        </is>
      </c>
      <c r="M3071" s="45" t="inlineStr"/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DIPLOVIS - Programme supérieur de gestion et de commerce</t>
        </is>
      </c>
      <c r="L3072" s="45" t="inlineStr">
        <is>
          <t>31/12/2030</t>
        </is>
      </c>
      <c r="M3072" s="45" t="inlineStr"/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31/12/2030</t>
        </is>
      </c>
      <c r="M3073" s="45" t="inlineStr"/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DIPLOVIS - Responsable en marketing, commercialisation et gestion</t>
        </is>
      </c>
      <c r="L3074" s="45" t="inlineStr">
        <is>
          <t>31/12/2030</t>
        </is>
      </c>
      <c r="M3074" s="45" t="inlineStr"/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31/12/2030</t>
        </is>
      </c>
      <c r="M3075" s="45" t="inlineStr"/>
      <c r="N3075" s="50" t="inlineStr">
        <is>
          <t>NON</t>
        </is>
      </c>
      <c r="O3075" s="45" t="inlineStr"/>
    </row>
    <row r="3076" customFormat="1" s="4">
      <c r="A3076" s="45" t="n"/>
      <c r="B3076" s="46" t="inlineStr">
        <is>
          <t>32097</t>
        </is>
      </c>
      <c r="C3076" s="46">
        <f>LEFT(Tableau1[[#This Row],[Formacode]],3)</f>
        <v/>
      </c>
      <c r="D3076" s="47" t="n">
        <v>37719</v>
      </c>
      <c r="E3076" s="48">
        <f>"RNCP"&amp;D3076</f>
        <v/>
      </c>
      <c r="F3076" s="48" t="inlineStr">
        <is>
          <t>DIPLOVIS - Diplôme en management international de l'hôtellerie et de la restauration</t>
        </is>
      </c>
      <c r="G3076" s="49">
        <f>E3076&amp;" - "&amp;F3076</f>
        <v/>
      </c>
      <c r="H3076" s="36" t="inlineStr">
        <is>
          <t>RAS</t>
        </is>
      </c>
      <c r="I3076" s="45" t="inlineStr"/>
      <c r="J3076" s="45" t="inlineStr">
        <is>
          <t>RNCP37719</t>
        </is>
      </c>
      <c r="K3076" s="45" t="inlineStr">
        <is>
          <t>DIPLOVIS - Diplôme en management international de l'hôtellerie et de la restauration</t>
        </is>
      </c>
      <c r="L3076" s="45" t="inlineStr">
        <is>
          <t>31/12/2030</t>
        </is>
      </c>
      <c r="M3076" s="45" t="inlineStr"/>
      <c r="N3076" s="50" t="inlineStr">
        <is>
          <t>NON</t>
        </is>
      </c>
      <c r="O3076" s="45" t="inlineStr"/>
    </row>
    <row r="3077" customFormat="1" s="4">
      <c r="A3077" s="45" t="n"/>
      <c r="B3077" s="46" t="inlineStr">
        <is>
          <t>32097</t>
        </is>
      </c>
      <c r="C3077" s="46">
        <f>LEFT(Tableau1[[#This Row],[Formacode]],3)</f>
        <v/>
      </c>
      <c r="D3077" s="47" t="n">
        <v>37932</v>
      </c>
      <c r="E3077" s="48">
        <f>"RNCP"&amp;D3077</f>
        <v/>
      </c>
      <c r="F3077" s="48" t="inlineStr">
        <is>
          <t>DIPLOVIS - Diplôme en Management International des Arts Culinaires</t>
        </is>
      </c>
      <c r="G3077" s="49">
        <f>E3077&amp;" - "&amp;F3077</f>
        <v/>
      </c>
      <c r="H3077" s="36" t="inlineStr">
        <is>
          <t>RAS</t>
        </is>
      </c>
      <c r="I3077" s="45" t="inlineStr"/>
      <c r="J3077" s="45" t="inlineStr">
        <is>
          <t>RNCP37932</t>
        </is>
      </c>
      <c r="K3077" s="45" t="inlineStr">
        <is>
          <t>DIPLOVIS - Diplôme en Management International des Arts Culinaires</t>
        </is>
      </c>
      <c r="L3077" s="45" t="inlineStr">
        <is>
          <t>31/12/2030</t>
        </is>
      </c>
      <c r="M3077" s="45" t="inlineStr"/>
      <c r="N3077" s="50" t="inlineStr">
        <is>
          <t>NON</t>
        </is>
      </c>
      <c r="O3077" s="45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TP - Gestionnaire comptable et  fiscal</t>
        </is>
      </c>
      <c r="L3078" s="45" t="inlineStr">
        <is>
          <t>31/12/2030</t>
        </is>
      </c>
      <c r="M3078" s="45" t="inlineStr"/>
      <c r="N3078" s="50" t="inlineStr">
        <is>
          <t>NON</t>
        </is>
      </c>
      <c r="O3078" s="45" t="inlineStr"/>
    </row>
    <row r="3079" customFormat="1" s="4">
      <c r="A3079" s="45" t="n"/>
      <c r="B3079" s="46" t="inlineStr">
        <is>
          <t>32097</t>
        </is>
      </c>
      <c r="C3079" s="46">
        <f>LEFT(Tableau1[[#This Row],[Formacode]],3)</f>
        <v/>
      </c>
      <c r="D3079" s="47" t="n">
        <v>37988</v>
      </c>
      <c r="E3079" s="48">
        <f>"RNCP"&amp;D3079</f>
        <v/>
      </c>
      <c r="F3079" s="48" t="inlineStr">
        <is>
          <t>Diplôme visé - Diplôme supérieur en marketing, vente et gestion</t>
        </is>
      </c>
      <c r="G3079" s="49">
        <f>E3079&amp;" - "&amp;F3079</f>
        <v/>
      </c>
      <c r="H3079" s="36" t="inlineStr">
        <is>
          <t>RAS</t>
        </is>
      </c>
      <c r="I3079" s="45" t="inlineStr"/>
      <c r="J3079" s="45" t="inlineStr">
        <is>
          <t>RNCP37988</t>
        </is>
      </c>
      <c r="K3079" s="45" t="inlineStr">
        <is>
          <t>Diplôme visé - Diplôme supérieur en marketing, vente et gestion</t>
        </is>
      </c>
      <c r="L3079" s="45" t="inlineStr">
        <is>
          <t>31/12/2030</t>
        </is>
      </c>
      <c r="M3079" s="45" t="inlineStr"/>
      <c r="N3079" s="50" t="inlineStr">
        <is>
          <t>NON</t>
        </is>
      </c>
      <c r="O3079" s="45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31/12/2030</t>
        </is>
      </c>
      <c r="M3080" s="45" t="inlineStr"/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31/12/2030</t>
        </is>
      </c>
      <c r="M3081" s="45" t="inlineStr"/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31/12/2030</t>
        </is>
      </c>
      <c r="M3082" s="45" t="inlineStr"/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DIPLOVIS - Programme supérieur de gestion et de commerce</t>
        </is>
      </c>
      <c r="L3083" s="45" t="inlineStr">
        <is>
          <t>31/12/2030</t>
        </is>
      </c>
      <c r="M3083" s="45" t="inlineStr"/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31/12/2030</t>
        </is>
      </c>
      <c r="M3084" s="45" t="inlineStr"/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DIPLOVIS - Responsable en marketing, commercialisation et gestion</t>
        </is>
      </c>
      <c r="L3085" s="45" t="inlineStr">
        <is>
          <t>31/12/2030</t>
        </is>
      </c>
      <c r="M3085" s="45" t="inlineStr"/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31/12/2030</t>
        </is>
      </c>
      <c r="M3086" s="45" t="inlineStr"/>
      <c r="N3086" s="50" t="inlineStr">
        <is>
          <t>NON</t>
        </is>
      </c>
      <c r="O3086" s="45" t="inlineStr"/>
    </row>
    <row r="3087" customFormat="1" s="4">
      <c r="A3087" s="45" t="n"/>
      <c r="B3087" s="46" t="inlineStr">
        <is>
          <t>32098</t>
        </is>
      </c>
      <c r="C3087" s="46">
        <f>LEFT(Tableau1[[#This Row],[Formacode]],3)</f>
        <v/>
      </c>
      <c r="D3087" s="47" t="n">
        <v>37719</v>
      </c>
      <c r="E3087" s="48">
        <f>"RNCP"&amp;D3087</f>
        <v/>
      </c>
      <c r="F3087" s="48" t="inlineStr">
        <is>
          <t>DIPLOVIS - Diplôme en management international de l'hôtellerie et de la restauration</t>
        </is>
      </c>
      <c r="G3087" s="49">
        <f>E3087&amp;" - "&amp;F3087</f>
        <v/>
      </c>
      <c r="H3087" s="36" t="inlineStr">
        <is>
          <t>RAS</t>
        </is>
      </c>
      <c r="I3087" s="45" t="inlineStr"/>
      <c r="J3087" s="45" t="inlineStr">
        <is>
          <t>RNCP37719</t>
        </is>
      </c>
      <c r="K3087" s="45" t="inlineStr">
        <is>
          <t>DIPLOVIS - Diplôme en management international de l'hôtellerie et de la restauration</t>
        </is>
      </c>
      <c r="L3087" s="45" t="inlineStr">
        <is>
          <t>31/12/2030</t>
        </is>
      </c>
      <c r="M3087" s="45" t="inlineStr"/>
      <c r="N3087" s="50" t="inlineStr">
        <is>
          <t>NON</t>
        </is>
      </c>
      <c r="O3087" s="45" t="inlineStr"/>
    </row>
    <row r="3088" customFormat="1" s="4">
      <c r="A3088" s="45" t="n"/>
      <c r="B3088" s="46" t="inlineStr">
        <is>
          <t>32098</t>
        </is>
      </c>
      <c r="C3088" s="46">
        <f>LEFT(Tableau1[[#This Row],[Formacode]],3)</f>
        <v/>
      </c>
      <c r="D3088" s="47" t="n">
        <v>37932</v>
      </c>
      <c r="E3088" s="48">
        <f>"RNCP"&amp;D3088</f>
        <v/>
      </c>
      <c r="F3088" s="48" t="inlineStr">
        <is>
          <t>DIPLOVIS - Diplôme en Management International des Arts Culinaires</t>
        </is>
      </c>
      <c r="G3088" s="49">
        <f>E3088&amp;" - "&amp;F3088</f>
        <v/>
      </c>
      <c r="H3088" s="36" t="inlineStr">
        <is>
          <t>RAS</t>
        </is>
      </c>
      <c r="I3088" s="45" t="inlineStr"/>
      <c r="J3088" s="45" t="inlineStr">
        <is>
          <t>RNCP37932</t>
        </is>
      </c>
      <c r="K3088" s="45" t="inlineStr">
        <is>
          <t>DIPLOVIS - Diplôme en Management International des Arts Culinaires</t>
        </is>
      </c>
      <c r="L3088" s="45" t="inlineStr">
        <is>
          <t>31/12/2030</t>
        </is>
      </c>
      <c r="M3088" s="45" t="inlineStr"/>
      <c r="N3088" s="50" t="inlineStr">
        <is>
          <t>NON</t>
        </is>
      </c>
      <c r="O3088" s="45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TP - Gestionnaire comptable et  fiscal</t>
        </is>
      </c>
      <c r="L3089" s="45" t="inlineStr">
        <is>
          <t>31/12/2030</t>
        </is>
      </c>
      <c r="M3089" s="45" t="inlineStr"/>
      <c r="N3089" s="50" t="inlineStr">
        <is>
          <t>NON</t>
        </is>
      </c>
      <c r="O3089" s="45" t="inlineStr"/>
    </row>
    <row r="3090" customFormat="1" s="4">
      <c r="A3090" s="45" t="n"/>
      <c r="B3090" s="46" t="inlineStr">
        <is>
          <t>32098</t>
        </is>
      </c>
      <c r="C3090" s="46">
        <f>LEFT(Tableau1[[#This Row],[Formacode]],3)</f>
        <v/>
      </c>
      <c r="D3090" s="47" t="n">
        <v>37988</v>
      </c>
      <c r="E3090" s="48">
        <f>"RNCP"&amp;D3090</f>
        <v/>
      </c>
      <c r="F3090" s="48" t="inlineStr">
        <is>
          <t>Diplôme visé - Diplôme supérieur en marketing, vente et gestion</t>
        </is>
      </c>
      <c r="G3090" s="49">
        <f>E3090&amp;" - "&amp;F3090</f>
        <v/>
      </c>
      <c r="H3090" s="36" t="inlineStr">
        <is>
          <t>RAS</t>
        </is>
      </c>
      <c r="I3090" s="45" t="inlineStr"/>
      <c r="J3090" s="45" t="inlineStr">
        <is>
          <t>RNCP37988</t>
        </is>
      </c>
      <c r="K3090" s="45" t="inlineStr">
        <is>
          <t>Diplôme visé - Diplôme supérieur en marketing, vente et gestion</t>
        </is>
      </c>
      <c r="L3090" s="45" t="inlineStr">
        <is>
          <t>31/12/2030</t>
        </is>
      </c>
      <c r="M3090" s="45" t="inlineStr"/>
      <c r="N3090" s="50" t="inlineStr">
        <is>
          <t>NON</t>
        </is>
      </c>
      <c r="O3090" s="45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31/12/2030</t>
        </is>
      </c>
      <c r="M3091" s="45" t="inlineStr"/>
      <c r="N3091" s="50" t="inlineStr">
        <is>
          <t>NON</t>
        </is>
      </c>
      <c r="O3091" s="45" t="inlineStr"/>
    </row>
    <row r="3092" customFormat="1" s="4">
      <c r="A3092" s="45" t="n"/>
      <c r="B3092" s="46" t="inlineStr">
        <is>
          <t>32098</t>
        </is>
      </c>
      <c r="C3092" s="46">
        <f>LEFT(Tableau1[[#This Row],[Formacode]],3)</f>
        <v/>
      </c>
      <c r="D3092" s="47" t="n">
        <v>39763</v>
      </c>
      <c r="E3092" s="48">
        <f>"RNCP"&amp;D3092</f>
        <v/>
      </c>
      <c r="F3092" s="48" t="inlineStr">
        <is>
          <t>Manager de la performance financière</t>
        </is>
      </c>
      <c r="G3092" s="49">
        <f>E3092&amp;" - "&amp;F3092</f>
        <v/>
      </c>
      <c r="H3092" s="36" t="inlineStr">
        <is>
          <t>RAS</t>
        </is>
      </c>
      <c r="I3092" s="45" t="inlineStr"/>
      <c r="J3092" s="45" t="inlineStr">
        <is>
          <t>RNCP39763</t>
        </is>
      </c>
      <c r="K3092" s="45" t="inlineStr">
        <is>
          <t>Manager de la performance financière</t>
        </is>
      </c>
      <c r="L3092" s="45" t="inlineStr">
        <is>
          <t>31/12/2030</t>
        </is>
      </c>
      <c r="M3092" s="45" t="inlineStr"/>
      <c r="N3092" s="50" t="inlineStr">
        <is>
          <t>NON</t>
        </is>
      </c>
      <c r="O3092" s="45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31/12/2030</t>
        </is>
      </c>
      <c r="M3093" s="45" t="inlineStr"/>
      <c r="N3093" s="50" t="inlineStr">
        <is>
          <t>NON</t>
        </is>
      </c>
      <c r="O3093" s="45" t="inlineStr"/>
    </row>
    <row r="3094" customFormat="1" s="3">
      <c r="A3094" s="45" t="n"/>
      <c r="B3094" s="46" t="inlineStr">
        <is>
          <t>32102</t>
        </is>
      </c>
      <c r="C3094" s="46">
        <f>LEFT(Tableau1[[#This Row],[Formacode]],3)</f>
        <v/>
      </c>
      <c r="D3094" s="47" t="n">
        <v>35233</v>
      </c>
      <c r="E3094" s="48">
        <f>"RNCP"&amp;D3094</f>
        <v/>
      </c>
      <c r="F3094" s="48" t="inlineStr">
        <is>
          <t>TP - Assistant manager d’unité marchande</t>
        </is>
      </c>
      <c r="G3094" s="49">
        <f>E3094&amp;" - "&amp;F3094</f>
        <v/>
      </c>
      <c r="H3094" s="36" t="inlineStr">
        <is>
          <t>RAS</t>
        </is>
      </c>
      <c r="I3094" s="45" t="inlineStr"/>
      <c r="J3094" s="45" t="inlineStr">
        <is>
          <t>RNCP35233</t>
        </is>
      </c>
      <c r="K3094" s="45" t="inlineStr">
        <is>
          <t>TP - Assistant manager d’unité marchande</t>
        </is>
      </c>
      <c r="L3094" s="45" t="inlineStr">
        <is>
          <t>31/12/2030</t>
        </is>
      </c>
      <c r="M3094" s="45" t="inlineStr"/>
      <c r="N3094" s="50" t="inlineStr">
        <is>
          <t>NON</t>
        </is>
      </c>
      <c r="O3094" s="45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31/12/2030</t>
        </is>
      </c>
      <c r="M3095" s="45" t="inlineStr"/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31/12/2030</t>
        </is>
      </c>
      <c r="M3096" s="45" t="inlineStr"/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31/12/2030</t>
        </is>
      </c>
      <c r="M3097" s="45" t="inlineStr"/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31/12/2030</t>
        </is>
      </c>
      <c r="M3098" s="45" t="inlineStr"/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31/12/2030</t>
        </is>
      </c>
      <c r="M3099" s="45" t="inlineStr"/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Brevet de technicien supérieur - Métiers de l’esthétique, de la cosmétique et de la parfumerie</t>
        </is>
      </c>
      <c r="L3100" s="45" t="inlineStr">
        <is>
          <t>31/12/2030</t>
        </is>
      </c>
      <c r="M3100" s="45" t="inlineStr"/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31/12/2030</t>
        </is>
      </c>
      <c r="M3101" s="45" t="inlineStr"/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31/12/2030</t>
        </is>
      </c>
      <c r="M3102" s="45" t="inlineStr"/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BTS - Management commercial opérationnel</t>
        </is>
      </c>
      <c r="L3103" s="45" t="inlineStr">
        <is>
          <t>31/12/2030</t>
        </is>
      </c>
      <c r="M3103" s="45" t="inlineStr"/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TP - Conducteur d'équipements agroalimentaires</t>
        </is>
      </c>
      <c r="L3104" s="45" t="inlineStr">
        <is>
          <t>31/12/2030</t>
        </is>
      </c>
      <c r="M3104" s="45" t="inlineStr"/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31/12/2030</t>
        </is>
      </c>
      <c r="M3105" s="45" t="inlineStr"/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31/12/2030</t>
        </is>
      </c>
      <c r="M3106" s="45" t="inlineStr"/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Grade_Master - Diplôme des Instituts d’Études Politiques – Sciences Po</t>
        </is>
      </c>
      <c r="L3107" s="45" t="inlineStr">
        <is>
          <t>31/12/2030</t>
        </is>
      </c>
      <c r="M3107" s="45" t="inlineStr"/>
      <c r="N3107" s="50" t="inlineStr">
        <is>
          <t>NON</t>
        </is>
      </c>
      <c r="O3107" s="45" t="inlineStr"/>
    </row>
    <row r="3108" customFormat="1" s="3">
      <c r="A3108" s="45" t="n"/>
      <c r="B3108" s="46" t="inlineStr">
        <is>
          <t>32102</t>
        </is>
      </c>
      <c r="C3108" s="46">
        <f>LEFT(Tableau1[[#This Row],[Formacode]],3)</f>
        <v/>
      </c>
      <c r="D3108" s="47" t="n">
        <v>39160</v>
      </c>
      <c r="E3108" s="48">
        <f>"RNCP"&amp;D3108</f>
        <v/>
      </c>
      <c r="F3108" s="48" t="inlineStr">
        <is>
          <t>Diplôme visé grade de master - Programme Grande Ecole</t>
        </is>
      </c>
      <c r="G3108" s="49">
        <f>E3108&amp;" - "&amp;F3108</f>
        <v/>
      </c>
      <c r="H3108" s="36" t="inlineStr">
        <is>
          <t>RAS</t>
        </is>
      </c>
      <c r="I3108" s="45" t="inlineStr"/>
      <c r="J3108" s="45" t="inlineStr">
        <is>
          <t>RNCP39160</t>
        </is>
      </c>
      <c r="K3108" s="45" t="inlineStr">
        <is>
          <t>Diplôme visé grade de master - Programme Grande Ecole</t>
        </is>
      </c>
      <c r="L3108" s="45" t="inlineStr">
        <is>
          <t>31/12/2030</t>
        </is>
      </c>
      <c r="M3108" s="45" t="inlineStr"/>
      <c r="N3108" s="50" t="inlineStr">
        <is>
          <t>NON</t>
        </is>
      </c>
      <c r="O3108" s="45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31/12/2030</t>
        </is>
      </c>
      <c r="M3109" s="45" t="inlineStr"/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31/12/2030</t>
        </is>
      </c>
      <c r="M3110" s="45" t="inlineStr"/>
      <c r="N3110" s="50" t="inlineStr">
        <is>
          <t>NON</t>
        </is>
      </c>
      <c r="O3110" s="45" t="inlineStr"/>
    </row>
    <row r="3111" customFormat="1" s="3">
      <c r="A3111" s="45" t="n"/>
      <c r="B3111" s="46" t="inlineStr">
        <is>
          <t>32102</t>
        </is>
      </c>
      <c r="C3111" s="46">
        <f>LEFT(Tableau1[[#This Row],[Formacode]],3)</f>
        <v/>
      </c>
      <c r="D3111" s="47" t="n">
        <v>39763</v>
      </c>
      <c r="E3111" s="48">
        <f>"RNCP"&amp;D3111</f>
        <v/>
      </c>
      <c r="F3111" s="48" t="inlineStr">
        <is>
          <t>Manager de la performance financière</t>
        </is>
      </c>
      <c r="G3111" s="49">
        <f>E3111&amp;" - "&amp;F3111</f>
        <v/>
      </c>
      <c r="H3111" s="36" t="inlineStr">
        <is>
          <t>RAS</t>
        </is>
      </c>
      <c r="I3111" s="45" t="inlineStr"/>
      <c r="J3111" s="45" t="inlineStr">
        <is>
          <t>RNCP39763</t>
        </is>
      </c>
      <c r="K3111" s="45" t="inlineStr">
        <is>
          <t>Manager de la performance financière</t>
        </is>
      </c>
      <c r="L3111" s="45" t="inlineStr">
        <is>
          <t>31/12/2030</t>
        </is>
      </c>
      <c r="M3111" s="45" t="inlineStr"/>
      <c r="N3111" s="50" t="inlineStr">
        <is>
          <t>NON</t>
        </is>
      </c>
      <c r="O3111" s="45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31/12/2030</t>
        </is>
      </c>
      <c r="M3112" s="45" t="inlineStr"/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31/12/2030</t>
        </is>
      </c>
      <c r="M3113" s="45" t="inlineStr"/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31/12/2030</t>
        </is>
      </c>
      <c r="M3114" s="45" t="inlineStr"/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31/12/2030</t>
        </is>
      </c>
      <c r="M3115" s="45" t="inlineStr"/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31/12/2030</t>
        </is>
      </c>
      <c r="M3116" s="45" t="inlineStr"/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BTS - Management opérationnel de la sécurité</t>
        </is>
      </c>
      <c r="L3117" s="45" t="inlineStr">
        <is>
          <t>31/12/2030</t>
        </is>
      </c>
      <c r="M3117" s="45" t="inlineStr"/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31/12/2030</t>
        </is>
      </c>
      <c r="M3118" s="45" t="inlineStr"/>
      <c r="N3118" s="50" t="inlineStr">
        <is>
          <t>NON</t>
        </is>
      </c>
      <c r="O3118" s="45" t="inlineStr"/>
    </row>
    <row r="3119" customFormat="1" s="3">
      <c r="A3119" s="45" t="n"/>
      <c r="B3119" s="46" t="inlineStr">
        <is>
          <t>32103</t>
        </is>
      </c>
      <c r="C3119" s="46">
        <f>LEFT(Tableau1[[#This Row],[Formacode]],3)</f>
        <v/>
      </c>
      <c r="D3119" s="47" t="n">
        <v>35233</v>
      </c>
      <c r="E3119" s="48">
        <f>"RNCP"&amp;D3119</f>
        <v/>
      </c>
      <c r="F3119" s="48" t="inlineStr">
        <is>
          <t>TP - Assistant manager d’unité marchande</t>
        </is>
      </c>
      <c r="G3119" s="49">
        <f>E3119&amp;" - "&amp;F3119</f>
        <v/>
      </c>
      <c r="H3119" s="36" t="inlineStr">
        <is>
          <t>RAS</t>
        </is>
      </c>
      <c r="I3119" s="45" t="inlineStr"/>
      <c r="J3119" s="45" t="inlineStr">
        <is>
          <t>RNCP35233</t>
        </is>
      </c>
      <c r="K3119" s="45" t="inlineStr">
        <is>
          <t>TP - Assistant manager d’unité marchande</t>
        </is>
      </c>
      <c r="L3119" s="45" t="inlineStr">
        <is>
          <t>31/12/2030</t>
        </is>
      </c>
      <c r="M3119" s="45" t="inlineStr"/>
      <c r="N3119" s="50" t="inlineStr">
        <is>
          <t>NON</t>
        </is>
      </c>
      <c r="O3119" s="45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31/12/2030</t>
        </is>
      </c>
      <c r="M3120" s="45" t="inlineStr"/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31/12/2030</t>
        </is>
      </c>
      <c r="M3121" s="45" t="inlineStr"/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31/12/2030</t>
        </is>
      </c>
      <c r="M3122" s="45" t="inlineStr"/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31/12/2030</t>
        </is>
      </c>
      <c r="M3123" s="45" t="inlineStr"/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31/12/2030</t>
        </is>
      </c>
      <c r="M3124" s="45" t="inlineStr"/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Brevet de technicien supérieur - Métiers de l’esthétique, de la cosmétique et de la parfumerie</t>
        </is>
      </c>
      <c r="L3125" s="45" t="inlineStr">
        <is>
          <t>31/12/2030</t>
        </is>
      </c>
      <c r="M3125" s="45" t="inlineStr"/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31/12/2030</t>
        </is>
      </c>
      <c r="M3126" s="45" t="inlineStr"/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31/12/2030</t>
        </is>
      </c>
      <c r="M3127" s="45" t="inlineStr"/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BTS - Management commercial opérationnel</t>
        </is>
      </c>
      <c r="L3128" s="45" t="inlineStr">
        <is>
          <t>31/12/2030</t>
        </is>
      </c>
      <c r="M3128" s="45" t="inlineStr"/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TP - Conducteur d'équipements agroalimentaires</t>
        </is>
      </c>
      <c r="L3129" s="45" t="inlineStr">
        <is>
          <t>31/12/2030</t>
        </is>
      </c>
      <c r="M3129" s="45" t="inlineStr"/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31/12/2030</t>
        </is>
      </c>
      <c r="M3130" s="45" t="inlineStr"/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31/12/2030</t>
        </is>
      </c>
      <c r="M3131" s="45" t="inlineStr"/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Grade_Master - Diplôme des Instituts d’Études Politiques – Sciences Po</t>
        </is>
      </c>
      <c r="L3132" s="45" t="inlineStr">
        <is>
          <t>31/12/2030</t>
        </is>
      </c>
      <c r="M3132" s="45" t="inlineStr"/>
      <c r="N3132" s="50" t="inlineStr">
        <is>
          <t>NON</t>
        </is>
      </c>
      <c r="O3132" s="45" t="inlineStr"/>
    </row>
    <row r="3133" customFormat="1" s="3">
      <c r="A3133" s="45" t="n"/>
      <c r="B3133" s="46" t="inlineStr">
        <is>
          <t>32103</t>
        </is>
      </c>
      <c r="C3133" s="46">
        <f>LEFT(Tableau1[[#This Row],[Formacode]],3)</f>
        <v/>
      </c>
      <c r="D3133" s="47" t="n">
        <v>39160</v>
      </c>
      <c r="E3133" s="48">
        <f>"RNCP"&amp;D3133</f>
        <v/>
      </c>
      <c r="F3133" s="48" t="inlineStr">
        <is>
          <t>Diplôme visé grade de master - Programme Grande Ecole</t>
        </is>
      </c>
      <c r="G3133" s="49">
        <f>E3133&amp;" - "&amp;F3133</f>
        <v/>
      </c>
      <c r="H3133" s="36" t="inlineStr">
        <is>
          <t>RAS</t>
        </is>
      </c>
      <c r="I3133" s="45" t="inlineStr"/>
      <c r="J3133" s="45" t="inlineStr">
        <is>
          <t>RNCP39160</t>
        </is>
      </c>
      <c r="K3133" s="45" t="inlineStr">
        <is>
          <t>Diplôme visé grade de master - Programme Grande Ecole</t>
        </is>
      </c>
      <c r="L3133" s="45" t="inlineStr">
        <is>
          <t>31/12/2030</t>
        </is>
      </c>
      <c r="M3133" s="45" t="inlineStr"/>
      <c r="N3133" s="50" t="inlineStr">
        <is>
          <t>NON</t>
        </is>
      </c>
      <c r="O3133" s="45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31/12/2030</t>
        </is>
      </c>
      <c r="M3134" s="45" t="inlineStr"/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31/12/2030</t>
        </is>
      </c>
      <c r="M3135" s="45" t="inlineStr"/>
      <c r="N3135" s="50" t="inlineStr">
        <is>
          <t>NON</t>
        </is>
      </c>
      <c r="O3135" s="45" t="inlineStr"/>
    </row>
    <row r="3136" customFormat="1" s="3">
      <c r="A3136" s="45" t="n"/>
      <c r="B3136" s="46" t="inlineStr">
        <is>
          <t>32103</t>
        </is>
      </c>
      <c r="C3136" s="46">
        <f>LEFT(Tableau1[[#This Row],[Formacode]],3)</f>
        <v/>
      </c>
      <c r="D3136" s="47" t="n">
        <v>39763</v>
      </c>
      <c r="E3136" s="48">
        <f>"RNCP"&amp;D3136</f>
        <v/>
      </c>
      <c r="F3136" s="48" t="inlineStr">
        <is>
          <t>Manager de la performance financière</t>
        </is>
      </c>
      <c r="G3136" s="49">
        <f>E3136&amp;" - "&amp;F3136</f>
        <v/>
      </c>
      <c r="H3136" s="36" t="inlineStr">
        <is>
          <t>RAS</t>
        </is>
      </c>
      <c r="I3136" s="45" t="inlineStr"/>
      <c r="J3136" s="45" t="inlineStr">
        <is>
          <t>RNCP39763</t>
        </is>
      </c>
      <c r="K3136" s="45" t="inlineStr">
        <is>
          <t>Manager de la performance financière</t>
        </is>
      </c>
      <c r="L3136" s="45" t="inlineStr">
        <is>
          <t>31/12/2030</t>
        </is>
      </c>
      <c r="M3136" s="45" t="inlineStr"/>
      <c r="N3136" s="50" t="inlineStr">
        <is>
          <t>NON</t>
        </is>
      </c>
      <c r="O3136" s="45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31/12/2030</t>
        </is>
      </c>
      <c r="M3137" s="45" t="inlineStr"/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31/12/2030</t>
        </is>
      </c>
      <c r="M3138" s="45" t="inlineStr"/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31/12/2030</t>
        </is>
      </c>
      <c r="M3139" s="45" t="inlineStr"/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31/12/2030</t>
        </is>
      </c>
      <c r="M3140" s="45" t="inlineStr"/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31/12/2030</t>
        </is>
      </c>
      <c r="M3141" s="45" t="inlineStr"/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BTS - Management opérationnel de la sécurité</t>
        </is>
      </c>
      <c r="L3142" s="45" t="inlineStr">
        <is>
          <t>31/12/2030</t>
        </is>
      </c>
      <c r="M3142" s="45" t="inlineStr"/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31/12/2030</t>
        </is>
      </c>
      <c r="M3143" s="45" t="inlineStr"/>
      <c r="N3143" s="50" t="inlineStr">
        <is>
          <t>NON</t>
        </is>
      </c>
      <c r="O3143" s="45" t="inlineStr"/>
    </row>
    <row r="3144" customFormat="1" s="3">
      <c r="A3144" s="45" t="n"/>
      <c r="B3144" s="46" t="inlineStr">
        <is>
          <t>32104</t>
        </is>
      </c>
      <c r="C3144" s="46">
        <f>LEFT(Tableau1[[#This Row],[Formacode]],3)</f>
        <v/>
      </c>
      <c r="D3144" s="47" t="n">
        <v>35233</v>
      </c>
      <c r="E3144" s="48">
        <f>"RNCP"&amp;D3144</f>
        <v/>
      </c>
      <c r="F3144" s="48" t="inlineStr">
        <is>
          <t>TP - Assistant manager d’unité marchande</t>
        </is>
      </c>
      <c r="G3144" s="49">
        <f>E3144&amp;" - "&amp;F3144</f>
        <v/>
      </c>
      <c r="H3144" s="36" t="inlineStr">
        <is>
          <t>RAS</t>
        </is>
      </c>
      <c r="I3144" s="45" t="inlineStr"/>
      <c r="J3144" s="45" t="inlineStr">
        <is>
          <t>RNCP35233</t>
        </is>
      </c>
      <c r="K3144" s="45" t="inlineStr">
        <is>
          <t>TP - Assistant manager d’unité marchande</t>
        </is>
      </c>
      <c r="L3144" s="45" t="inlineStr">
        <is>
          <t>31/12/2030</t>
        </is>
      </c>
      <c r="M3144" s="45" t="inlineStr"/>
      <c r="N3144" s="50" t="inlineStr">
        <is>
          <t>NON</t>
        </is>
      </c>
      <c r="O3144" s="45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31/12/2030</t>
        </is>
      </c>
      <c r="M3145" s="45" t="inlineStr"/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31/12/2030</t>
        </is>
      </c>
      <c r="M3146" s="45" t="inlineStr"/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31/12/2030</t>
        </is>
      </c>
      <c r="M3147" s="45" t="inlineStr"/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31/12/2030</t>
        </is>
      </c>
      <c r="M3148" s="45" t="inlineStr"/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31/12/2030</t>
        </is>
      </c>
      <c r="M3149" s="45" t="inlineStr"/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Brevet de technicien supérieur - Métiers de l’esthétique, de la cosmétique et de la parfumerie</t>
        </is>
      </c>
      <c r="L3150" s="45" t="inlineStr">
        <is>
          <t>31/12/2030</t>
        </is>
      </c>
      <c r="M3150" s="45" t="inlineStr"/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31/12/2030</t>
        </is>
      </c>
      <c r="M3151" s="45" t="inlineStr"/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31/12/2030</t>
        </is>
      </c>
      <c r="M3152" s="45" t="inlineStr"/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BTS - Management commercial opérationnel</t>
        </is>
      </c>
      <c r="L3153" s="45" t="inlineStr">
        <is>
          <t>31/12/2030</t>
        </is>
      </c>
      <c r="M3153" s="45" t="inlineStr"/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TP - Conducteur d'équipements agroalimentaires</t>
        </is>
      </c>
      <c r="L3154" s="45" t="inlineStr">
        <is>
          <t>31/12/2030</t>
        </is>
      </c>
      <c r="M3154" s="45" t="inlineStr"/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31/12/2030</t>
        </is>
      </c>
      <c r="M3155" s="45" t="inlineStr"/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31/12/2030</t>
        </is>
      </c>
      <c r="M3156" s="45" t="inlineStr"/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Grade_Master - Diplôme des Instituts d’Études Politiques – Sciences Po</t>
        </is>
      </c>
      <c r="L3157" s="45" t="inlineStr">
        <is>
          <t>31/12/2030</t>
        </is>
      </c>
      <c r="M3157" s="45" t="inlineStr"/>
      <c r="N3157" s="50" t="inlineStr">
        <is>
          <t>NON</t>
        </is>
      </c>
      <c r="O3157" s="45" t="inlineStr"/>
    </row>
    <row r="3158" customFormat="1" s="3">
      <c r="A3158" s="45" t="n"/>
      <c r="B3158" s="46" t="inlineStr">
        <is>
          <t>32104</t>
        </is>
      </c>
      <c r="C3158" s="46">
        <f>LEFT(Tableau1[[#This Row],[Formacode]],3)</f>
        <v/>
      </c>
      <c r="D3158" s="47" t="n">
        <v>39160</v>
      </c>
      <c r="E3158" s="48">
        <f>"RNCP"&amp;D3158</f>
        <v/>
      </c>
      <c r="F3158" s="48" t="inlineStr">
        <is>
          <t>Diplôme visé grade de master - Programme Grande Ecole</t>
        </is>
      </c>
      <c r="G3158" s="49">
        <f>E3158&amp;" - "&amp;F3158</f>
        <v/>
      </c>
      <c r="H3158" s="36" t="inlineStr">
        <is>
          <t>RAS</t>
        </is>
      </c>
      <c r="I3158" s="45" t="inlineStr"/>
      <c r="J3158" s="45" t="inlineStr">
        <is>
          <t>RNCP39160</t>
        </is>
      </c>
      <c r="K3158" s="45" t="inlineStr">
        <is>
          <t>Diplôme visé grade de master - Programme Grande Ecole</t>
        </is>
      </c>
      <c r="L3158" s="45" t="inlineStr">
        <is>
          <t>31/12/2030</t>
        </is>
      </c>
      <c r="M3158" s="45" t="inlineStr"/>
      <c r="N3158" s="50" t="inlineStr">
        <is>
          <t>NON</t>
        </is>
      </c>
      <c r="O3158" s="45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31/12/2030</t>
        </is>
      </c>
      <c r="M3159" s="45" t="inlineStr"/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31/12/2030</t>
        </is>
      </c>
      <c r="M3160" s="45" t="inlineStr"/>
      <c r="N3160" s="50" t="inlineStr">
        <is>
          <t>NON</t>
        </is>
      </c>
      <c r="O3160" s="45" t="inlineStr"/>
    </row>
    <row r="3161" customFormat="1" s="3">
      <c r="A3161" s="45" t="n"/>
      <c r="B3161" s="46" t="inlineStr">
        <is>
          <t>32104</t>
        </is>
      </c>
      <c r="C3161" s="46">
        <f>LEFT(Tableau1[[#This Row],[Formacode]],3)</f>
        <v/>
      </c>
      <c r="D3161" s="47" t="n">
        <v>39763</v>
      </c>
      <c r="E3161" s="48">
        <f>"RNCP"&amp;D3161</f>
        <v/>
      </c>
      <c r="F3161" s="48" t="inlineStr">
        <is>
          <t>Manager de la performance financière</t>
        </is>
      </c>
      <c r="G3161" s="49">
        <f>E3161&amp;" - "&amp;F3161</f>
        <v/>
      </c>
      <c r="H3161" s="36" t="inlineStr">
        <is>
          <t>RAS</t>
        </is>
      </c>
      <c r="I3161" s="45" t="inlineStr"/>
      <c r="J3161" s="45" t="inlineStr">
        <is>
          <t>RNCP39763</t>
        </is>
      </c>
      <c r="K3161" s="45" t="inlineStr">
        <is>
          <t>Manager de la performance financière</t>
        </is>
      </c>
      <c r="L3161" s="45" t="inlineStr">
        <is>
          <t>31/12/2030</t>
        </is>
      </c>
      <c r="M3161" s="45" t="inlineStr"/>
      <c r="N3161" s="50" t="inlineStr">
        <is>
          <t>NON</t>
        </is>
      </c>
      <c r="O3161" s="45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31/12/2030</t>
        </is>
      </c>
      <c r="M3162" s="45" t="inlineStr"/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31/12/2030</t>
        </is>
      </c>
      <c r="M3163" s="45" t="inlineStr"/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31/12/2030</t>
        </is>
      </c>
      <c r="M3164" s="45" t="inlineStr"/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31/12/2030</t>
        </is>
      </c>
      <c r="M3165" s="45" t="inlineStr"/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31/12/2030</t>
        </is>
      </c>
      <c r="M3166" s="45" t="inlineStr"/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BTS - Management opérationnel de la sécurité</t>
        </is>
      </c>
      <c r="L3167" s="45" t="inlineStr">
        <is>
          <t>31/12/2030</t>
        </is>
      </c>
      <c r="M3167" s="45" t="inlineStr"/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31/12/2030</t>
        </is>
      </c>
      <c r="M3168" s="45" t="inlineStr"/>
      <c r="N3168" s="50" t="inlineStr">
        <is>
          <t>NON</t>
        </is>
      </c>
      <c r="O3168" s="45" t="inlineStr"/>
    </row>
    <row r="3169" customFormat="1" s="3">
      <c r="A3169" s="45" t="n"/>
      <c r="B3169" s="46" t="inlineStr">
        <is>
          <t>32105</t>
        </is>
      </c>
      <c r="C3169" s="46">
        <f>LEFT(Tableau1[[#This Row],[Formacode]],3)</f>
        <v/>
      </c>
      <c r="D3169" s="47" t="n">
        <v>35233</v>
      </c>
      <c r="E3169" s="48">
        <f>"RNCP"&amp;D3169</f>
        <v/>
      </c>
      <c r="F3169" s="48" t="inlineStr">
        <is>
          <t>TP - Assistant manager d’unité marchande</t>
        </is>
      </c>
      <c r="G3169" s="49">
        <f>E3169&amp;" - "&amp;F3169</f>
        <v/>
      </c>
      <c r="H3169" s="36" t="inlineStr">
        <is>
          <t>RAS</t>
        </is>
      </c>
      <c r="I3169" s="45" t="inlineStr"/>
      <c r="J3169" s="45" t="inlineStr">
        <is>
          <t>RNCP35233</t>
        </is>
      </c>
      <c r="K3169" s="45" t="inlineStr">
        <is>
          <t>TP - Assistant manager d’unité marchande</t>
        </is>
      </c>
      <c r="L3169" s="45" t="inlineStr">
        <is>
          <t>31/12/2030</t>
        </is>
      </c>
      <c r="M3169" s="45" t="inlineStr"/>
      <c r="N3169" s="50" t="inlineStr">
        <is>
          <t>NON</t>
        </is>
      </c>
      <c r="O3169" s="45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31/12/2030</t>
        </is>
      </c>
      <c r="M3170" s="45" t="inlineStr"/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31/12/2030</t>
        </is>
      </c>
      <c r="M3171" s="45" t="inlineStr"/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31/12/2030</t>
        </is>
      </c>
      <c r="M3172" s="45" t="inlineStr"/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31/12/2030</t>
        </is>
      </c>
      <c r="M3173" s="45" t="inlineStr"/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31/12/2030</t>
        </is>
      </c>
      <c r="M3174" s="45" t="inlineStr"/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Brevet de technicien supérieur - Métiers de l’esthétique, de la cosmétique et de la parfumerie</t>
        </is>
      </c>
      <c r="L3175" s="45" t="inlineStr">
        <is>
          <t>31/12/2030</t>
        </is>
      </c>
      <c r="M3175" s="45" t="inlineStr"/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31/12/2030</t>
        </is>
      </c>
      <c r="M3176" s="45" t="inlineStr"/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31/12/2030</t>
        </is>
      </c>
      <c r="M3177" s="45" t="inlineStr"/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BTS - Management commercial opérationnel</t>
        </is>
      </c>
      <c r="L3178" s="45" t="inlineStr">
        <is>
          <t>31/12/2030</t>
        </is>
      </c>
      <c r="M3178" s="45" t="inlineStr"/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TP - Conducteur d'équipements agroalimentaires</t>
        </is>
      </c>
      <c r="L3179" s="45" t="inlineStr">
        <is>
          <t>31/12/2030</t>
        </is>
      </c>
      <c r="M3179" s="45" t="inlineStr"/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31/12/2030</t>
        </is>
      </c>
      <c r="M3180" s="45" t="inlineStr"/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31/12/2030</t>
        </is>
      </c>
      <c r="M3181" s="45" t="inlineStr"/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Grade_Master - Diplôme des Instituts d’Études Politiques – Sciences Po</t>
        </is>
      </c>
      <c r="L3182" s="45" t="inlineStr">
        <is>
          <t>31/12/2030</t>
        </is>
      </c>
      <c r="M3182" s="45" t="inlineStr"/>
      <c r="N3182" s="50" t="inlineStr">
        <is>
          <t>NON</t>
        </is>
      </c>
      <c r="O3182" s="45" t="inlineStr"/>
    </row>
    <row r="3183" customFormat="1" s="3">
      <c r="A3183" s="45" t="n"/>
      <c r="B3183" s="46" t="inlineStr">
        <is>
          <t>32105</t>
        </is>
      </c>
      <c r="C3183" s="46">
        <f>LEFT(Tableau1[[#This Row],[Formacode]],3)</f>
        <v/>
      </c>
      <c r="D3183" s="47" t="n">
        <v>39160</v>
      </c>
      <c r="E3183" s="48">
        <f>"RNCP"&amp;D3183</f>
        <v/>
      </c>
      <c r="F3183" s="48" t="inlineStr">
        <is>
          <t>Diplôme visé grade de master - Programme Grande Ecole</t>
        </is>
      </c>
      <c r="G3183" s="49">
        <f>E3183&amp;" - "&amp;F3183</f>
        <v/>
      </c>
      <c r="H3183" s="36" t="inlineStr">
        <is>
          <t>RAS</t>
        </is>
      </c>
      <c r="I3183" s="45" t="inlineStr"/>
      <c r="J3183" s="45" t="inlineStr">
        <is>
          <t>RNCP39160</t>
        </is>
      </c>
      <c r="K3183" s="45" t="inlineStr">
        <is>
          <t>Diplôme visé grade de master - Programme Grande Ecole</t>
        </is>
      </c>
      <c r="L3183" s="45" t="inlineStr">
        <is>
          <t>31/12/2030</t>
        </is>
      </c>
      <c r="M3183" s="45" t="inlineStr"/>
      <c r="N3183" s="50" t="inlineStr">
        <is>
          <t>NON</t>
        </is>
      </c>
      <c r="O3183" s="45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31/12/2030</t>
        </is>
      </c>
      <c r="M3184" s="45" t="inlineStr"/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31/12/2030</t>
        </is>
      </c>
      <c r="M3185" s="45" t="inlineStr"/>
      <c r="N3185" s="50" t="inlineStr">
        <is>
          <t>NON</t>
        </is>
      </c>
      <c r="O3185" s="45" t="inlineStr"/>
    </row>
    <row r="3186" customFormat="1" s="3">
      <c r="A3186" s="45" t="n"/>
      <c r="B3186" s="46" t="inlineStr">
        <is>
          <t>32105</t>
        </is>
      </c>
      <c r="C3186" s="46">
        <f>LEFT(Tableau1[[#This Row],[Formacode]],3)</f>
        <v/>
      </c>
      <c r="D3186" s="47" t="n">
        <v>39763</v>
      </c>
      <c r="E3186" s="48">
        <f>"RNCP"&amp;D3186</f>
        <v/>
      </c>
      <c r="F3186" s="48" t="inlineStr">
        <is>
          <t>Manager de la performance financière</t>
        </is>
      </c>
      <c r="G3186" s="49">
        <f>E3186&amp;" - "&amp;F3186</f>
        <v/>
      </c>
      <c r="H3186" s="36" t="inlineStr">
        <is>
          <t>RAS</t>
        </is>
      </c>
      <c r="I3186" s="45" t="inlineStr"/>
      <c r="J3186" s="45" t="inlineStr">
        <is>
          <t>RNCP39763</t>
        </is>
      </c>
      <c r="K3186" s="45" t="inlineStr">
        <is>
          <t>Manager de la performance financière</t>
        </is>
      </c>
      <c r="L3186" s="45" t="inlineStr">
        <is>
          <t>31/12/2030</t>
        </is>
      </c>
      <c r="M3186" s="45" t="inlineStr"/>
      <c r="N3186" s="50" t="inlineStr">
        <is>
          <t>NON</t>
        </is>
      </c>
      <c r="O3186" s="45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31/12/2030</t>
        </is>
      </c>
      <c r="M3187" s="45" t="inlineStr"/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31/12/2030</t>
        </is>
      </c>
      <c r="M3188" s="45" t="inlineStr"/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31/12/2030</t>
        </is>
      </c>
      <c r="M3189" s="45" t="inlineStr"/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31/12/2030</t>
        </is>
      </c>
      <c r="M3190" s="45" t="inlineStr"/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31/12/2030</t>
        </is>
      </c>
      <c r="M3191" s="45" t="inlineStr"/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BTS - Management opérationnel de la sécurité</t>
        </is>
      </c>
      <c r="L3192" s="45" t="inlineStr">
        <is>
          <t>31/12/2030</t>
        </is>
      </c>
      <c r="M3192" s="45" t="inlineStr"/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31/12/2030</t>
        </is>
      </c>
      <c r="M3193" s="45" t="inlineStr"/>
      <c r="N3193" s="50" t="inlineStr">
        <is>
          <t>NON</t>
        </is>
      </c>
      <c r="O3193" s="45" t="inlineStr"/>
    </row>
    <row r="3194" customFormat="1" s="3">
      <c r="A3194" s="45" t="n"/>
      <c r="B3194" s="46" t="inlineStr">
        <is>
          <t>32106</t>
        </is>
      </c>
      <c r="C3194" s="46">
        <f>LEFT(Tableau1[[#This Row],[Formacode]],3)</f>
        <v/>
      </c>
      <c r="D3194" s="47" t="n">
        <v>35233</v>
      </c>
      <c r="E3194" s="48">
        <f>"RNCP"&amp;D3194</f>
        <v/>
      </c>
      <c r="F3194" s="48" t="inlineStr">
        <is>
          <t>TP - Assistant manager d’unité marchande</t>
        </is>
      </c>
      <c r="G3194" s="49">
        <f>E3194&amp;" - "&amp;F3194</f>
        <v/>
      </c>
      <c r="H3194" s="36" t="inlineStr">
        <is>
          <t>RAS</t>
        </is>
      </c>
      <c r="I3194" s="45" t="inlineStr"/>
      <c r="J3194" s="45" t="inlineStr">
        <is>
          <t>RNCP35233</t>
        </is>
      </c>
      <c r="K3194" s="45" t="inlineStr">
        <is>
          <t>TP - Assistant manager d’unité marchande</t>
        </is>
      </c>
      <c r="L3194" s="45" t="inlineStr">
        <is>
          <t>31/12/2030</t>
        </is>
      </c>
      <c r="M3194" s="45" t="inlineStr"/>
      <c r="N3194" s="50" t="inlineStr">
        <is>
          <t>NON</t>
        </is>
      </c>
      <c r="O3194" s="45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31/12/2030</t>
        </is>
      </c>
      <c r="M3195" s="45" t="inlineStr"/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31/12/2030</t>
        </is>
      </c>
      <c r="M3196" s="45" t="inlineStr"/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31/12/2030</t>
        </is>
      </c>
      <c r="M3197" s="45" t="inlineStr"/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31/12/2030</t>
        </is>
      </c>
      <c r="M3198" s="45" t="inlineStr"/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31/12/2030</t>
        </is>
      </c>
      <c r="M3199" s="45" t="inlineStr"/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Brevet de technicien supérieur - Métiers de l’esthétique, de la cosmétique et de la parfumerie</t>
        </is>
      </c>
      <c r="L3200" s="45" t="inlineStr">
        <is>
          <t>31/12/2030</t>
        </is>
      </c>
      <c r="M3200" s="45" t="inlineStr"/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31/12/2030</t>
        </is>
      </c>
      <c r="M3201" s="45" t="inlineStr"/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31/12/2030</t>
        </is>
      </c>
      <c r="M3202" s="45" t="inlineStr"/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BTS - Management commercial opérationnel</t>
        </is>
      </c>
      <c r="L3203" s="45" t="inlineStr">
        <is>
          <t>31/12/2030</t>
        </is>
      </c>
      <c r="M3203" s="45" t="inlineStr"/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TP - Conducteur d'équipements agroalimentaires</t>
        </is>
      </c>
      <c r="L3204" s="45" t="inlineStr">
        <is>
          <t>31/12/2030</t>
        </is>
      </c>
      <c r="M3204" s="45" t="inlineStr"/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31/12/2030</t>
        </is>
      </c>
      <c r="M3205" s="45" t="inlineStr"/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31/12/2030</t>
        </is>
      </c>
      <c r="M3206" s="45" t="inlineStr"/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Grade_Master - Diplôme des Instituts d’Études Politiques – Sciences Po</t>
        </is>
      </c>
      <c r="L3207" s="45" t="inlineStr">
        <is>
          <t>31/12/2030</t>
        </is>
      </c>
      <c r="M3207" s="45" t="inlineStr"/>
      <c r="N3207" s="50" t="inlineStr">
        <is>
          <t>NON</t>
        </is>
      </c>
      <c r="O3207" s="45" t="inlineStr"/>
    </row>
    <row r="3208" customFormat="1" s="3">
      <c r="A3208" s="45" t="n"/>
      <c r="B3208" s="46" t="inlineStr">
        <is>
          <t>32106</t>
        </is>
      </c>
      <c r="C3208" s="46">
        <f>LEFT(Tableau1[[#This Row],[Formacode]],3)</f>
        <v/>
      </c>
      <c r="D3208" s="47" t="n">
        <v>39160</v>
      </c>
      <c r="E3208" s="48">
        <f>"RNCP"&amp;D3208</f>
        <v/>
      </c>
      <c r="F3208" s="48" t="inlineStr">
        <is>
          <t>Diplôme visé grade de master - Programme Grande Ecole</t>
        </is>
      </c>
      <c r="G3208" s="49">
        <f>E3208&amp;" - "&amp;F3208</f>
        <v/>
      </c>
      <c r="H3208" s="36" t="inlineStr">
        <is>
          <t>RAS</t>
        </is>
      </c>
      <c r="I3208" s="45" t="inlineStr"/>
      <c r="J3208" s="45" t="inlineStr">
        <is>
          <t>RNCP39160</t>
        </is>
      </c>
      <c r="K3208" s="45" t="inlineStr">
        <is>
          <t>Diplôme visé grade de master - Programme Grande Ecole</t>
        </is>
      </c>
      <c r="L3208" s="45" t="inlineStr">
        <is>
          <t>31/12/2030</t>
        </is>
      </c>
      <c r="M3208" s="45" t="inlineStr"/>
      <c r="N3208" s="50" t="inlineStr">
        <is>
          <t>NON</t>
        </is>
      </c>
      <c r="O3208" s="45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31/12/2030</t>
        </is>
      </c>
      <c r="M3209" s="45" t="inlineStr"/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31/12/2030</t>
        </is>
      </c>
      <c r="M3210" s="45" t="inlineStr"/>
      <c r="N3210" s="50" t="inlineStr">
        <is>
          <t>NON</t>
        </is>
      </c>
      <c r="O3210" s="45" t="inlineStr"/>
    </row>
    <row r="3211" customFormat="1" s="3">
      <c r="A3211" s="45" t="n"/>
      <c r="B3211" s="46" t="inlineStr">
        <is>
          <t>32106</t>
        </is>
      </c>
      <c r="C3211" s="46">
        <f>LEFT(Tableau1[[#This Row],[Formacode]],3)</f>
        <v/>
      </c>
      <c r="D3211" s="47" t="n">
        <v>39763</v>
      </c>
      <c r="E3211" s="48">
        <f>"RNCP"&amp;D3211</f>
        <v/>
      </c>
      <c r="F3211" s="48" t="inlineStr">
        <is>
          <t>Manager de la performance financière</t>
        </is>
      </c>
      <c r="G3211" s="49">
        <f>E3211&amp;" - "&amp;F3211</f>
        <v/>
      </c>
      <c r="H3211" s="36" t="inlineStr">
        <is>
          <t>RAS</t>
        </is>
      </c>
      <c r="I3211" s="45" t="inlineStr"/>
      <c r="J3211" s="45" t="inlineStr">
        <is>
          <t>RNCP39763</t>
        </is>
      </c>
      <c r="K3211" s="45" t="inlineStr">
        <is>
          <t>Manager de la performance financière</t>
        </is>
      </c>
      <c r="L3211" s="45" t="inlineStr">
        <is>
          <t>31/12/2030</t>
        </is>
      </c>
      <c r="M3211" s="45" t="inlineStr"/>
      <c r="N3211" s="50" t="inlineStr">
        <is>
          <t>NON</t>
        </is>
      </c>
      <c r="O3211" s="45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31/12/2030</t>
        </is>
      </c>
      <c r="M3212" s="45" t="inlineStr"/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31/12/2030</t>
        </is>
      </c>
      <c r="M3213" s="45" t="inlineStr"/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31/12/2030</t>
        </is>
      </c>
      <c r="M3214" s="45" t="inlineStr"/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31/12/2030</t>
        </is>
      </c>
      <c r="M3215" s="45" t="inlineStr"/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31/12/2030</t>
        </is>
      </c>
      <c r="M3216" s="45" t="inlineStr"/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BTS - Management opérationnel de la sécurité</t>
        </is>
      </c>
      <c r="L3217" s="45" t="inlineStr">
        <is>
          <t>31/12/2030</t>
        </is>
      </c>
      <c r="M3217" s="45" t="inlineStr"/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31/12/2030</t>
        </is>
      </c>
      <c r="M3218" s="45" t="inlineStr"/>
      <c r="N3218" s="50" t="inlineStr">
        <is>
          <t>NON</t>
        </is>
      </c>
      <c r="O3218" s="45" t="inlineStr"/>
    </row>
    <row r="3219" customFormat="1" s="3">
      <c r="A3219" s="45" t="n"/>
      <c r="B3219" s="46" t="inlineStr">
        <is>
          <t>32110</t>
        </is>
      </c>
      <c r="C3219" s="46">
        <f>LEFT(Tableau1[[#This Row],[Formacode]],3)</f>
        <v/>
      </c>
      <c r="D3219" s="47" t="n">
        <v>35233</v>
      </c>
      <c r="E3219" s="48">
        <f>"RNCP"&amp;D3219</f>
        <v/>
      </c>
      <c r="F3219" s="48" t="inlineStr">
        <is>
          <t>TP - Assistant manager d’unité marchande</t>
        </is>
      </c>
      <c r="G3219" s="49">
        <f>E3219&amp;" - "&amp;F3219</f>
        <v/>
      </c>
      <c r="H3219" s="36" t="inlineStr">
        <is>
          <t>RAS</t>
        </is>
      </c>
      <c r="I3219" s="45" t="inlineStr"/>
      <c r="J3219" s="45" t="inlineStr">
        <is>
          <t>RNCP35233</t>
        </is>
      </c>
      <c r="K3219" s="45" t="inlineStr">
        <is>
          <t>TP - Assistant manager d’unité marchande</t>
        </is>
      </c>
      <c r="L3219" s="45" t="inlineStr">
        <is>
          <t>31/12/2030</t>
        </is>
      </c>
      <c r="M3219" s="45" t="inlineStr"/>
      <c r="N3219" s="50" t="inlineStr">
        <is>
          <t>NON</t>
        </is>
      </c>
      <c r="O3219" s="45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DIPLOVIS - Programme supérieur de gestion et de commerce</t>
        </is>
      </c>
      <c r="L3220" s="45" t="inlineStr">
        <is>
          <t>31/12/2030</t>
        </is>
      </c>
      <c r="M3220" s="45" t="inlineStr"/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31/12/2030</t>
        </is>
      </c>
      <c r="M3221" s="45" t="inlineStr"/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31/12/2030</t>
        </is>
      </c>
      <c r="M3222" s="45" t="inlineStr"/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31/12/2030</t>
        </is>
      </c>
      <c r="M3223" s="45" t="inlineStr"/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31/12/2030</t>
        </is>
      </c>
      <c r="M3224" s="45" t="inlineStr"/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31/12/2030</t>
        </is>
      </c>
      <c r="M3225" s="45" t="inlineStr"/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Brevet de technicien supérieur - Métiers de l’esthétique, de la cosmétique et de la parfumerie</t>
        </is>
      </c>
      <c r="L3226" s="45" t="inlineStr">
        <is>
          <t>31/12/2030</t>
        </is>
      </c>
      <c r="M3226" s="45" t="inlineStr"/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31/12/2030</t>
        </is>
      </c>
      <c r="M3227" s="45" t="inlineStr"/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31/12/2030</t>
        </is>
      </c>
      <c r="M3228" s="45" t="inlineStr"/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BTS - Management commercial opérationnel</t>
        </is>
      </c>
      <c r="L3229" s="45" t="inlineStr">
        <is>
          <t>31/12/2030</t>
        </is>
      </c>
      <c r="M3229" s="45" t="inlineStr"/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TP - Conducteur d'équipements agroalimentaires</t>
        </is>
      </c>
      <c r="L3230" s="45" t="inlineStr">
        <is>
          <t>31/12/2030</t>
        </is>
      </c>
      <c r="M3230" s="45" t="inlineStr"/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31/12/2030</t>
        </is>
      </c>
      <c r="M3231" s="45" t="inlineStr"/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31/12/2030</t>
        </is>
      </c>
      <c r="M3232" s="45" t="inlineStr"/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31/12/2030</t>
        </is>
      </c>
      <c r="M3233" s="45" t="inlineStr"/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Grade_Master - Diplôme des Instituts d’Études Politiques – Sciences Po</t>
        </is>
      </c>
      <c r="L3234" s="45" t="inlineStr">
        <is>
          <t>31/12/2030</t>
        </is>
      </c>
      <c r="M3234" s="45" t="inlineStr"/>
      <c r="N3234" s="50" t="inlineStr">
        <is>
          <t>NON</t>
        </is>
      </c>
      <c r="O3234" s="45" t="inlineStr"/>
    </row>
    <row r="3235" customFormat="1" s="3">
      <c r="A3235" s="45" t="n"/>
      <c r="B3235" s="46" t="inlineStr">
        <is>
          <t>32110</t>
        </is>
      </c>
      <c r="C3235" s="46">
        <f>LEFT(Tableau1[[#This Row],[Formacode]],3)</f>
        <v/>
      </c>
      <c r="D3235" s="47" t="n">
        <v>39160</v>
      </c>
      <c r="E3235" s="48">
        <f>"RNCP"&amp;D3235</f>
        <v/>
      </c>
      <c r="F3235" s="48" t="inlineStr">
        <is>
          <t>Diplôme visé grade de master - Programme Grande Ecole</t>
        </is>
      </c>
      <c r="G3235" s="49">
        <f>E3235&amp;" - "&amp;F3235</f>
        <v/>
      </c>
      <c r="H3235" s="36" t="inlineStr">
        <is>
          <t>RAS</t>
        </is>
      </c>
      <c r="I3235" s="45" t="inlineStr"/>
      <c r="J3235" s="45" t="inlineStr">
        <is>
          <t>RNCP39160</t>
        </is>
      </c>
      <c r="K3235" s="45" t="inlineStr">
        <is>
          <t>Diplôme visé grade de master - Programme Grande Ecole</t>
        </is>
      </c>
      <c r="L3235" s="45" t="inlineStr">
        <is>
          <t>31/12/2030</t>
        </is>
      </c>
      <c r="M3235" s="45" t="inlineStr"/>
      <c r="N3235" s="50" t="inlineStr">
        <is>
          <t>NON</t>
        </is>
      </c>
      <c r="O3235" s="45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31/12/2030</t>
        </is>
      </c>
      <c r="M3236" s="45" t="inlineStr"/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31/12/2030</t>
        </is>
      </c>
      <c r="M3237" s="45" t="inlineStr"/>
      <c r="N3237" s="50" t="inlineStr">
        <is>
          <t>NON</t>
        </is>
      </c>
      <c r="O3237" s="45" t="inlineStr"/>
    </row>
    <row r="3238" customFormat="1" s="3">
      <c r="A3238" s="45" t="n"/>
      <c r="B3238" s="46" t="inlineStr">
        <is>
          <t>32110</t>
        </is>
      </c>
      <c r="C3238" s="46">
        <f>LEFT(Tableau1[[#This Row],[Formacode]],3)</f>
        <v/>
      </c>
      <c r="D3238" s="47" t="n">
        <v>39763</v>
      </c>
      <c r="E3238" s="48">
        <f>"RNCP"&amp;D3238</f>
        <v/>
      </c>
      <c r="F3238" s="48" t="inlineStr">
        <is>
          <t>Manager de la performance financière</t>
        </is>
      </c>
      <c r="G3238" s="49">
        <f>E3238&amp;" - "&amp;F3238</f>
        <v/>
      </c>
      <c r="H3238" s="36" t="inlineStr">
        <is>
          <t>RAS</t>
        </is>
      </c>
      <c r="I3238" s="45" t="inlineStr"/>
      <c r="J3238" s="45" t="inlineStr">
        <is>
          <t>RNCP39763</t>
        </is>
      </c>
      <c r="K3238" s="45" t="inlineStr">
        <is>
          <t>Manager de la performance financière</t>
        </is>
      </c>
      <c r="L3238" s="45" t="inlineStr">
        <is>
          <t>31/12/2030</t>
        </is>
      </c>
      <c r="M3238" s="45" t="inlineStr"/>
      <c r="N3238" s="50" t="inlineStr">
        <is>
          <t>NON</t>
        </is>
      </c>
      <c r="O3238" s="45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31/12/2030</t>
        </is>
      </c>
      <c r="M3239" s="45" t="inlineStr"/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31/12/2030</t>
        </is>
      </c>
      <c r="M3240" s="45" t="inlineStr"/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31/12/2030</t>
        </is>
      </c>
      <c r="M3241" s="45" t="inlineStr"/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31/12/2030</t>
        </is>
      </c>
      <c r="M3242" s="45" t="inlineStr"/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31/12/2030</t>
        </is>
      </c>
      <c r="M3243" s="45" t="inlineStr"/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BTS - Management opérationnel de la sécurité</t>
        </is>
      </c>
      <c r="L3244" s="45" t="inlineStr">
        <is>
          <t>31/12/2030</t>
        </is>
      </c>
      <c r="M3244" s="45" t="inlineStr"/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31/12/2030</t>
        </is>
      </c>
      <c r="M3245" s="45" t="inlineStr"/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31/12/2030</t>
        </is>
      </c>
      <c r="M3246" s="45" t="inlineStr"/>
      <c r="N3246" s="50" t="inlineStr">
        <is>
          <t>NON</t>
        </is>
      </c>
      <c r="O3246" s="45" t="inlineStr"/>
    </row>
    <row r="3247" customFormat="1" s="3">
      <c r="A3247" s="45" t="n"/>
      <c r="B3247" s="46" t="inlineStr">
        <is>
          <t>32120</t>
        </is>
      </c>
      <c r="C3247" s="46">
        <f>LEFT(Tableau1[[#This Row],[Formacode]],3)</f>
        <v/>
      </c>
      <c r="D3247" s="47" t="n">
        <v>35233</v>
      </c>
      <c r="E3247" s="48">
        <f>"RNCP"&amp;D3247</f>
        <v/>
      </c>
      <c r="F3247" s="48" t="inlineStr">
        <is>
          <t>TP - Assistant manager d’unité marchande</t>
        </is>
      </c>
      <c r="G3247" s="49">
        <f>E3247&amp;" - "&amp;F3247</f>
        <v/>
      </c>
      <c r="H3247" s="36" t="inlineStr">
        <is>
          <t>RAS</t>
        </is>
      </c>
      <c r="I3247" s="45" t="inlineStr"/>
      <c r="J3247" s="45" t="inlineStr">
        <is>
          <t>RNCP35233</t>
        </is>
      </c>
      <c r="K3247" s="45" t="inlineStr">
        <is>
          <t>TP - Assistant manager d’unité marchande</t>
        </is>
      </c>
      <c r="L3247" s="45" t="inlineStr">
        <is>
          <t>31/12/2030</t>
        </is>
      </c>
      <c r="M3247" s="45" t="inlineStr"/>
      <c r="N3247" s="50" t="inlineStr">
        <is>
          <t>NON</t>
        </is>
      </c>
      <c r="O3247" s="45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31/12/2030</t>
        </is>
      </c>
      <c r="M3248" s="45" t="inlineStr"/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31/12/2030</t>
        </is>
      </c>
      <c r="M3249" s="45" t="inlineStr"/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31/12/2030</t>
        </is>
      </c>
      <c r="M3250" s="45" t="inlineStr"/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31/12/2030</t>
        </is>
      </c>
      <c r="M3251" s="45" t="inlineStr"/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31/12/2030</t>
        </is>
      </c>
      <c r="M3252" s="45" t="inlineStr"/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Brevet de technicien supérieur - Métiers de l’esthétique, de la cosmétique et de la parfumerie</t>
        </is>
      </c>
      <c r="L3253" s="45" t="inlineStr">
        <is>
          <t>31/12/2030</t>
        </is>
      </c>
      <c r="M3253" s="45" t="inlineStr"/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31/12/2030</t>
        </is>
      </c>
      <c r="M3254" s="45" t="inlineStr"/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31/12/2030</t>
        </is>
      </c>
      <c r="M3255" s="45" t="inlineStr"/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BTS - Management commercial opérationnel</t>
        </is>
      </c>
      <c r="L3256" s="45" t="inlineStr">
        <is>
          <t>31/12/2030</t>
        </is>
      </c>
      <c r="M3256" s="45" t="inlineStr"/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TP - Conducteur d'équipements agroalimentaires</t>
        </is>
      </c>
      <c r="L3257" s="45" t="inlineStr">
        <is>
          <t>31/12/2030</t>
        </is>
      </c>
      <c r="M3257" s="45" t="inlineStr"/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31/12/2030</t>
        </is>
      </c>
      <c r="M3258" s="45" t="inlineStr"/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31/12/2030</t>
        </is>
      </c>
      <c r="M3259" s="45" t="inlineStr"/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Grade_Master - Diplôme des Instituts d’Études Politiques – Sciences Po</t>
        </is>
      </c>
      <c r="L3260" s="45" t="inlineStr">
        <is>
          <t>31/12/2030</t>
        </is>
      </c>
      <c r="M3260" s="45" t="inlineStr"/>
      <c r="N3260" s="50" t="inlineStr">
        <is>
          <t>NON</t>
        </is>
      </c>
      <c r="O3260" s="45" t="inlineStr"/>
    </row>
    <row r="3261" customFormat="1" s="3">
      <c r="A3261" s="45" t="n"/>
      <c r="B3261" s="46" t="inlineStr">
        <is>
          <t>32120</t>
        </is>
      </c>
      <c r="C3261" s="46">
        <f>LEFT(Tableau1[[#This Row],[Formacode]],3)</f>
        <v/>
      </c>
      <c r="D3261" s="47" t="n">
        <v>39160</v>
      </c>
      <c r="E3261" s="48">
        <f>"RNCP"&amp;D3261</f>
        <v/>
      </c>
      <c r="F3261" s="48" t="inlineStr">
        <is>
          <t>Diplôme visé grade de master - Programme Grande Ecole</t>
        </is>
      </c>
      <c r="G3261" s="49">
        <f>E3261&amp;" - "&amp;F3261</f>
        <v/>
      </c>
      <c r="H3261" s="36" t="inlineStr">
        <is>
          <t>RAS</t>
        </is>
      </c>
      <c r="I3261" s="45" t="inlineStr"/>
      <c r="J3261" s="45" t="inlineStr">
        <is>
          <t>RNCP39160</t>
        </is>
      </c>
      <c r="K3261" s="45" t="inlineStr">
        <is>
          <t>Diplôme visé grade de master - Programme Grande Ecole</t>
        </is>
      </c>
      <c r="L3261" s="45" t="inlineStr">
        <is>
          <t>31/12/2030</t>
        </is>
      </c>
      <c r="M3261" s="45" t="inlineStr"/>
      <c r="N3261" s="50" t="inlineStr">
        <is>
          <t>NON</t>
        </is>
      </c>
      <c r="O3261" s="45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31/12/2030</t>
        </is>
      </c>
      <c r="M3262" s="45" t="inlineStr"/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31/12/2030</t>
        </is>
      </c>
      <c r="M3263" s="45" t="inlineStr"/>
      <c r="N3263" s="50" t="inlineStr">
        <is>
          <t>NON</t>
        </is>
      </c>
      <c r="O3263" s="45" t="inlineStr"/>
    </row>
    <row r="3264" customFormat="1" s="3">
      <c r="A3264" s="45" t="n"/>
      <c r="B3264" s="46" t="inlineStr">
        <is>
          <t>32120</t>
        </is>
      </c>
      <c r="C3264" s="46">
        <f>LEFT(Tableau1[[#This Row],[Formacode]],3)</f>
        <v/>
      </c>
      <c r="D3264" s="47" t="n">
        <v>39763</v>
      </c>
      <c r="E3264" s="48">
        <f>"RNCP"&amp;D3264</f>
        <v/>
      </c>
      <c r="F3264" s="48" t="inlineStr">
        <is>
          <t>Manager de la performance financière</t>
        </is>
      </c>
      <c r="G3264" s="49">
        <f>E3264&amp;" - "&amp;F3264</f>
        <v/>
      </c>
      <c r="H3264" s="36" t="inlineStr">
        <is>
          <t>RAS</t>
        </is>
      </c>
      <c r="I3264" s="45" t="inlineStr"/>
      <c r="J3264" s="45" t="inlineStr">
        <is>
          <t>RNCP39763</t>
        </is>
      </c>
      <c r="K3264" s="45" t="inlineStr">
        <is>
          <t>Manager de la performance financière</t>
        </is>
      </c>
      <c r="L3264" s="45" t="inlineStr">
        <is>
          <t>31/12/2030</t>
        </is>
      </c>
      <c r="M3264" s="45" t="inlineStr"/>
      <c r="N3264" s="50" t="inlineStr">
        <is>
          <t>NON</t>
        </is>
      </c>
      <c r="O3264" s="45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31/12/2030</t>
        </is>
      </c>
      <c r="M3265" s="45" t="inlineStr"/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31/12/2030</t>
        </is>
      </c>
      <c r="M3266" s="45" t="inlineStr"/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31/12/2030</t>
        </is>
      </c>
      <c r="M3267" s="45" t="inlineStr"/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31/12/2030</t>
        </is>
      </c>
      <c r="M3268" s="45" t="inlineStr"/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31/12/2030</t>
        </is>
      </c>
      <c r="M3269" s="45" t="inlineStr"/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BTS - Management opérationnel de la sécurité</t>
        </is>
      </c>
      <c r="L3270" s="45" t="inlineStr">
        <is>
          <t>31/12/2030</t>
        </is>
      </c>
      <c r="M3270" s="45" t="inlineStr"/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31/12/2030</t>
        </is>
      </c>
      <c r="M3271" s="45" t="inlineStr"/>
      <c r="N3271" s="50" t="inlineStr">
        <is>
          <t>NON</t>
        </is>
      </c>
      <c r="O3271" s="45" t="inlineStr"/>
    </row>
    <row r="3272" customFormat="1" s="3">
      <c r="A3272" s="45" t="n"/>
      <c r="B3272" s="46" t="inlineStr">
        <is>
          <t>32130</t>
        </is>
      </c>
      <c r="C3272" s="46">
        <f>LEFT(Tableau1[[#This Row],[Formacode]],3)</f>
        <v/>
      </c>
      <c r="D3272" s="47" t="n">
        <v>35233</v>
      </c>
      <c r="E3272" s="48">
        <f>"RNCP"&amp;D3272</f>
        <v/>
      </c>
      <c r="F3272" s="48" t="inlineStr">
        <is>
          <t>TP - Assistant manager d’unité marchande</t>
        </is>
      </c>
      <c r="G3272" s="49">
        <f>E3272&amp;" - "&amp;F3272</f>
        <v/>
      </c>
      <c r="H3272" s="36" t="inlineStr">
        <is>
          <t>RAS</t>
        </is>
      </c>
      <c r="I3272" s="45" t="inlineStr"/>
      <c r="J3272" s="45" t="inlineStr">
        <is>
          <t>RNCP35233</t>
        </is>
      </c>
      <c r="K3272" s="45" t="inlineStr">
        <is>
          <t>TP - Assistant manager d’unité marchande</t>
        </is>
      </c>
      <c r="L3272" s="45" t="inlineStr">
        <is>
          <t>31/12/2030</t>
        </is>
      </c>
      <c r="M3272" s="45" t="inlineStr"/>
      <c r="N3272" s="50" t="inlineStr">
        <is>
          <t>NON</t>
        </is>
      </c>
      <c r="O3272" s="45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31/12/2030</t>
        </is>
      </c>
      <c r="M3273" s="45" t="inlineStr"/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31/12/2030</t>
        </is>
      </c>
      <c r="M3274" s="45" t="inlineStr"/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31/12/2030</t>
        </is>
      </c>
      <c r="M3275" s="45" t="inlineStr"/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31/12/2030</t>
        </is>
      </c>
      <c r="M3276" s="45" t="inlineStr"/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31/12/2030</t>
        </is>
      </c>
      <c r="M3277" s="45" t="inlineStr"/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Brevet de technicien supérieur - Métiers de l’esthétique, de la cosmétique et de la parfumerie</t>
        </is>
      </c>
      <c r="L3278" s="45" t="inlineStr">
        <is>
          <t>31/12/2030</t>
        </is>
      </c>
      <c r="M3278" s="45" t="inlineStr"/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31/12/2030</t>
        </is>
      </c>
      <c r="M3279" s="45" t="inlineStr"/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31/12/2030</t>
        </is>
      </c>
      <c r="M3280" s="45" t="inlineStr"/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BTS - Management commercial opérationnel</t>
        </is>
      </c>
      <c r="L3281" s="45" t="inlineStr">
        <is>
          <t>31/12/2030</t>
        </is>
      </c>
      <c r="M3281" s="45" t="inlineStr"/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BTS - Support à l'action managériale</t>
        </is>
      </c>
      <c r="L3282" s="45" t="inlineStr">
        <is>
          <t>31/12/2030</t>
        </is>
      </c>
      <c r="M3282" s="45" t="inlineStr"/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TP - Conducteur d'équipements agroalimentaires</t>
        </is>
      </c>
      <c r="L3283" s="45" t="inlineStr">
        <is>
          <t>31/12/2030</t>
        </is>
      </c>
      <c r="M3283" s="45" t="inlineStr"/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31/12/2030</t>
        </is>
      </c>
      <c r="M3284" s="45" t="inlineStr"/>
      <c r="N3284" s="50" t="inlineStr">
        <is>
          <t>NON</t>
        </is>
      </c>
      <c r="O3284" s="45" t="inlineStr"/>
    </row>
    <row r="3285" customFormat="1" s="3">
      <c r="A3285" s="45" t="n"/>
      <c r="B3285" s="46" t="inlineStr">
        <is>
          <t>32130</t>
        </is>
      </c>
      <c r="C3285" s="46">
        <f>LEFT(Tableau1[[#This Row],[Formacode]],3)</f>
        <v/>
      </c>
      <c r="D3285" s="47" t="n">
        <v>38453</v>
      </c>
      <c r="E3285" s="48">
        <f>"RNCP"&amp;D3285</f>
        <v/>
      </c>
      <c r="F3285" s="48" t="inlineStr">
        <is>
          <t>CQP Animateur d'équipe (CQPI)</t>
        </is>
      </c>
      <c r="G3285" s="49">
        <f>E3285&amp;" - "&amp;F3285</f>
        <v/>
      </c>
      <c r="H3285" s="36" t="inlineStr">
        <is>
          <t>RAS</t>
        </is>
      </c>
      <c r="I3285" s="45" t="inlineStr"/>
      <c r="J3285" s="45" t="inlineStr">
        <is>
          <t>RNCP38453</t>
        </is>
      </c>
      <c r="K3285" s="45" t="inlineStr">
        <is>
          <t>CQP Animateur d'équipe (CQPI)</t>
        </is>
      </c>
      <c r="L3285" s="45" t="inlineStr">
        <is>
          <t>31/12/2030</t>
        </is>
      </c>
      <c r="M3285" s="45" t="inlineStr"/>
      <c r="N3285" s="50" t="inlineStr">
        <is>
          <t>NON</t>
        </is>
      </c>
      <c r="O3285" s="45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31/12/2030</t>
        </is>
      </c>
      <c r="M3286" s="45" t="inlineStr"/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Grade_Master - Diplôme des Instituts d’Études Politiques – Sciences Po</t>
        </is>
      </c>
      <c r="L3287" s="45" t="inlineStr">
        <is>
          <t>31/12/2030</t>
        </is>
      </c>
      <c r="M3287" s="45" t="inlineStr"/>
      <c r="N3287" s="50" t="inlineStr">
        <is>
          <t>NON</t>
        </is>
      </c>
      <c r="O3287" s="45" t="inlineStr"/>
    </row>
    <row r="3288" customFormat="1" s="3">
      <c r="A3288" s="45" t="n"/>
      <c r="B3288" s="46" t="inlineStr">
        <is>
          <t>32130</t>
        </is>
      </c>
      <c r="C3288" s="46">
        <f>LEFT(Tableau1[[#This Row],[Formacode]],3)</f>
        <v/>
      </c>
      <c r="D3288" s="47" t="n">
        <v>39160</v>
      </c>
      <c r="E3288" s="48">
        <f>"RNCP"&amp;D3288</f>
        <v/>
      </c>
      <c r="F3288" s="48" t="inlineStr">
        <is>
          <t>Diplôme visé grade de master - Programme Grande Ecole</t>
        </is>
      </c>
      <c r="G3288" s="49">
        <f>E3288&amp;" - "&amp;F3288</f>
        <v/>
      </c>
      <c r="H3288" s="36" t="inlineStr">
        <is>
          <t>RAS</t>
        </is>
      </c>
      <c r="I3288" s="45" t="inlineStr"/>
      <c r="J3288" s="45" t="inlineStr">
        <is>
          <t>RNCP39160</t>
        </is>
      </c>
      <c r="K3288" s="45" t="inlineStr">
        <is>
          <t>Diplôme visé grade de master - Programme Grande Ecole</t>
        </is>
      </c>
      <c r="L3288" s="45" t="inlineStr">
        <is>
          <t>31/12/2030</t>
        </is>
      </c>
      <c r="M3288" s="45" t="inlineStr"/>
      <c r="N3288" s="50" t="inlineStr">
        <is>
          <t>NON</t>
        </is>
      </c>
      <c r="O3288" s="45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31/12/2030</t>
        </is>
      </c>
      <c r="M3289" s="45" t="inlineStr"/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31/12/2030</t>
        </is>
      </c>
      <c r="M3290" s="45" t="inlineStr"/>
      <c r="N3290" s="50" t="inlineStr">
        <is>
          <t>NON</t>
        </is>
      </c>
      <c r="O3290" s="45" t="inlineStr"/>
    </row>
    <row r="3291" customFormat="1" s="3">
      <c r="A3291" s="45" t="n"/>
      <c r="B3291" s="46" t="inlineStr">
        <is>
          <t>32130</t>
        </is>
      </c>
      <c r="C3291" s="46">
        <f>LEFT(Tableau1[[#This Row],[Formacode]],3)</f>
        <v/>
      </c>
      <c r="D3291" s="47" t="n">
        <v>39763</v>
      </c>
      <c r="E3291" s="48">
        <f>"RNCP"&amp;D3291</f>
        <v/>
      </c>
      <c r="F3291" s="48" t="inlineStr">
        <is>
          <t>Manager de la performance financière</t>
        </is>
      </c>
      <c r="G3291" s="49">
        <f>E3291&amp;" - "&amp;F3291</f>
        <v/>
      </c>
      <c r="H3291" s="36" t="inlineStr">
        <is>
          <t>RAS</t>
        </is>
      </c>
      <c r="I3291" s="45" t="inlineStr"/>
      <c r="J3291" s="45" t="inlineStr">
        <is>
          <t>RNCP39763</t>
        </is>
      </c>
      <c r="K3291" s="45" t="inlineStr">
        <is>
          <t>Manager de la performance financière</t>
        </is>
      </c>
      <c r="L3291" s="45" t="inlineStr">
        <is>
          <t>31/12/2030</t>
        </is>
      </c>
      <c r="M3291" s="45" t="inlineStr"/>
      <c r="N3291" s="50" t="inlineStr">
        <is>
          <t>NON</t>
        </is>
      </c>
      <c r="O3291" s="45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31/12/2030</t>
        </is>
      </c>
      <c r="M3292" s="45" t="inlineStr"/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31/12/2030</t>
        </is>
      </c>
      <c r="M3293" s="45" t="inlineStr"/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31/12/2030</t>
        </is>
      </c>
      <c r="M3294" s="45" t="inlineStr"/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31/12/2030</t>
        </is>
      </c>
      <c r="M3295" s="45" t="inlineStr"/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31/12/2030</t>
        </is>
      </c>
      <c r="M3296" s="45" t="inlineStr"/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31/12/2030</t>
        </is>
      </c>
      <c r="M3297" s="45" t="inlineStr"/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BTS - Management opérationnel de la sécurité</t>
        </is>
      </c>
      <c r="L3298" s="45" t="inlineStr">
        <is>
          <t>31/12/2030</t>
        </is>
      </c>
      <c r="M3298" s="45" t="inlineStr"/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31/12/2030</t>
        </is>
      </c>
      <c r="M3299" s="45" t="inlineStr"/>
      <c r="N3299" s="50" t="inlineStr">
        <is>
          <t>NON</t>
        </is>
      </c>
      <c r="O3299" s="45" t="inlineStr"/>
    </row>
    <row r="3300" customFormat="1" s="3">
      <c r="A3300" s="45" t="n"/>
      <c r="B3300" s="46" t="inlineStr">
        <is>
          <t>32131</t>
        </is>
      </c>
      <c r="C3300" s="46">
        <f>LEFT(Tableau1[[#This Row],[Formacode]],3)</f>
        <v/>
      </c>
      <c r="D3300" s="47" t="n">
        <v>35233</v>
      </c>
      <c r="E3300" s="48">
        <f>"RNCP"&amp;D3300</f>
        <v/>
      </c>
      <c r="F3300" s="48" t="inlineStr">
        <is>
          <t>TP - Assistant manager d’unité marchande</t>
        </is>
      </c>
      <c r="G3300" s="49">
        <f>E3300&amp;" - "&amp;F3300</f>
        <v/>
      </c>
      <c r="H3300" s="36" t="inlineStr">
        <is>
          <t>RAS</t>
        </is>
      </c>
      <c r="I3300" s="45" t="inlineStr"/>
      <c r="J3300" s="45" t="inlineStr">
        <is>
          <t>RNCP35233</t>
        </is>
      </c>
      <c r="K3300" s="45" t="inlineStr">
        <is>
          <t>TP - Assistant manager d’unité marchande</t>
        </is>
      </c>
      <c r="L3300" s="45" t="inlineStr">
        <is>
          <t>31/12/2030</t>
        </is>
      </c>
      <c r="M3300" s="45" t="inlineStr"/>
      <c r="N3300" s="50" t="inlineStr">
        <is>
          <t>NON</t>
        </is>
      </c>
      <c r="O3300" s="45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31/12/2030</t>
        </is>
      </c>
      <c r="M3301" s="45" t="inlineStr"/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31/12/2030</t>
        </is>
      </c>
      <c r="M3302" s="45" t="inlineStr"/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31/12/2030</t>
        </is>
      </c>
      <c r="M3303" s="45" t="inlineStr"/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31/12/2030</t>
        </is>
      </c>
      <c r="M3304" s="45" t="inlineStr"/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31/12/2030</t>
        </is>
      </c>
      <c r="M3305" s="45" t="inlineStr"/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Brevet de technicien supérieur - Métiers de l’esthétique, de la cosmétique et de la parfumerie</t>
        </is>
      </c>
      <c r="L3306" s="45" t="inlineStr">
        <is>
          <t>31/12/2030</t>
        </is>
      </c>
      <c r="M3306" s="45" t="inlineStr"/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31/12/2030</t>
        </is>
      </c>
      <c r="M3307" s="45" t="inlineStr"/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31/12/2030</t>
        </is>
      </c>
      <c r="M3308" s="45" t="inlineStr"/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BTS - Management commercial opérationnel</t>
        </is>
      </c>
      <c r="L3309" s="45" t="inlineStr">
        <is>
          <t>31/12/2030</t>
        </is>
      </c>
      <c r="M3309" s="45" t="inlineStr"/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TP - Conducteur d'équipements agroalimentaires</t>
        </is>
      </c>
      <c r="L3310" s="45" t="inlineStr">
        <is>
          <t>31/12/2030</t>
        </is>
      </c>
      <c r="M3310" s="45" t="inlineStr"/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31/12/2030</t>
        </is>
      </c>
      <c r="M3311" s="45" t="inlineStr"/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31/12/2030</t>
        </is>
      </c>
      <c r="M3312" s="45" t="inlineStr"/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Grade_Master - Diplôme des Instituts d’Études Politiques – Sciences Po</t>
        </is>
      </c>
      <c r="L3313" s="45" t="inlineStr">
        <is>
          <t>31/12/2030</t>
        </is>
      </c>
      <c r="M3313" s="45" t="inlineStr"/>
      <c r="N3313" s="50" t="inlineStr">
        <is>
          <t>NON</t>
        </is>
      </c>
      <c r="O3313" s="45" t="inlineStr"/>
    </row>
    <row r="3314" customFormat="1" s="3">
      <c r="A3314" s="45" t="n"/>
      <c r="B3314" s="46" t="inlineStr">
        <is>
          <t>32131</t>
        </is>
      </c>
      <c r="C3314" s="46">
        <f>LEFT(Tableau1[[#This Row],[Formacode]],3)</f>
        <v/>
      </c>
      <c r="D3314" s="47" t="n">
        <v>39160</v>
      </c>
      <c r="E3314" s="48">
        <f>"RNCP"&amp;D3314</f>
        <v/>
      </c>
      <c r="F3314" s="48" t="inlineStr">
        <is>
          <t>Diplôme visé grade de master - Programme Grande Ecole</t>
        </is>
      </c>
      <c r="G3314" s="49">
        <f>E3314&amp;" - "&amp;F3314</f>
        <v/>
      </c>
      <c r="H3314" s="36" t="inlineStr">
        <is>
          <t>RAS</t>
        </is>
      </c>
      <c r="I3314" s="45" t="inlineStr"/>
      <c r="J3314" s="45" t="inlineStr">
        <is>
          <t>RNCP39160</t>
        </is>
      </c>
      <c r="K3314" s="45" t="inlineStr">
        <is>
          <t>Diplôme visé grade de master - Programme Grande Ecole</t>
        </is>
      </c>
      <c r="L3314" s="45" t="inlineStr">
        <is>
          <t>31/12/2030</t>
        </is>
      </c>
      <c r="M3314" s="45" t="inlineStr"/>
      <c r="N3314" s="50" t="inlineStr">
        <is>
          <t>NON</t>
        </is>
      </c>
      <c r="O3314" s="45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31/12/2030</t>
        </is>
      </c>
      <c r="M3315" s="45" t="inlineStr"/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31/12/2030</t>
        </is>
      </c>
      <c r="M3316" s="45" t="inlineStr"/>
      <c r="N3316" s="50" t="inlineStr">
        <is>
          <t>NON</t>
        </is>
      </c>
      <c r="O3316" s="45" t="inlineStr"/>
    </row>
    <row r="3317" customFormat="1" s="3">
      <c r="A3317" s="45" t="n"/>
      <c r="B3317" s="46" t="inlineStr">
        <is>
          <t>32131</t>
        </is>
      </c>
      <c r="C3317" s="46">
        <f>LEFT(Tableau1[[#This Row],[Formacode]],3)</f>
        <v/>
      </c>
      <c r="D3317" s="47" t="n">
        <v>39763</v>
      </c>
      <c r="E3317" s="48">
        <f>"RNCP"&amp;D3317</f>
        <v/>
      </c>
      <c r="F3317" s="48" t="inlineStr">
        <is>
          <t>Manager de la performance financière</t>
        </is>
      </c>
      <c r="G3317" s="49">
        <f>E3317&amp;" - "&amp;F3317</f>
        <v/>
      </c>
      <c r="H3317" s="36" t="inlineStr">
        <is>
          <t>RAS</t>
        </is>
      </c>
      <c r="I3317" s="45" t="inlineStr"/>
      <c r="J3317" s="45" t="inlineStr">
        <is>
          <t>RNCP39763</t>
        </is>
      </c>
      <c r="K3317" s="45" t="inlineStr">
        <is>
          <t>Manager de la performance financière</t>
        </is>
      </c>
      <c r="L3317" s="45" t="inlineStr">
        <is>
          <t>31/12/2030</t>
        </is>
      </c>
      <c r="M3317" s="45" t="inlineStr"/>
      <c r="N3317" s="50" t="inlineStr">
        <is>
          <t>NON</t>
        </is>
      </c>
      <c r="O3317" s="45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31/12/2030</t>
        </is>
      </c>
      <c r="M3318" s="45" t="inlineStr"/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31/12/2030</t>
        </is>
      </c>
      <c r="M3319" s="45" t="inlineStr"/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31/12/2030</t>
        </is>
      </c>
      <c r="M3320" s="45" t="inlineStr"/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31/12/2030</t>
        </is>
      </c>
      <c r="M3321" s="45" t="inlineStr"/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31/12/2030</t>
        </is>
      </c>
      <c r="M3322" s="45" t="inlineStr"/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BTS - Management opérationnel de la sécurité</t>
        </is>
      </c>
      <c r="L3323" s="45" t="inlineStr">
        <is>
          <t>31/12/2030</t>
        </is>
      </c>
      <c r="M3323" s="45" t="inlineStr"/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31/12/2030</t>
        </is>
      </c>
      <c r="M3324" s="45" t="inlineStr"/>
      <c r="N3324" s="50" t="inlineStr">
        <is>
          <t>NON</t>
        </is>
      </c>
      <c r="O3324" s="45" t="inlineStr"/>
    </row>
    <row r="3325" customFormat="1" s="3">
      <c r="A3325" s="45" t="n"/>
      <c r="B3325" s="46" t="inlineStr">
        <is>
          <t>32135</t>
        </is>
      </c>
      <c r="C3325" s="46">
        <f>LEFT(Tableau1[[#This Row],[Formacode]],3)</f>
        <v/>
      </c>
      <c r="D3325" s="47" t="n">
        <v>35233</v>
      </c>
      <c r="E3325" s="48">
        <f>"RNCP"&amp;D3325</f>
        <v/>
      </c>
      <c r="F3325" s="48" t="inlineStr">
        <is>
          <t>TP - Assistant manager d’unité marchande</t>
        </is>
      </c>
      <c r="G3325" s="49">
        <f>E3325&amp;" - "&amp;F3325</f>
        <v/>
      </c>
      <c r="H3325" s="36" t="inlineStr">
        <is>
          <t>RAS</t>
        </is>
      </c>
      <c r="I3325" s="45" t="inlineStr"/>
      <c r="J3325" s="45" t="inlineStr">
        <is>
          <t>RNCP35233</t>
        </is>
      </c>
      <c r="K3325" s="45" t="inlineStr">
        <is>
          <t>TP - Assistant manager d’unité marchande</t>
        </is>
      </c>
      <c r="L3325" s="45" t="inlineStr">
        <is>
          <t>31/12/2030</t>
        </is>
      </c>
      <c r="M3325" s="45" t="inlineStr"/>
      <c r="N3325" s="50" t="inlineStr">
        <is>
          <t>NON</t>
        </is>
      </c>
      <c r="O3325" s="45" t="inlineStr"/>
    </row>
    <row r="3326" customFormat="1" s="3">
      <c r="A3326" s="45" t="n"/>
      <c r="B3326" s="46" t="inlineStr">
        <is>
          <t>32135</t>
        </is>
      </c>
      <c r="C3326" s="46">
        <f>LEFT(Tableau1[[#This Row],[Formacode]],3)</f>
        <v/>
      </c>
      <c r="D3326" s="47" t="n">
        <v>35593</v>
      </c>
      <c r="E3326" s="48">
        <f>"RNCP"&amp;D3326</f>
        <v/>
      </c>
      <c r="F3326" s="48" t="inlineStr">
        <is>
          <t>Directeur de projets image et communication</t>
        </is>
      </c>
      <c r="G3326" s="49">
        <f>E3326&amp;" - "&amp;F3326</f>
        <v/>
      </c>
      <c r="H3326" s="36" t="inlineStr">
        <is>
          <t>RAS</t>
        </is>
      </c>
      <c r="I3326" s="45" t="inlineStr"/>
      <c r="J3326" s="45" t="inlineStr">
        <is>
          <t>RNCP35593</t>
        </is>
      </c>
      <c r="K3326" s="45" t="inlineStr">
        <is>
          <t>Directeur de projets image et communication</t>
        </is>
      </c>
      <c r="L3326" s="45" t="inlineStr">
        <is>
          <t>31/12/2030</t>
        </is>
      </c>
      <c r="M3326" s="45" t="inlineStr"/>
      <c r="N3326" s="50" t="inlineStr">
        <is>
          <t>NON</t>
        </is>
      </c>
      <c r="O3326" s="45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DIPLOVIS - Programme supérieur de gestion et de commerce</t>
        </is>
      </c>
      <c r="L3327" s="45" t="inlineStr">
        <is>
          <t>31/12/2030</t>
        </is>
      </c>
      <c r="M3327" s="45" t="inlineStr"/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31/12/2030</t>
        </is>
      </c>
      <c r="M3328" s="45" t="inlineStr"/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31/12/2030</t>
        </is>
      </c>
      <c r="M3329" s="45" t="inlineStr"/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31/12/2030</t>
        </is>
      </c>
      <c r="M3330" s="45" t="inlineStr"/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31/12/2030</t>
        </is>
      </c>
      <c r="M3331" s="45" t="inlineStr"/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31/12/2030</t>
        </is>
      </c>
      <c r="M3332" s="45" t="inlineStr"/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Brevet de technicien supérieur - Métiers de l’esthétique, de la cosmétique et de la parfumerie</t>
        </is>
      </c>
      <c r="L3333" s="45" t="inlineStr">
        <is>
          <t>31/12/2030</t>
        </is>
      </c>
      <c r="M3333" s="45" t="inlineStr"/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31/12/2030</t>
        </is>
      </c>
      <c r="M3334" s="45" t="inlineStr"/>
      <c r="N3334" s="50" t="inlineStr">
        <is>
          <t>NON</t>
        </is>
      </c>
      <c r="O3334" s="45" t="inlineStr"/>
    </row>
    <row r="3335" customFormat="1" s="3">
      <c r="A3335" s="45" t="n"/>
      <c r="B3335" s="46" t="inlineStr">
        <is>
          <t>32135</t>
        </is>
      </c>
      <c r="C3335" s="46">
        <f>LEFT(Tableau1[[#This Row],[Formacode]],3)</f>
        <v/>
      </c>
      <c r="D3335" s="47" t="n">
        <v>37842</v>
      </c>
      <c r="E3335" s="48">
        <f>"RNCP"&amp;D3335</f>
        <v/>
      </c>
      <c r="F3335" s="48" t="inlineStr">
        <is>
          <t>Chef de projet design d'espace et produit</t>
        </is>
      </c>
      <c r="G3335" s="49">
        <f>E3335&amp;" - "&amp;F3335</f>
        <v/>
      </c>
      <c r="H3335" s="36" t="inlineStr">
        <is>
          <t>RAS</t>
        </is>
      </c>
      <c r="I3335" s="45" t="inlineStr"/>
      <c r="J3335" s="45" t="inlineStr">
        <is>
          <t>RNCP37842</t>
        </is>
      </c>
      <c r="K3335" s="45" t="inlineStr">
        <is>
          <t>Chef de projet design d'espace et produit</t>
        </is>
      </c>
      <c r="L3335" s="45" t="inlineStr">
        <is>
          <t>31/12/2030</t>
        </is>
      </c>
      <c r="M3335" s="45" t="inlineStr"/>
      <c r="N3335" s="50" t="inlineStr">
        <is>
          <t>NON</t>
        </is>
      </c>
      <c r="O3335" s="45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31/12/2030</t>
        </is>
      </c>
      <c r="M3336" s="45" t="inlineStr"/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BTS - Management commercial opérationnel</t>
        </is>
      </c>
      <c r="L3337" s="45" t="inlineStr">
        <is>
          <t>31/12/2030</t>
        </is>
      </c>
      <c r="M3337" s="45" t="inlineStr"/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TP - Conducteur d'équipements agroalimentaires</t>
        </is>
      </c>
      <c r="L3338" s="45" t="inlineStr">
        <is>
          <t>31/12/2030</t>
        </is>
      </c>
      <c r="M3338" s="45" t="inlineStr"/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31/12/2030</t>
        </is>
      </c>
      <c r="M3339" s="45" t="inlineStr"/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31/12/2030</t>
        </is>
      </c>
      <c r="M3340" s="45" t="inlineStr"/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31/12/2030</t>
        </is>
      </c>
      <c r="M3341" s="45" t="inlineStr"/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Grade_Master - Diplôme des Instituts d’Études Politiques – Sciences Po</t>
        </is>
      </c>
      <c r="L3342" s="45" t="inlineStr">
        <is>
          <t>31/12/2030</t>
        </is>
      </c>
      <c r="M3342" s="45" t="inlineStr"/>
      <c r="N3342" s="50" t="inlineStr">
        <is>
          <t>NON</t>
        </is>
      </c>
      <c r="O3342" s="45" t="inlineStr"/>
    </row>
    <row r="3343" customFormat="1" s="3">
      <c r="A3343" s="45" t="n"/>
      <c r="B3343" s="46" t="inlineStr">
        <is>
          <t>32135</t>
        </is>
      </c>
      <c r="C3343" s="46">
        <f>LEFT(Tableau1[[#This Row],[Formacode]],3)</f>
        <v/>
      </c>
      <c r="D3343" s="47" t="n">
        <v>39160</v>
      </c>
      <c r="E3343" s="48">
        <f>"RNCP"&amp;D3343</f>
        <v/>
      </c>
      <c r="F3343" s="48" t="inlineStr">
        <is>
          <t>Diplôme visé grade de master - Programme Grande Ecole</t>
        </is>
      </c>
      <c r="G3343" s="49">
        <f>E3343&amp;" - "&amp;F3343</f>
        <v/>
      </c>
      <c r="H3343" s="36" t="inlineStr">
        <is>
          <t>RAS</t>
        </is>
      </c>
      <c r="I3343" s="45" t="inlineStr"/>
      <c r="J3343" s="45" t="inlineStr">
        <is>
          <t>RNCP39160</t>
        </is>
      </c>
      <c r="K3343" s="45" t="inlineStr">
        <is>
          <t>Diplôme visé grade de master - Programme Grande Ecole</t>
        </is>
      </c>
      <c r="L3343" s="45" t="inlineStr">
        <is>
          <t>31/12/2030</t>
        </is>
      </c>
      <c r="M3343" s="45" t="inlineStr"/>
      <c r="N3343" s="50" t="inlineStr">
        <is>
          <t>NON</t>
        </is>
      </c>
      <c r="O3343" s="45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31/12/2030</t>
        </is>
      </c>
      <c r="M3344" s="45" t="inlineStr"/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31/12/2030</t>
        </is>
      </c>
      <c r="M3345" s="45" t="inlineStr"/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31/12/2030</t>
        </is>
      </c>
      <c r="M3346" s="45" t="inlineStr"/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31/12/2030</t>
        </is>
      </c>
      <c r="M3347" s="45" t="inlineStr"/>
      <c r="N3347" s="50" t="inlineStr">
        <is>
          <t>NON</t>
        </is>
      </c>
      <c r="O3347" s="45" t="inlineStr"/>
    </row>
    <row r="3348" customFormat="1" s="3">
      <c r="A3348" s="45" t="n"/>
      <c r="B3348" s="46" t="inlineStr">
        <is>
          <t>32135</t>
        </is>
      </c>
      <c r="C3348" s="46">
        <f>LEFT(Tableau1[[#This Row],[Formacode]],3)</f>
        <v/>
      </c>
      <c r="D3348" s="47" t="n">
        <v>39763</v>
      </c>
      <c r="E3348" s="48">
        <f>"RNCP"&amp;D3348</f>
        <v/>
      </c>
      <c r="F3348" s="48" t="inlineStr">
        <is>
          <t>Manager de la performance financière</t>
        </is>
      </c>
      <c r="G3348" s="49">
        <f>E3348&amp;" - "&amp;F3348</f>
        <v/>
      </c>
      <c r="H3348" s="36" t="inlineStr">
        <is>
          <t>RAS</t>
        </is>
      </c>
      <c r="I3348" s="45" t="inlineStr"/>
      <c r="J3348" s="45" t="inlineStr">
        <is>
          <t>RNCP39763</t>
        </is>
      </c>
      <c r="K3348" s="45" t="inlineStr">
        <is>
          <t>Manager de la performance financière</t>
        </is>
      </c>
      <c r="L3348" s="45" t="inlineStr">
        <is>
          <t>31/12/2030</t>
        </is>
      </c>
      <c r="M3348" s="45" t="inlineStr"/>
      <c r="N3348" s="50" t="inlineStr">
        <is>
          <t>NON</t>
        </is>
      </c>
      <c r="O3348" s="45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31/12/2030</t>
        </is>
      </c>
      <c r="M3349" s="45" t="inlineStr"/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31/12/2030</t>
        </is>
      </c>
      <c r="M3350" s="45" t="inlineStr"/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31/12/2030</t>
        </is>
      </c>
      <c r="M3351" s="45" t="inlineStr"/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31/12/2030</t>
        </is>
      </c>
      <c r="M3352" s="45" t="inlineStr"/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31/12/2030</t>
        </is>
      </c>
      <c r="M3353" s="45" t="inlineStr"/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31/12/2030</t>
        </is>
      </c>
      <c r="M3354" s="45" t="inlineStr"/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31/12/2030</t>
        </is>
      </c>
      <c r="M3355" s="45" t="inlineStr"/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31/12/2030</t>
        </is>
      </c>
      <c r="M3356" s="45" t="inlineStr"/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31/12/2030</t>
        </is>
      </c>
      <c r="M3357" s="45" t="inlineStr"/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31/12/2030</t>
        </is>
      </c>
      <c r="M3358" s="45" t="inlineStr"/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31/12/2030</t>
        </is>
      </c>
      <c r="M3359" s="45" t="inlineStr"/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31/12/2030</t>
        </is>
      </c>
      <c r="M3360" s="45" t="inlineStr"/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BTS - Management opérationnel de la sécurité</t>
        </is>
      </c>
      <c r="L3361" s="45" t="inlineStr">
        <is>
          <t>31/12/2030</t>
        </is>
      </c>
      <c r="M3361" s="45" t="inlineStr"/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31/12/2030</t>
        </is>
      </c>
      <c r="M3362" s="45" t="inlineStr"/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31/12/2030</t>
        </is>
      </c>
      <c r="M3363" s="45" t="inlineStr"/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31/12/2030</t>
        </is>
      </c>
      <c r="M3364" s="45" t="inlineStr"/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Grade_Master - Créateur industriel</t>
        </is>
      </c>
      <c r="L3365" s="45" t="inlineStr">
        <is>
          <t>31/12/2030</t>
        </is>
      </c>
      <c r="M3365" s="45" t="inlineStr"/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31/12/2030</t>
        </is>
      </c>
      <c r="M3366" s="45" t="inlineStr"/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31/12/2030</t>
        </is>
      </c>
      <c r="M3367" s="45" t="inlineStr"/>
      <c r="N3367" s="50" t="inlineStr">
        <is>
          <t>NON</t>
        </is>
      </c>
      <c r="O3367" s="45" t="inlineStr"/>
    </row>
    <row r="3368" customFormat="1" s="3">
      <c r="A3368" s="45" t="n"/>
      <c r="B3368" s="46" t="inlineStr">
        <is>
          <t>32140</t>
        </is>
      </c>
      <c r="C3368" s="46">
        <f>LEFT(Tableau1[[#This Row],[Formacode]],3)</f>
        <v/>
      </c>
      <c r="D3368" s="47" t="n">
        <v>35233</v>
      </c>
      <c r="E3368" s="48">
        <f>"RNCP"&amp;D3368</f>
        <v/>
      </c>
      <c r="F3368" s="48" t="inlineStr">
        <is>
          <t>TP - Assistant manager d’unité marchande</t>
        </is>
      </c>
      <c r="G3368" s="49">
        <f>E3368&amp;" - "&amp;F3368</f>
        <v/>
      </c>
      <c r="H3368" s="36" t="inlineStr">
        <is>
          <t>RAS</t>
        </is>
      </c>
      <c r="I3368" s="45" t="inlineStr"/>
      <c r="J3368" s="45" t="inlineStr">
        <is>
          <t>RNCP35233</t>
        </is>
      </c>
      <c r="K3368" s="45" t="inlineStr">
        <is>
          <t>TP - Assistant manager d’unité marchande</t>
        </is>
      </c>
      <c r="L3368" s="45" t="inlineStr">
        <is>
          <t>31/12/2030</t>
        </is>
      </c>
      <c r="M3368" s="45" t="inlineStr"/>
      <c r="N3368" s="50" t="inlineStr">
        <is>
          <t>NON</t>
        </is>
      </c>
      <c r="O3368" s="45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31/12/2030</t>
        </is>
      </c>
      <c r="M3369" s="45" t="inlineStr"/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31/12/2030</t>
        </is>
      </c>
      <c r="M3370" s="45" t="inlineStr"/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31/12/2030</t>
        </is>
      </c>
      <c r="M3371" s="45" t="inlineStr"/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31/12/2030</t>
        </is>
      </c>
      <c r="M3372" s="45" t="inlineStr"/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31/12/2030</t>
        </is>
      </c>
      <c r="M3373" s="45" t="inlineStr"/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Brevet de technicien supérieur - Métiers de l’esthétique, de la cosmétique et de la parfumerie</t>
        </is>
      </c>
      <c r="L3374" s="45" t="inlineStr">
        <is>
          <t>31/12/2030</t>
        </is>
      </c>
      <c r="M3374" s="45" t="inlineStr"/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31/12/2030</t>
        </is>
      </c>
      <c r="M3375" s="45" t="inlineStr"/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31/12/2030</t>
        </is>
      </c>
      <c r="M3376" s="45" t="inlineStr"/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BTS - Management commercial opérationnel</t>
        </is>
      </c>
      <c r="L3377" s="45" t="inlineStr">
        <is>
          <t>31/12/2030</t>
        </is>
      </c>
      <c r="M3377" s="45" t="inlineStr"/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TP - Conducteur d'équipements agroalimentaires</t>
        </is>
      </c>
      <c r="L3378" s="45" t="inlineStr">
        <is>
          <t>31/12/2030</t>
        </is>
      </c>
      <c r="M3378" s="45" t="inlineStr"/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31/12/2030</t>
        </is>
      </c>
      <c r="M3379" s="45" t="inlineStr"/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31/12/2030</t>
        </is>
      </c>
      <c r="M3380" s="45" t="inlineStr"/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Grade_Master - Diplôme des Instituts d’Études Politiques – Sciences Po</t>
        </is>
      </c>
      <c r="L3381" s="45" t="inlineStr">
        <is>
          <t>31/12/2030</t>
        </is>
      </c>
      <c r="M3381" s="45" t="inlineStr"/>
      <c r="N3381" s="50" t="inlineStr">
        <is>
          <t>NON</t>
        </is>
      </c>
      <c r="O3381" s="45" t="inlineStr"/>
    </row>
    <row r="3382" customFormat="1" s="3">
      <c r="A3382" s="45" t="n"/>
      <c r="B3382" s="46" t="inlineStr">
        <is>
          <t>32140</t>
        </is>
      </c>
      <c r="C3382" s="46">
        <f>LEFT(Tableau1[[#This Row],[Formacode]],3)</f>
        <v/>
      </c>
      <c r="D3382" s="47" t="n">
        <v>39160</v>
      </c>
      <c r="E3382" s="48">
        <f>"RNCP"&amp;D3382</f>
        <v/>
      </c>
      <c r="F3382" s="48" t="inlineStr">
        <is>
          <t>Diplôme visé grade de master - Programme Grande Ecole</t>
        </is>
      </c>
      <c r="G3382" s="49">
        <f>E3382&amp;" - "&amp;F3382</f>
        <v/>
      </c>
      <c r="H3382" s="36" t="inlineStr">
        <is>
          <t>RAS</t>
        </is>
      </c>
      <c r="I3382" s="45" t="inlineStr"/>
      <c r="J3382" s="45" t="inlineStr">
        <is>
          <t>RNCP39160</t>
        </is>
      </c>
      <c r="K3382" s="45" t="inlineStr">
        <is>
          <t>Diplôme visé grade de master - Programme Grande Ecole</t>
        </is>
      </c>
      <c r="L3382" s="45" t="inlineStr">
        <is>
          <t>31/12/2030</t>
        </is>
      </c>
      <c r="M3382" s="45" t="inlineStr"/>
      <c r="N3382" s="50" t="inlineStr">
        <is>
          <t>NON</t>
        </is>
      </c>
      <c r="O3382" s="45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31/12/2030</t>
        </is>
      </c>
      <c r="M3383" s="45" t="inlineStr"/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31/12/2030</t>
        </is>
      </c>
      <c r="M3384" s="45" t="inlineStr"/>
      <c r="N3384" s="50" t="inlineStr">
        <is>
          <t>NON</t>
        </is>
      </c>
      <c r="O3384" s="45" t="inlineStr"/>
    </row>
    <row r="3385" customFormat="1" s="3">
      <c r="A3385" s="45" t="n"/>
      <c r="B3385" s="46" t="inlineStr">
        <is>
          <t>32140</t>
        </is>
      </c>
      <c r="C3385" s="46">
        <f>LEFT(Tableau1[[#This Row],[Formacode]],3)</f>
        <v/>
      </c>
      <c r="D3385" s="47" t="n">
        <v>39763</v>
      </c>
      <c r="E3385" s="48">
        <f>"RNCP"&amp;D3385</f>
        <v/>
      </c>
      <c r="F3385" s="48" t="inlineStr">
        <is>
          <t>Manager de la performance financière</t>
        </is>
      </c>
      <c r="G3385" s="49">
        <f>E3385&amp;" - "&amp;F3385</f>
        <v/>
      </c>
      <c r="H3385" s="36" t="inlineStr">
        <is>
          <t>RAS</t>
        </is>
      </c>
      <c r="I3385" s="45" t="inlineStr"/>
      <c r="J3385" s="45" t="inlineStr">
        <is>
          <t>RNCP39763</t>
        </is>
      </c>
      <c r="K3385" s="45" t="inlineStr">
        <is>
          <t>Manager de la performance financière</t>
        </is>
      </c>
      <c r="L3385" s="45" t="inlineStr">
        <is>
          <t>31/12/2030</t>
        </is>
      </c>
      <c r="M3385" s="45" t="inlineStr"/>
      <c r="N3385" s="50" t="inlineStr">
        <is>
          <t>NON</t>
        </is>
      </c>
      <c r="O3385" s="45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31/12/2030</t>
        </is>
      </c>
      <c r="M3386" s="45" t="inlineStr"/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31/12/2030</t>
        </is>
      </c>
      <c r="M3387" s="45" t="inlineStr"/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31/12/2030</t>
        </is>
      </c>
      <c r="M3388" s="45" t="inlineStr"/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31/12/2030</t>
        </is>
      </c>
      <c r="M3389" s="45" t="inlineStr"/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31/12/2030</t>
        </is>
      </c>
      <c r="M3390" s="45" t="inlineStr"/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BTS - Management opérationnel de la sécurité</t>
        </is>
      </c>
      <c r="L3391" s="45" t="inlineStr">
        <is>
          <t>31/12/2030</t>
        </is>
      </c>
      <c r="M3391" s="45" t="inlineStr"/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31/12/2030</t>
        </is>
      </c>
      <c r="M3392" s="45" t="inlineStr"/>
      <c r="N3392" s="50" t="inlineStr">
        <is>
          <t>NON</t>
        </is>
      </c>
      <c r="O3392" s="45" t="inlineStr"/>
    </row>
    <row r="3393" customFormat="1" s="3">
      <c r="A3393" s="45" t="n"/>
      <c r="B3393" s="46" t="inlineStr">
        <is>
          <t>32142</t>
        </is>
      </c>
      <c r="C3393" s="46">
        <f>LEFT(Tableau1[[#This Row],[Formacode]],3)</f>
        <v/>
      </c>
      <c r="D3393" s="47" t="n">
        <v>35233</v>
      </c>
      <c r="E3393" s="48">
        <f>"RNCP"&amp;D3393</f>
        <v/>
      </c>
      <c r="F3393" s="48" t="inlineStr">
        <is>
          <t>TP - Assistant manager d’unité marchande</t>
        </is>
      </c>
      <c r="G3393" s="49">
        <f>E3393&amp;" - "&amp;F3393</f>
        <v/>
      </c>
      <c r="H3393" s="36" t="inlineStr">
        <is>
          <t>RAS</t>
        </is>
      </c>
      <c r="I3393" s="45" t="inlineStr"/>
      <c r="J3393" s="45" t="inlineStr">
        <is>
          <t>RNCP35233</t>
        </is>
      </c>
      <c r="K3393" s="45" t="inlineStr">
        <is>
          <t>TP - Assistant manager d’unité marchande</t>
        </is>
      </c>
      <c r="L3393" s="45" t="inlineStr">
        <is>
          <t>31/12/2030</t>
        </is>
      </c>
      <c r="M3393" s="45" t="inlineStr"/>
      <c r="N3393" s="50" t="inlineStr">
        <is>
          <t>NON</t>
        </is>
      </c>
      <c r="O3393" s="45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31/12/2030</t>
        </is>
      </c>
      <c r="M3394" s="45" t="inlineStr"/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31/12/2030</t>
        </is>
      </c>
      <c r="M3395" s="45" t="inlineStr"/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31/12/2030</t>
        </is>
      </c>
      <c r="M3396" s="45" t="inlineStr"/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31/12/2030</t>
        </is>
      </c>
      <c r="M3397" s="45" t="inlineStr"/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31/12/2030</t>
        </is>
      </c>
      <c r="M3398" s="45" t="inlineStr"/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Brevet de technicien supérieur - Métiers de l’esthétique, de la cosmétique et de la parfumerie</t>
        </is>
      </c>
      <c r="L3399" s="45" t="inlineStr">
        <is>
          <t>31/12/2030</t>
        </is>
      </c>
      <c r="M3399" s="45" t="inlineStr"/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31/12/2030</t>
        </is>
      </c>
      <c r="M3400" s="45" t="inlineStr"/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31/12/2030</t>
        </is>
      </c>
      <c r="M3401" s="45" t="inlineStr"/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BTS - Management commercial opérationnel</t>
        </is>
      </c>
      <c r="L3402" s="45" t="inlineStr">
        <is>
          <t>31/12/2030</t>
        </is>
      </c>
      <c r="M3402" s="45" t="inlineStr"/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BTS - Support à l'action managériale</t>
        </is>
      </c>
      <c r="L3403" s="45" t="inlineStr">
        <is>
          <t>31/12/2030</t>
        </is>
      </c>
      <c r="M3403" s="45" t="inlineStr"/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TP - Conducteur d'équipements agroalimentaires</t>
        </is>
      </c>
      <c r="L3404" s="45" t="inlineStr">
        <is>
          <t>31/12/2030</t>
        </is>
      </c>
      <c r="M3404" s="45" t="inlineStr"/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31/12/2030</t>
        </is>
      </c>
      <c r="M3405" s="45" t="inlineStr"/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31/12/2030</t>
        </is>
      </c>
      <c r="M3406" s="45" t="inlineStr"/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Grade_Master - Diplôme des Instituts d’Études Politiques – Sciences Po</t>
        </is>
      </c>
      <c r="L3407" s="45" t="inlineStr">
        <is>
          <t>31/12/2030</t>
        </is>
      </c>
      <c r="M3407" s="45" t="inlineStr"/>
      <c r="N3407" s="50" t="inlineStr">
        <is>
          <t>NON</t>
        </is>
      </c>
      <c r="O3407" s="45" t="inlineStr"/>
    </row>
    <row r="3408" customFormat="1" s="3">
      <c r="A3408" s="45" t="n"/>
      <c r="B3408" s="46" t="inlineStr">
        <is>
          <t>32142</t>
        </is>
      </c>
      <c r="C3408" s="46">
        <f>LEFT(Tableau1[[#This Row],[Formacode]],3)</f>
        <v/>
      </c>
      <c r="D3408" s="47" t="n">
        <v>39160</v>
      </c>
      <c r="E3408" s="48">
        <f>"RNCP"&amp;D3408</f>
        <v/>
      </c>
      <c r="F3408" s="48" t="inlineStr">
        <is>
          <t>Diplôme visé grade de master - Programme Grande Ecole</t>
        </is>
      </c>
      <c r="G3408" s="49">
        <f>E3408&amp;" - "&amp;F3408</f>
        <v/>
      </c>
      <c r="H3408" s="36" t="inlineStr">
        <is>
          <t>RAS</t>
        </is>
      </c>
      <c r="I3408" s="45" t="inlineStr"/>
      <c r="J3408" s="45" t="inlineStr">
        <is>
          <t>RNCP39160</t>
        </is>
      </c>
      <c r="K3408" s="45" t="inlineStr">
        <is>
          <t>Diplôme visé grade de master - Programme Grande Ecole</t>
        </is>
      </c>
      <c r="L3408" s="45" t="inlineStr">
        <is>
          <t>31/12/2030</t>
        </is>
      </c>
      <c r="M3408" s="45" t="inlineStr"/>
      <c r="N3408" s="50" t="inlineStr">
        <is>
          <t>NON</t>
        </is>
      </c>
      <c r="O3408" s="45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31/12/2030</t>
        </is>
      </c>
      <c r="M3409" s="45" t="inlineStr"/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31/12/2030</t>
        </is>
      </c>
      <c r="M3410" s="45" t="inlineStr"/>
      <c r="N3410" s="50" t="inlineStr">
        <is>
          <t>NON</t>
        </is>
      </c>
      <c r="O3410" s="45" t="inlineStr"/>
    </row>
    <row r="3411" customFormat="1" s="3">
      <c r="A3411" s="45" t="n"/>
      <c r="B3411" s="46" t="inlineStr">
        <is>
          <t>32142</t>
        </is>
      </c>
      <c r="C3411" s="46">
        <f>LEFT(Tableau1[[#This Row],[Formacode]],3)</f>
        <v/>
      </c>
      <c r="D3411" s="47" t="n">
        <v>39763</v>
      </c>
      <c r="E3411" s="48">
        <f>"RNCP"&amp;D3411</f>
        <v/>
      </c>
      <c r="F3411" s="48" t="inlineStr">
        <is>
          <t>Manager de la performance financière</t>
        </is>
      </c>
      <c r="G3411" s="49">
        <f>E3411&amp;" - "&amp;F3411</f>
        <v/>
      </c>
      <c r="H3411" s="36" t="inlineStr">
        <is>
          <t>RAS</t>
        </is>
      </c>
      <c r="I3411" s="45" t="inlineStr"/>
      <c r="J3411" s="45" t="inlineStr">
        <is>
          <t>RNCP39763</t>
        </is>
      </c>
      <c r="K3411" s="45" t="inlineStr">
        <is>
          <t>Manager de la performance financière</t>
        </is>
      </c>
      <c r="L3411" s="45" t="inlineStr">
        <is>
          <t>31/12/2030</t>
        </is>
      </c>
      <c r="M3411" s="45" t="inlineStr"/>
      <c r="N3411" s="50" t="inlineStr">
        <is>
          <t>NON</t>
        </is>
      </c>
      <c r="O3411" s="45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31/12/2030</t>
        </is>
      </c>
      <c r="M3412" s="45" t="inlineStr"/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31/12/2030</t>
        </is>
      </c>
      <c r="M3413" s="45" t="inlineStr"/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31/12/2030</t>
        </is>
      </c>
      <c r="M3414" s="45" t="inlineStr"/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31/12/2030</t>
        </is>
      </c>
      <c r="M3415" s="45" t="inlineStr"/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31/12/2030</t>
        </is>
      </c>
      <c r="M3416" s="45" t="inlineStr"/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BTS - Management opérationnel de la sécurité</t>
        </is>
      </c>
      <c r="L3417" s="45" t="inlineStr">
        <is>
          <t>31/12/2030</t>
        </is>
      </c>
      <c r="M3417" s="45" t="inlineStr"/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31/12/2030</t>
        </is>
      </c>
      <c r="M3418" s="45" t="inlineStr"/>
      <c r="N3418" s="50" t="inlineStr">
        <is>
          <t>NON</t>
        </is>
      </c>
      <c r="O3418" s="45" t="inlineStr"/>
    </row>
    <row r="3419" customFormat="1" s="3">
      <c r="A3419" s="45" t="n"/>
      <c r="B3419" s="46" t="inlineStr">
        <is>
          <t>32145</t>
        </is>
      </c>
      <c r="C3419" s="46">
        <f>LEFT(Tableau1[[#This Row],[Formacode]],3)</f>
        <v/>
      </c>
      <c r="D3419" s="47" t="n">
        <v>35233</v>
      </c>
      <c r="E3419" s="48">
        <f>"RNCP"&amp;D3419</f>
        <v/>
      </c>
      <c r="F3419" s="48" t="inlineStr">
        <is>
          <t>TP - Assistant manager d’unité marchande</t>
        </is>
      </c>
      <c r="G3419" s="49">
        <f>E3419&amp;" - "&amp;F3419</f>
        <v/>
      </c>
      <c r="H3419" s="36" t="inlineStr">
        <is>
          <t>RAS</t>
        </is>
      </c>
      <c r="I3419" s="45" t="inlineStr"/>
      <c r="J3419" s="45" t="inlineStr">
        <is>
          <t>RNCP35233</t>
        </is>
      </c>
      <c r="K3419" s="45" t="inlineStr">
        <is>
          <t>TP - Assistant manager d’unité marchande</t>
        </is>
      </c>
      <c r="L3419" s="45" t="inlineStr">
        <is>
          <t>31/12/2030</t>
        </is>
      </c>
      <c r="M3419" s="45" t="inlineStr"/>
      <c r="N3419" s="50" t="inlineStr">
        <is>
          <t>NON</t>
        </is>
      </c>
      <c r="O3419" s="45" t="inlineStr"/>
    </row>
    <row r="3420" customFormat="1" s="3">
      <c r="A3420" s="45" t="n"/>
      <c r="B3420" s="46" t="inlineStr">
        <is>
          <t>32145</t>
        </is>
      </c>
      <c r="C3420" s="46">
        <f>LEFT(Tableau1[[#This Row],[Formacode]],3)</f>
        <v/>
      </c>
      <c r="D3420" s="47" t="n">
        <v>35590</v>
      </c>
      <c r="E3420" s="48">
        <f>"RNCP"&amp;D3420</f>
        <v/>
      </c>
      <c r="F3420" s="48" t="inlineStr">
        <is>
          <t>Manager de l'habitat social et durable</t>
        </is>
      </c>
      <c r="G3420" s="49">
        <f>E3420&amp;" - "&amp;F3420</f>
        <v/>
      </c>
      <c r="H3420" s="36" t="inlineStr">
        <is>
          <t>RAS</t>
        </is>
      </c>
      <c r="I3420" s="45" t="inlineStr"/>
      <c r="J3420" s="45" t="inlineStr">
        <is>
          <t>RNCP35590</t>
        </is>
      </c>
      <c r="K3420" s="45" t="inlineStr">
        <is>
          <t>Manager de l'habitat social et durable</t>
        </is>
      </c>
      <c r="L3420" s="45" t="inlineStr">
        <is>
          <t>31/12/2030</t>
        </is>
      </c>
      <c r="M3420" s="45" t="inlineStr"/>
      <c r="N3420" s="50" t="inlineStr">
        <is>
          <t>NON</t>
        </is>
      </c>
      <c r="O3420" s="45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DipViGrM - Programme Grande Ecole</t>
        </is>
      </c>
      <c r="L3421" s="45" t="inlineStr">
        <is>
          <t>31/12/2030</t>
        </is>
      </c>
      <c r="M3421" s="45" t="inlineStr"/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31/12/2030</t>
        </is>
      </c>
      <c r="M3422" s="45" t="inlineStr"/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31/12/2030</t>
        </is>
      </c>
      <c r="M3423" s="45" t="inlineStr"/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31/12/2030</t>
        </is>
      </c>
      <c r="M3424" s="45" t="inlineStr"/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31/12/2030</t>
        </is>
      </c>
      <c r="M3425" s="45" t="inlineStr"/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31/12/2030</t>
        </is>
      </c>
      <c r="M3426" s="45" t="inlineStr"/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Brevet de technicien supérieur - Métiers de l’esthétique, de la cosmétique et de la parfumerie</t>
        </is>
      </c>
      <c r="L3427" s="45" t="inlineStr">
        <is>
          <t>31/12/2030</t>
        </is>
      </c>
      <c r="M3427" s="45" t="inlineStr"/>
      <c r="N3427" s="50" t="inlineStr">
        <is>
          <t>NON</t>
        </is>
      </c>
      <c r="O3427" s="45" t="inlineStr"/>
    </row>
    <row r="3428" customFormat="1" s="3">
      <c r="A3428" s="45" t="n"/>
      <c r="B3428" s="46" t="inlineStr">
        <is>
          <t>32145</t>
        </is>
      </c>
      <c r="C3428" s="46">
        <f>LEFT(Tableau1[[#This Row],[Formacode]],3)</f>
        <v/>
      </c>
      <c r="D3428" s="47" t="n">
        <v>37635</v>
      </c>
      <c r="E3428" s="48">
        <f>"RNCP"&amp;D3428</f>
        <v/>
      </c>
      <c r="F3428" s="48" t="inlineStr">
        <is>
          <t>Manager de commerce et de centre de profit</t>
        </is>
      </c>
      <c r="G3428" s="49">
        <f>E3428&amp;" - "&amp;F3428</f>
        <v/>
      </c>
      <c r="H3428" s="36" t="inlineStr">
        <is>
          <t>RAS</t>
        </is>
      </c>
      <c r="I3428" s="45" t="inlineStr"/>
      <c r="J3428" s="45" t="inlineStr">
        <is>
          <t>RNCP37635</t>
        </is>
      </c>
      <c r="K3428" s="45" t="inlineStr">
        <is>
          <t>Manager de commerce et de centre de profit</t>
        </is>
      </c>
      <c r="L3428" s="45" t="inlineStr">
        <is>
          <t>31/12/2030</t>
        </is>
      </c>
      <c r="M3428" s="45" t="inlineStr"/>
      <c r="N3428" s="50" t="inlineStr">
        <is>
          <t>NON</t>
        </is>
      </c>
      <c r="O3428" s="45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31/12/2030</t>
        </is>
      </c>
      <c r="M3429" s="45" t="inlineStr"/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DipViGrM - Programme grande école</t>
        </is>
      </c>
      <c r="L3430" s="45" t="inlineStr">
        <is>
          <t>31/12/2030</t>
        </is>
      </c>
      <c r="M3430" s="45" t="inlineStr"/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31/12/2030</t>
        </is>
      </c>
      <c r="M3431" s="45" t="inlineStr"/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BTS - Management commercial opérationnel</t>
        </is>
      </c>
      <c r="L3432" s="45" t="inlineStr">
        <is>
          <t>31/12/2030</t>
        </is>
      </c>
      <c r="M3432" s="45" t="inlineStr"/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BTS - Support à l'action managériale</t>
        </is>
      </c>
      <c r="L3433" s="45" t="inlineStr">
        <is>
          <t>31/12/2030</t>
        </is>
      </c>
      <c r="M3433" s="45" t="inlineStr"/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TP - Conducteur d'équipements agroalimentaires</t>
        </is>
      </c>
      <c r="L3434" s="45" t="inlineStr">
        <is>
          <t>31/12/2030</t>
        </is>
      </c>
      <c r="M3434" s="45" t="inlineStr"/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31/12/2030</t>
        </is>
      </c>
      <c r="M3435" s="45" t="inlineStr"/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31/12/2030</t>
        </is>
      </c>
      <c r="M3436" s="45" t="inlineStr"/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DIPLOVIS - Gestion et Développement Commercial</t>
        </is>
      </c>
      <c r="L3437" s="45" t="inlineStr">
        <is>
          <t>31/12/2030</t>
        </is>
      </c>
      <c r="M3437" s="45" t="inlineStr"/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Grade_Master - Diplôme des Instituts d’Études Politiques – Sciences Po</t>
        </is>
      </c>
      <c r="L3438" s="45" t="inlineStr">
        <is>
          <t>31/12/2030</t>
        </is>
      </c>
      <c r="M3438" s="45" t="inlineStr"/>
      <c r="N3438" s="50" t="inlineStr">
        <is>
          <t>NON</t>
        </is>
      </c>
      <c r="O3438" s="45" t="inlineStr"/>
    </row>
    <row r="3439" customFormat="1" s="3">
      <c r="A3439" s="45" t="n"/>
      <c r="B3439" s="46" t="inlineStr">
        <is>
          <t>32145</t>
        </is>
      </c>
      <c r="C3439" s="46">
        <f>LEFT(Tableau1[[#This Row],[Formacode]],3)</f>
        <v/>
      </c>
      <c r="D3439" s="47" t="n">
        <v>39160</v>
      </c>
      <c r="E3439" s="48">
        <f>"RNCP"&amp;D3439</f>
        <v/>
      </c>
      <c r="F3439" s="48" t="inlineStr">
        <is>
          <t>Diplôme visé grade de master - Programme Grande Ecole</t>
        </is>
      </c>
      <c r="G3439" s="49">
        <f>E3439&amp;" - "&amp;F3439</f>
        <v/>
      </c>
      <c r="H3439" s="36" t="inlineStr">
        <is>
          <t>RAS</t>
        </is>
      </c>
      <c r="I3439" s="45" t="inlineStr"/>
      <c r="J3439" s="45" t="inlineStr">
        <is>
          <t>RNCP39160</t>
        </is>
      </c>
      <c r="K3439" s="45" t="inlineStr">
        <is>
          <t>Diplôme visé grade de master - Programme Grande Ecole</t>
        </is>
      </c>
      <c r="L3439" s="45" t="inlineStr">
        <is>
          <t>31/12/2030</t>
        </is>
      </c>
      <c r="M3439" s="45" t="inlineStr"/>
      <c r="N3439" s="50" t="inlineStr">
        <is>
          <t>NON</t>
        </is>
      </c>
      <c r="O3439" s="45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31/12/2030</t>
        </is>
      </c>
      <c r="M3440" s="45" t="inlineStr"/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31/12/2030</t>
        </is>
      </c>
      <c r="M3441" s="45" t="inlineStr"/>
      <c r="N3441" s="50" t="inlineStr">
        <is>
          <t>NON</t>
        </is>
      </c>
      <c r="O3441" s="45" t="inlineStr"/>
    </row>
    <row r="3442" customFormat="1" s="3">
      <c r="A3442" s="45" t="n"/>
      <c r="B3442" s="46" t="inlineStr">
        <is>
          <t>32145</t>
        </is>
      </c>
      <c r="C3442" s="46">
        <f>LEFT(Tableau1[[#This Row],[Formacode]],3)</f>
        <v/>
      </c>
      <c r="D3442" s="47" t="n">
        <v>39763</v>
      </c>
      <c r="E3442" s="48">
        <f>"RNCP"&amp;D3442</f>
        <v/>
      </c>
      <c r="F3442" s="48" t="inlineStr">
        <is>
          <t>Manager de la performance financière</t>
        </is>
      </c>
      <c r="G3442" s="49">
        <f>E3442&amp;" - "&amp;F3442</f>
        <v/>
      </c>
      <c r="H3442" s="36" t="inlineStr">
        <is>
          <t>RAS</t>
        </is>
      </c>
      <c r="I3442" s="45" t="inlineStr"/>
      <c r="J3442" s="45" t="inlineStr">
        <is>
          <t>RNCP39763</t>
        </is>
      </c>
      <c r="K3442" s="45" t="inlineStr">
        <is>
          <t>Manager de la performance financière</t>
        </is>
      </c>
      <c r="L3442" s="45" t="inlineStr">
        <is>
          <t>31/12/2030</t>
        </is>
      </c>
      <c r="M3442" s="45" t="inlineStr"/>
      <c r="N3442" s="50" t="inlineStr">
        <is>
          <t>NON</t>
        </is>
      </c>
      <c r="O3442" s="45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31/12/2030</t>
        </is>
      </c>
      <c r="M3443" s="45" t="inlineStr"/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31/12/2030</t>
        </is>
      </c>
      <c r="M3444" s="45" t="inlineStr"/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31/12/2030</t>
        </is>
      </c>
      <c r="M3445" s="45" t="inlineStr"/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31/12/2030</t>
        </is>
      </c>
      <c r="M3446" s="45" t="inlineStr"/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31/12/2030</t>
        </is>
      </c>
      <c r="M3447" s="45" t="inlineStr"/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31/12/2030</t>
        </is>
      </c>
      <c r="M3448" s="45" t="inlineStr"/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31/12/2030</t>
        </is>
      </c>
      <c r="M3449" s="45" t="inlineStr"/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31/12/2030</t>
        </is>
      </c>
      <c r="M3450" s="45" t="inlineStr"/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BTS - Management opérationnel de la sécurité</t>
        </is>
      </c>
      <c r="L3451" s="45" t="inlineStr">
        <is>
          <t>31/12/2030</t>
        </is>
      </c>
      <c r="M3451" s="45" t="inlineStr"/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31/12/2030</t>
        </is>
      </c>
      <c r="M3452" s="45" t="inlineStr"/>
      <c r="N3452" s="50" t="inlineStr">
        <is>
          <t>NON</t>
        </is>
      </c>
      <c r="O3452" s="45" t="inlineStr"/>
    </row>
    <row r="3453" customFormat="1" s="3">
      <c r="A3453" s="45" t="n"/>
      <c r="B3453" s="46" t="inlineStr">
        <is>
          <t>32150</t>
        </is>
      </c>
      <c r="C3453" s="46">
        <f>LEFT(Tableau1[[#This Row],[Formacode]],3)</f>
        <v/>
      </c>
      <c r="D3453" s="47" t="n">
        <v>35233</v>
      </c>
      <c r="E3453" s="48">
        <f>"RNCP"&amp;D3453</f>
        <v/>
      </c>
      <c r="F3453" s="48" t="inlineStr">
        <is>
          <t>TP - Assistant manager d’unité marchande</t>
        </is>
      </c>
      <c r="G3453" s="49">
        <f>E3453&amp;" - "&amp;F3453</f>
        <v/>
      </c>
      <c r="H3453" s="36" t="inlineStr">
        <is>
          <t>RAS</t>
        </is>
      </c>
      <c r="I3453" s="45" t="inlineStr"/>
      <c r="J3453" s="45" t="inlineStr">
        <is>
          <t>RNCP35233</t>
        </is>
      </c>
      <c r="K3453" s="45" t="inlineStr">
        <is>
          <t>TP - Assistant manager d’unité marchande</t>
        </is>
      </c>
      <c r="L3453" s="45" t="inlineStr">
        <is>
          <t>31/12/2030</t>
        </is>
      </c>
      <c r="M3453" s="45" t="inlineStr"/>
      <c r="N3453" s="50" t="inlineStr">
        <is>
          <t>NON</t>
        </is>
      </c>
      <c r="O3453" s="45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31/12/2030</t>
        </is>
      </c>
      <c r="M3454" s="45" t="inlineStr"/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31/12/2030</t>
        </is>
      </c>
      <c r="M3455" s="45" t="inlineStr"/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31/12/2030</t>
        </is>
      </c>
      <c r="M3456" s="45" t="inlineStr"/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31/12/2030</t>
        </is>
      </c>
      <c r="M3457" s="45" t="inlineStr"/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31/12/2030</t>
        </is>
      </c>
      <c r="M3458" s="45" t="inlineStr"/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Brevet de technicien supérieur - Métiers de l’esthétique, de la cosmétique et de la parfumerie</t>
        </is>
      </c>
      <c r="L3459" s="45" t="inlineStr">
        <is>
          <t>31/12/2030</t>
        </is>
      </c>
      <c r="M3459" s="45" t="inlineStr"/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31/12/2030</t>
        </is>
      </c>
      <c r="M3460" s="45" t="inlineStr"/>
      <c r="N3460" s="50" t="inlineStr">
        <is>
          <t>NON</t>
        </is>
      </c>
      <c r="O3460" s="45" t="inlineStr"/>
    </row>
    <row r="3461" customFormat="1" s="3">
      <c r="A3461" s="45" t="n"/>
      <c r="B3461" s="46" t="inlineStr">
        <is>
          <t>32150</t>
        </is>
      </c>
      <c r="C3461" s="46">
        <f>LEFT(Tableau1[[#This Row],[Formacode]],3)</f>
        <v/>
      </c>
      <c r="D3461" s="47" t="n">
        <v>37799</v>
      </c>
      <c r="E3461" s="48">
        <f>"RNCP"&amp;D3461</f>
        <v/>
      </c>
      <c r="F3461" s="48" t="inlineStr">
        <is>
          <t>Coach professionnel</t>
        </is>
      </c>
      <c r="G3461" s="49">
        <f>E3461&amp;" - "&amp;F3461</f>
        <v/>
      </c>
      <c r="H3461" s="36" t="inlineStr">
        <is>
          <t>RAS</t>
        </is>
      </c>
      <c r="I3461" s="45" t="inlineStr"/>
      <c r="J3461" s="45" t="inlineStr">
        <is>
          <t>RNCP37799</t>
        </is>
      </c>
      <c r="K3461" s="45" t="inlineStr">
        <is>
          <t>Coach professionnel</t>
        </is>
      </c>
      <c r="L3461" s="45" t="inlineStr">
        <is>
          <t>31/12/2030</t>
        </is>
      </c>
      <c r="M3461" s="45" t="inlineStr"/>
      <c r="N3461" s="50" t="inlineStr">
        <is>
          <t>NON</t>
        </is>
      </c>
      <c r="O3461" s="45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31/12/2030</t>
        </is>
      </c>
      <c r="M3462" s="45" t="inlineStr"/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BTS - Management commercial opérationnel</t>
        </is>
      </c>
      <c r="L3463" s="45" t="inlineStr">
        <is>
          <t>31/12/2030</t>
        </is>
      </c>
      <c r="M3463" s="45" t="inlineStr"/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TP - Conducteur d'équipements agroalimentaires</t>
        </is>
      </c>
      <c r="L3464" s="45" t="inlineStr">
        <is>
          <t>31/12/2030</t>
        </is>
      </c>
      <c r="M3464" s="45" t="inlineStr"/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31/12/2030</t>
        </is>
      </c>
      <c r="M3465" s="45" t="inlineStr"/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31/12/2030</t>
        </is>
      </c>
      <c r="M3466" s="45" t="inlineStr"/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Grade_Master - Diplôme des Instituts d’Études Politiques – Sciences Po</t>
        </is>
      </c>
      <c r="L3467" s="45" t="inlineStr">
        <is>
          <t>31/12/2030</t>
        </is>
      </c>
      <c r="M3467" s="45" t="inlineStr"/>
      <c r="N3467" s="50" t="inlineStr">
        <is>
          <t>NON</t>
        </is>
      </c>
      <c r="O3467" s="45" t="inlineStr"/>
    </row>
    <row r="3468" customFormat="1" s="3">
      <c r="A3468" s="45" t="n"/>
      <c r="B3468" s="46" t="inlineStr">
        <is>
          <t>32150</t>
        </is>
      </c>
      <c r="C3468" s="46">
        <f>LEFT(Tableau1[[#This Row],[Formacode]],3)</f>
        <v/>
      </c>
      <c r="D3468" s="47" t="n">
        <v>39160</v>
      </c>
      <c r="E3468" s="48">
        <f>"RNCP"&amp;D3468</f>
        <v/>
      </c>
      <c r="F3468" s="48" t="inlineStr">
        <is>
          <t>Diplôme visé grade de master - Programme Grande Ecole</t>
        </is>
      </c>
      <c r="G3468" s="49">
        <f>E3468&amp;" - "&amp;F3468</f>
        <v/>
      </c>
      <c r="H3468" s="36" t="inlineStr">
        <is>
          <t>RAS</t>
        </is>
      </c>
      <c r="I3468" s="45" t="inlineStr"/>
      <c r="J3468" s="45" t="inlineStr">
        <is>
          <t>RNCP39160</t>
        </is>
      </c>
      <c r="K3468" s="45" t="inlineStr">
        <is>
          <t>Diplôme visé grade de master - Programme Grande Ecole</t>
        </is>
      </c>
      <c r="L3468" s="45" t="inlineStr">
        <is>
          <t>31/12/2030</t>
        </is>
      </c>
      <c r="M3468" s="45" t="inlineStr"/>
      <c r="N3468" s="50" t="inlineStr">
        <is>
          <t>NON</t>
        </is>
      </c>
      <c r="O3468" s="45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31/12/2030</t>
        </is>
      </c>
      <c r="M3469" s="45" t="inlineStr"/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31/12/2030</t>
        </is>
      </c>
      <c r="M3470" s="45" t="inlineStr"/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31/12/2030</t>
        </is>
      </c>
      <c r="M3471" s="45" t="inlineStr"/>
      <c r="N3471" s="50" t="inlineStr">
        <is>
          <t>NON</t>
        </is>
      </c>
      <c r="O3471" s="45" t="inlineStr"/>
    </row>
    <row r="3472" customFormat="1" s="3">
      <c r="A3472" s="45" t="n"/>
      <c r="B3472" s="46" t="inlineStr">
        <is>
          <t>32150</t>
        </is>
      </c>
      <c r="C3472" s="46">
        <f>LEFT(Tableau1[[#This Row],[Formacode]],3)</f>
        <v/>
      </c>
      <c r="D3472" s="47" t="n">
        <v>39763</v>
      </c>
      <c r="E3472" s="48">
        <f>"RNCP"&amp;D3472</f>
        <v/>
      </c>
      <c r="F3472" s="48" t="inlineStr">
        <is>
          <t>Manager de la performance financière</t>
        </is>
      </c>
      <c r="G3472" s="49">
        <f>E3472&amp;" - "&amp;F3472</f>
        <v/>
      </c>
      <c r="H3472" s="36" t="inlineStr">
        <is>
          <t>RAS</t>
        </is>
      </c>
      <c r="I3472" s="45" t="inlineStr"/>
      <c r="J3472" s="45" t="inlineStr">
        <is>
          <t>RNCP39763</t>
        </is>
      </c>
      <c r="K3472" s="45" t="inlineStr">
        <is>
          <t>Manager de la performance financière</t>
        </is>
      </c>
      <c r="L3472" s="45" t="inlineStr">
        <is>
          <t>31/12/2030</t>
        </is>
      </c>
      <c r="M3472" s="45" t="inlineStr"/>
      <c r="N3472" s="50" t="inlineStr">
        <is>
          <t>NON</t>
        </is>
      </c>
      <c r="O3472" s="45" t="inlineStr"/>
    </row>
    <row r="3473" customFormat="1" s="3">
      <c r="A3473" s="45" t="n"/>
      <c r="B3473" s="46" t="inlineStr">
        <is>
          <t>32150</t>
        </is>
      </c>
      <c r="C3473" s="46">
        <f>LEFT(Tableau1[[#This Row],[Formacode]],3)</f>
        <v/>
      </c>
      <c r="D3473" s="47" t="n">
        <v>39786</v>
      </c>
      <c r="E3473" s="48">
        <f>"RNCP"&amp;D3473</f>
        <v/>
      </c>
      <c r="F3473" s="48" t="inlineStr">
        <is>
          <t>Coach professionnel</t>
        </is>
      </c>
      <c r="G3473" s="49">
        <f>E3473&amp;" - "&amp;F3473</f>
        <v/>
      </c>
      <c r="H3473" s="36" t="inlineStr">
        <is>
          <t>RAS</t>
        </is>
      </c>
      <c r="I3473" s="45" t="inlineStr"/>
      <c r="J3473" s="45" t="inlineStr">
        <is>
          <t>RNCP39786</t>
        </is>
      </c>
      <c r="K3473" s="45" t="inlineStr">
        <is>
          <t>Coach professionnel</t>
        </is>
      </c>
      <c r="L3473" s="45" t="inlineStr">
        <is>
          <t>31/12/2030</t>
        </is>
      </c>
      <c r="M3473" s="45" t="inlineStr"/>
      <c r="N3473" s="50" t="inlineStr">
        <is>
          <t>NON</t>
        </is>
      </c>
      <c r="O3473" s="45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31/12/2030</t>
        </is>
      </c>
      <c r="M3474" s="45" t="inlineStr"/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31/12/2030</t>
        </is>
      </c>
      <c r="M3475" s="45" t="inlineStr"/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31/12/2030</t>
        </is>
      </c>
      <c r="M3476" s="45" t="inlineStr"/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31/12/2030</t>
        </is>
      </c>
      <c r="M3477" s="45" t="inlineStr"/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31/12/2030</t>
        </is>
      </c>
      <c r="M3478" s="45" t="inlineStr"/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31/12/2030</t>
        </is>
      </c>
      <c r="M3479" s="45" t="inlineStr"/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BTS - Management opérationnel de la sécurité</t>
        </is>
      </c>
      <c r="L3480" s="45" t="inlineStr">
        <is>
          <t>31/12/2030</t>
        </is>
      </c>
      <c r="M3480" s="45" t="inlineStr"/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31/12/2030</t>
        </is>
      </c>
      <c r="M3481" s="45" t="inlineStr"/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31/12/2030</t>
        </is>
      </c>
      <c r="M3482" s="45" t="inlineStr"/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DipViGrM - Programme grande école</t>
        </is>
      </c>
      <c r="L3483" s="45" t="inlineStr">
        <is>
          <t>31/12/2030</t>
        </is>
      </c>
      <c r="M3483" s="45" t="inlineStr"/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DipViGrM - Diplôme d’études supérieures spécialisées en management international</t>
        </is>
      </c>
      <c r="L3484" s="45" t="inlineStr">
        <is>
          <t>31/12/2030</t>
        </is>
      </c>
      <c r="M3484" s="45" t="inlineStr"/>
      <c r="N3484" s="50" t="inlineStr">
        <is>
          <t>NON</t>
        </is>
      </c>
      <c r="O3484" s="45" t="inlineStr"/>
    </row>
    <row r="3485" customFormat="1" s="3">
      <c r="A3485" s="45" t="n"/>
      <c r="B3485" s="46" t="inlineStr">
        <is>
          <t>32602</t>
        </is>
      </c>
      <c r="C3485" s="46">
        <f>LEFT(Tableau1[[#This Row],[Formacode]],3)</f>
        <v/>
      </c>
      <c r="D3485" s="47" t="n">
        <v>39160</v>
      </c>
      <c r="E3485" s="48">
        <f>"RNCP"&amp;D3485</f>
        <v/>
      </c>
      <c r="F3485" s="48" t="inlineStr">
        <is>
          <t>Diplôme visé grade de master - Programme Grande Ecole</t>
        </is>
      </c>
      <c r="G3485" s="49">
        <f>E3485&amp;" - "&amp;F3485</f>
        <v/>
      </c>
      <c r="H3485" s="36" t="inlineStr">
        <is>
          <t>RAS</t>
        </is>
      </c>
      <c r="I3485" s="45" t="inlineStr"/>
      <c r="J3485" s="45" t="inlineStr">
        <is>
          <t>RNCP39160</t>
        </is>
      </c>
      <c r="K3485" s="45" t="inlineStr">
        <is>
          <t>Diplôme visé grade de master - Programme Grande Ecole</t>
        </is>
      </c>
      <c r="L3485" s="45" t="inlineStr">
        <is>
          <t>31/12/2030</t>
        </is>
      </c>
      <c r="M3485" s="45" t="inlineStr"/>
      <c r="N3485" s="50" t="inlineStr">
        <is>
          <t>NON</t>
        </is>
      </c>
      <c r="O3485" s="45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31/12/2030</t>
        </is>
      </c>
      <c r="M3486" s="45" t="inlineStr"/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31/12/2030</t>
        </is>
      </c>
      <c r="M3487" s="45" t="inlineStr"/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DipViGrM - EM Normandie - Programme Grande Ecole</t>
        </is>
      </c>
      <c r="L3488" s="45" t="inlineStr">
        <is>
          <t>31/12/2030</t>
        </is>
      </c>
      <c r="M3488" s="45" t="inlineStr"/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31/12/2030</t>
        </is>
      </c>
      <c r="M3489" s="45" t="inlineStr"/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DipViGrM - Programme grande école</t>
        </is>
      </c>
      <c r="L3490" s="45" t="inlineStr">
        <is>
          <t>31/12/2030</t>
        </is>
      </c>
      <c r="M3490" s="45" t="inlineStr"/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DipViGrM - Diplôme d’études supérieures spécialisées en management international</t>
        </is>
      </c>
      <c r="L3491" s="45" t="inlineStr">
        <is>
          <t>31/12/2030</t>
        </is>
      </c>
      <c r="M3491" s="45" t="inlineStr"/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31/12/2030</t>
        </is>
      </c>
      <c r="M3492" s="45" t="inlineStr"/>
      <c r="N3492" s="50" t="inlineStr">
        <is>
          <t>NON</t>
        </is>
      </c>
      <c r="O3492" s="45" t="inlineStr"/>
    </row>
    <row r="3493" customFormat="1" s="3">
      <c r="A3493" s="45" t="n"/>
      <c r="B3493" s="46" t="inlineStr">
        <is>
          <t>32623</t>
        </is>
      </c>
      <c r="C3493" s="46">
        <f>LEFT(Tableau1[[#This Row],[Formacode]],3)</f>
        <v/>
      </c>
      <c r="D3493" s="47" t="n">
        <v>39160</v>
      </c>
      <c r="E3493" s="48">
        <f>"RNCP"&amp;D3493</f>
        <v/>
      </c>
      <c r="F3493" s="48" t="inlineStr">
        <is>
          <t>Diplôme visé grade de master - Programme Grande Ecole</t>
        </is>
      </c>
      <c r="G3493" s="49">
        <f>E3493&amp;" - "&amp;F3493</f>
        <v/>
      </c>
      <c r="H3493" s="36" t="inlineStr">
        <is>
          <t>RAS</t>
        </is>
      </c>
      <c r="I3493" s="45" t="inlineStr"/>
      <c r="J3493" s="45" t="inlineStr">
        <is>
          <t>RNCP39160</t>
        </is>
      </c>
      <c r="K3493" s="45" t="inlineStr">
        <is>
          <t>Diplôme visé grade de master - Programme Grande Ecole</t>
        </is>
      </c>
      <c r="L3493" s="45" t="inlineStr">
        <is>
          <t>31/12/2030</t>
        </is>
      </c>
      <c r="M3493" s="45" t="inlineStr"/>
      <c r="N3493" s="50" t="inlineStr">
        <is>
          <t>NON</t>
        </is>
      </c>
      <c r="O3493" s="45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31/12/2030</t>
        </is>
      </c>
      <c r="M3494" s="45" t="inlineStr"/>
      <c r="N3494" s="50" t="inlineStr">
        <is>
          <t>NON</t>
        </is>
      </c>
      <c r="O3494" s="45" t="inlineStr"/>
    </row>
    <row r="3495" customFormat="1" s="3">
      <c r="A3495" s="45" t="n"/>
      <c r="B3495" s="46" t="inlineStr">
        <is>
          <t>32623</t>
        </is>
      </c>
      <c r="C3495" s="46">
        <f>LEFT(Tableau1[[#This Row],[Formacode]],3)</f>
        <v/>
      </c>
      <c r="D3495" s="47" t="n">
        <v>39973</v>
      </c>
      <c r="E3495" s="48">
        <f>"RNCP"&amp;D3495</f>
        <v/>
      </c>
      <c r="F3495" s="48" t="inlineStr">
        <is>
          <t>Gestionnaire comptable et financier</t>
        </is>
      </c>
      <c r="G3495" s="49">
        <f>E3495&amp;" - "&amp;F3495</f>
        <v/>
      </c>
      <c r="H3495" s="36" t="inlineStr">
        <is>
          <t>RAS</t>
        </is>
      </c>
      <c r="I3495" s="45" t="inlineStr"/>
      <c r="J3495" s="45" t="inlineStr">
        <is>
          <t>RNCP39973</t>
        </is>
      </c>
      <c r="K3495" s="45" t="inlineStr">
        <is>
          <t>Gestionnaire comptable et financier</t>
        </is>
      </c>
      <c r="L3495" s="45" t="inlineStr">
        <is>
          <t>31/12/2030</t>
        </is>
      </c>
      <c r="M3495" s="45" t="inlineStr"/>
      <c r="N3495" s="50" t="inlineStr">
        <is>
          <t>NON</t>
        </is>
      </c>
      <c r="O3495" s="45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31/12/2030</t>
        </is>
      </c>
      <c r="M3496" s="45" t="inlineStr"/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31/12/2030</t>
        </is>
      </c>
      <c r="M3497" s="45" t="inlineStr"/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31/12/2030</t>
        </is>
      </c>
      <c r="M3498" s="45" t="inlineStr"/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DipViGrM - EM Normandie - Programme Grande Ecole</t>
        </is>
      </c>
      <c r="L3499" s="45" t="inlineStr">
        <is>
          <t>31/12/2030</t>
        </is>
      </c>
      <c r="M3499" s="45" t="inlineStr"/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31/12/2030</t>
        </is>
      </c>
      <c r="M3500" s="45" t="inlineStr"/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DipViGrM - Programme grande école</t>
        </is>
      </c>
      <c r="L3501" s="45" t="inlineStr">
        <is>
          <t>31/12/2030</t>
        </is>
      </c>
      <c r="M3501" s="45" t="inlineStr"/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DipViGrM - Diplôme d’études supérieures spécialisées en management international</t>
        </is>
      </c>
      <c r="L3502" s="45" t="inlineStr">
        <is>
          <t>31/12/2030</t>
        </is>
      </c>
      <c r="M3502" s="45" t="inlineStr"/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31/12/2030</t>
        </is>
      </c>
      <c r="M3503" s="45" t="inlineStr"/>
      <c r="N3503" s="50" t="inlineStr">
        <is>
          <t>NON</t>
        </is>
      </c>
      <c r="O3503" s="45" t="inlineStr"/>
    </row>
    <row r="3504" customFormat="1" s="3">
      <c r="A3504" s="45" t="n"/>
      <c r="B3504" s="46" t="inlineStr">
        <is>
          <t>32626</t>
        </is>
      </c>
      <c r="C3504" s="46">
        <f>LEFT(Tableau1[[#This Row],[Formacode]],3)</f>
        <v/>
      </c>
      <c r="D3504" s="47" t="n">
        <v>39160</v>
      </c>
      <c r="E3504" s="48">
        <f>"RNCP"&amp;D3504</f>
        <v/>
      </c>
      <c r="F3504" s="48" t="inlineStr">
        <is>
          <t>Diplôme visé grade de master - Programme Grande Ecole</t>
        </is>
      </c>
      <c r="G3504" s="49">
        <f>E3504&amp;" - "&amp;F3504</f>
        <v/>
      </c>
      <c r="H3504" s="36" t="inlineStr">
        <is>
          <t>RAS</t>
        </is>
      </c>
      <c r="I3504" s="45" t="inlineStr"/>
      <c r="J3504" s="45" t="inlineStr">
        <is>
          <t>RNCP39160</t>
        </is>
      </c>
      <c r="K3504" s="45" t="inlineStr">
        <is>
          <t>Diplôme visé grade de master - Programme Grande Ecole</t>
        </is>
      </c>
      <c r="L3504" s="45" t="inlineStr">
        <is>
          <t>31/12/2030</t>
        </is>
      </c>
      <c r="M3504" s="45" t="inlineStr"/>
      <c r="N3504" s="50" t="inlineStr">
        <is>
          <t>NON</t>
        </is>
      </c>
      <c r="O3504" s="45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31/12/2030</t>
        </is>
      </c>
      <c r="M3505" s="45" t="inlineStr"/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31/12/2030</t>
        </is>
      </c>
      <c r="M3506" s="45" t="inlineStr"/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31/12/2030</t>
        </is>
      </c>
      <c r="M3507" s="45" t="inlineStr"/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DipViGrM - EM Normandie - Programme Grande Ecole</t>
        </is>
      </c>
      <c r="L3508" s="45" t="inlineStr">
        <is>
          <t>31/12/2030</t>
        </is>
      </c>
      <c r="M3508" s="45" t="inlineStr"/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31/12/2030</t>
        </is>
      </c>
      <c r="M3509" s="45" t="inlineStr"/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31/12/2030</t>
        </is>
      </c>
      <c r="M3510" s="45" t="inlineStr"/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DipViGrM - Programme grande école</t>
        </is>
      </c>
      <c r="L3511" s="45" t="inlineStr">
        <is>
          <t>31/12/2030</t>
        </is>
      </c>
      <c r="M3511" s="45" t="inlineStr"/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DipViGrM - Diplôme d’études supérieures spécialisées en management international</t>
        </is>
      </c>
      <c r="L3512" s="45" t="inlineStr">
        <is>
          <t>31/12/2030</t>
        </is>
      </c>
      <c r="M3512" s="45" t="inlineStr"/>
      <c r="N3512" s="50" t="inlineStr">
        <is>
          <t>NON</t>
        </is>
      </c>
      <c r="O3512" s="45" t="inlineStr"/>
    </row>
    <row r="3513" customFormat="1" s="3">
      <c r="A3513" s="45" t="n"/>
      <c r="B3513" s="46" t="inlineStr">
        <is>
          <t>32632</t>
        </is>
      </c>
      <c r="C3513" s="46">
        <f>LEFT(Tableau1[[#This Row],[Formacode]],3)</f>
        <v/>
      </c>
      <c r="D3513" s="47" t="n">
        <v>39160</v>
      </c>
      <c r="E3513" s="48">
        <f>"RNCP"&amp;D3513</f>
        <v/>
      </c>
      <c r="F3513" s="48" t="inlineStr">
        <is>
          <t>Diplôme visé grade de master - Programme Grande Ecole</t>
        </is>
      </c>
      <c r="G3513" s="49">
        <f>E3513&amp;" - "&amp;F3513</f>
        <v/>
      </c>
      <c r="H3513" s="36" t="inlineStr">
        <is>
          <t>RAS</t>
        </is>
      </c>
      <c r="I3513" s="45" t="inlineStr"/>
      <c r="J3513" s="45" t="inlineStr">
        <is>
          <t>RNCP39160</t>
        </is>
      </c>
      <c r="K3513" s="45" t="inlineStr">
        <is>
          <t>Diplôme visé grade de master - Programme Grande Ecole</t>
        </is>
      </c>
      <c r="L3513" s="45" t="inlineStr">
        <is>
          <t>31/12/2030</t>
        </is>
      </c>
      <c r="M3513" s="45" t="inlineStr"/>
      <c r="N3513" s="50" t="inlineStr">
        <is>
          <t>NON</t>
        </is>
      </c>
      <c r="O3513" s="45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31/12/2030</t>
        </is>
      </c>
      <c r="M3514" s="45" t="inlineStr"/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31/12/2030</t>
        </is>
      </c>
      <c r="M3515" s="45" t="inlineStr"/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DipViGrM - EM Normandie - Programme Grande Ecole</t>
        </is>
      </c>
      <c r="L3516" s="45" t="inlineStr">
        <is>
          <t>31/12/2030</t>
        </is>
      </c>
      <c r="M3516" s="45" t="inlineStr"/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31/12/2030</t>
        </is>
      </c>
      <c r="M3517" s="45" t="inlineStr"/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31/12/2030</t>
        </is>
      </c>
      <c r="M3518" s="45" t="inlineStr"/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31/12/2030</t>
        </is>
      </c>
      <c r="M3519" s="45" t="inlineStr"/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DipViGrM - Programme grande école</t>
        </is>
      </c>
      <c r="L3520" s="45" t="inlineStr">
        <is>
          <t>31/12/2030</t>
        </is>
      </c>
      <c r="M3520" s="45" t="inlineStr"/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DipViGrM - Diplôme d’études supérieures spécialisées en management international</t>
        </is>
      </c>
      <c r="L3521" s="45" t="inlineStr">
        <is>
          <t>31/12/2030</t>
        </is>
      </c>
      <c r="M3521" s="45" t="inlineStr"/>
      <c r="N3521" s="50" t="inlineStr">
        <is>
          <t>NON</t>
        </is>
      </c>
      <c r="O3521" s="45" t="inlineStr"/>
    </row>
    <row r="3522" customFormat="1" s="3">
      <c r="A3522" s="45" t="n"/>
      <c r="B3522" s="46" t="inlineStr">
        <is>
          <t>32652</t>
        </is>
      </c>
      <c r="C3522" s="46">
        <f>LEFT(Tableau1[[#This Row],[Formacode]],3)</f>
        <v/>
      </c>
      <c r="D3522" s="47" t="n">
        <v>37865</v>
      </c>
      <c r="E3522" s="48">
        <f>"RNCP"&amp;D3522</f>
        <v/>
      </c>
      <c r="F3522" s="48" t="inlineStr">
        <is>
          <t>Responsable en gestion d'activité opérationnelle</t>
        </is>
      </c>
      <c r="G3522" s="49">
        <f>E3522&amp;" - "&amp;F3522</f>
        <v/>
      </c>
      <c r="H3522" s="36" t="inlineStr">
        <is>
          <t>RAS</t>
        </is>
      </c>
      <c r="I3522" s="45" t="inlineStr"/>
      <c r="J3522" s="45" t="inlineStr">
        <is>
          <t>RNCP37865</t>
        </is>
      </c>
      <c r="K3522" s="45" t="inlineStr">
        <is>
          <t>Responsable en gestion d'activité opérationnelle</t>
        </is>
      </c>
      <c r="L3522" s="45" t="inlineStr">
        <is>
          <t>31/12/2030</t>
        </is>
      </c>
      <c r="M3522" s="45" t="inlineStr"/>
      <c r="N3522" s="50" t="inlineStr">
        <is>
          <t>NON</t>
        </is>
      </c>
      <c r="O3522" s="45" t="inlineStr"/>
    </row>
    <row r="3523" customFormat="1" s="3">
      <c r="A3523" s="45" t="n"/>
      <c r="B3523" s="46" t="inlineStr">
        <is>
          <t>32652</t>
        </is>
      </c>
      <c r="C3523" s="46">
        <f>LEFT(Tableau1[[#This Row],[Formacode]],3)</f>
        <v/>
      </c>
      <c r="D3523" s="47" t="n">
        <v>39160</v>
      </c>
      <c r="E3523" s="48">
        <f>"RNCP"&amp;D3523</f>
        <v/>
      </c>
      <c r="F3523" s="48" t="inlineStr">
        <is>
          <t>Diplôme visé grade de master - Programme Grande Ecole</t>
        </is>
      </c>
      <c r="G3523" s="49">
        <f>E3523&amp;" - "&amp;F3523</f>
        <v/>
      </c>
      <c r="H3523" s="36" t="inlineStr">
        <is>
          <t>RAS</t>
        </is>
      </c>
      <c r="I3523" s="45" t="inlineStr"/>
      <c r="J3523" s="45" t="inlineStr">
        <is>
          <t>RNCP39160</t>
        </is>
      </c>
      <c r="K3523" s="45" t="inlineStr">
        <is>
          <t>Diplôme visé grade de master - Programme Grande Ecole</t>
        </is>
      </c>
      <c r="L3523" s="45" t="inlineStr">
        <is>
          <t>31/12/2030</t>
        </is>
      </c>
      <c r="M3523" s="45" t="inlineStr"/>
      <c r="N3523" s="50" t="inlineStr">
        <is>
          <t>NON</t>
        </is>
      </c>
      <c r="O3523" s="45" t="inlineStr"/>
    </row>
    <row r="3524" customFormat="1" s="3">
      <c r="A3524" s="45" t="n"/>
      <c r="B3524" s="46" t="inlineStr">
        <is>
          <t>32652</t>
        </is>
      </c>
      <c r="C3524" s="46">
        <f>LEFT(Tableau1[[#This Row],[Formacode]],3)</f>
        <v/>
      </c>
      <c r="D3524" s="47" t="n">
        <v>39763</v>
      </c>
      <c r="E3524" s="48">
        <f>"RNCP"&amp;D3524</f>
        <v/>
      </c>
      <c r="F3524" s="48" t="inlineStr">
        <is>
          <t>Manager de la performance financière</t>
        </is>
      </c>
      <c r="G3524" s="49">
        <f>E3524&amp;" - "&amp;F3524</f>
        <v/>
      </c>
      <c r="H3524" s="36" t="inlineStr">
        <is>
          <t>RAS</t>
        </is>
      </c>
      <c r="I3524" s="45" t="inlineStr"/>
      <c r="J3524" s="45" t="inlineStr">
        <is>
          <t>RNCP39763</t>
        </is>
      </c>
      <c r="K3524" s="45" t="inlineStr">
        <is>
          <t>Manager de la performance financière</t>
        </is>
      </c>
      <c r="L3524" s="45" t="inlineStr">
        <is>
          <t>31/12/2030</t>
        </is>
      </c>
      <c r="M3524" s="45" t="inlineStr"/>
      <c r="N3524" s="50" t="inlineStr">
        <is>
          <t>NON</t>
        </is>
      </c>
      <c r="O3524" s="45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31/12/2030</t>
        </is>
      </c>
      <c r="M3525" s="45" t="inlineStr"/>
      <c r="N3525" s="50" t="inlineStr">
        <is>
          <t>NON</t>
        </is>
      </c>
      <c r="O3525" s="45" t="inlineStr"/>
    </row>
    <row r="3526" customFormat="1" s="3">
      <c r="A3526" s="45" t="n"/>
      <c r="B3526" s="46" t="inlineStr">
        <is>
          <t>32652</t>
        </is>
      </c>
      <c r="C3526" s="46">
        <f>LEFT(Tableau1[[#This Row],[Formacode]],3)</f>
        <v/>
      </c>
      <c r="D3526" s="47" t="n">
        <v>39973</v>
      </c>
      <c r="E3526" s="48">
        <f>"RNCP"&amp;D3526</f>
        <v/>
      </c>
      <c r="F3526" s="48" t="inlineStr">
        <is>
          <t>Gestionnaire comptable et financier</t>
        </is>
      </c>
      <c r="G3526" s="49">
        <f>E3526&amp;" - "&amp;F3526</f>
        <v/>
      </c>
      <c r="H3526" s="36" t="inlineStr">
        <is>
          <t>RAS</t>
        </is>
      </c>
      <c r="I3526" s="45" t="inlineStr"/>
      <c r="J3526" s="45" t="inlineStr">
        <is>
          <t>RNCP39973</t>
        </is>
      </c>
      <c r="K3526" s="45" t="inlineStr">
        <is>
          <t>Gestionnaire comptable et financier</t>
        </is>
      </c>
      <c r="L3526" s="45" t="inlineStr">
        <is>
          <t>31/12/2030</t>
        </is>
      </c>
      <c r="M3526" s="45" t="inlineStr"/>
      <c r="N3526" s="50" t="inlineStr">
        <is>
          <t>NON</t>
        </is>
      </c>
      <c r="O3526" s="45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31/12/2030</t>
        </is>
      </c>
      <c r="M3527" s="45" t="inlineStr"/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DipViGrM - EM Normandie - Programme Grande Ecole</t>
        </is>
      </c>
      <c r="L3528" s="45" t="inlineStr">
        <is>
          <t>31/12/2030</t>
        </is>
      </c>
      <c r="M3528" s="45" t="inlineStr"/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31/12/2030</t>
        </is>
      </c>
      <c r="M3529" s="45" t="inlineStr"/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31/12/2030</t>
        </is>
      </c>
      <c r="M3530" s="45" t="inlineStr"/>
      <c r="N3530" s="50" t="inlineStr">
        <is>
          <t>NON</t>
        </is>
      </c>
      <c r="O3530" s="45" t="inlineStr"/>
    </row>
    <row r="3531" customFormat="1" s="3">
      <c r="A3531" s="45" t="n"/>
      <c r="B3531" s="46" t="inlineStr">
        <is>
          <t>32663</t>
        </is>
      </c>
      <c r="C3531" s="46">
        <f>LEFT(Tableau1[[#This Row],[Formacode]],3)</f>
        <v/>
      </c>
      <c r="D3531" s="47" t="n">
        <v>35750</v>
      </c>
      <c r="E3531" s="48">
        <f>"RNCP"&amp;D3531</f>
        <v/>
      </c>
      <c r="F3531" s="48" t="inlineStr">
        <is>
          <t>Gestionnaire de Paie</t>
        </is>
      </c>
      <c r="G3531" s="49">
        <f>E3531&amp;" - "&amp;F3531</f>
        <v/>
      </c>
      <c r="H3531" s="36" t="inlineStr">
        <is>
          <t>RAS</t>
        </is>
      </c>
      <c r="I3531" s="45" t="inlineStr"/>
      <c r="J3531" s="45" t="inlineStr">
        <is>
          <t>RNCP35750</t>
        </is>
      </c>
      <c r="K3531" s="45" t="inlineStr">
        <is>
          <t>Gestionnaire de Paie</t>
        </is>
      </c>
      <c r="L3531" s="45" t="inlineStr">
        <is>
          <t>31/12/2030</t>
        </is>
      </c>
      <c r="M3531" s="45" t="inlineStr"/>
      <c r="N3531" s="50" t="inlineStr">
        <is>
          <t>NON</t>
        </is>
      </c>
      <c r="O3531" s="45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31/12/2030</t>
        </is>
      </c>
      <c r="M3532" s="45" t="inlineStr"/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TP - Comptable assistant</t>
        </is>
      </c>
      <c r="L3533" s="45" t="inlineStr">
        <is>
          <t>31/12/2030</t>
        </is>
      </c>
      <c r="M3533" s="45" t="inlineStr"/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DipViGrM - Programme grande école</t>
        </is>
      </c>
      <c r="L3534" s="45" t="inlineStr">
        <is>
          <t>31/12/2030</t>
        </is>
      </c>
      <c r="M3534" s="45" t="inlineStr"/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DipViGrM - Diplôme d’études supérieures spécialisées en management international</t>
        </is>
      </c>
      <c r="L3535" s="45" t="inlineStr">
        <is>
          <t>31/12/2030</t>
        </is>
      </c>
      <c r="M3535" s="45" t="inlineStr"/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TP - Gestionnaire de paie</t>
        </is>
      </c>
      <c r="L3536" s="45" t="inlineStr">
        <is>
          <t>31/12/2030</t>
        </is>
      </c>
      <c r="M3536" s="45" t="inlineStr"/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TP - Gestionnaire comptable et  fiscal</t>
        </is>
      </c>
      <c r="L3537" s="45" t="inlineStr">
        <is>
          <t>31/12/2030</t>
        </is>
      </c>
      <c r="M3537" s="45" t="inlineStr"/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31/12/2030</t>
        </is>
      </c>
      <c r="M3538" s="45" t="inlineStr"/>
      <c r="N3538" s="50" t="inlineStr">
        <is>
          <t>NON</t>
        </is>
      </c>
      <c r="O3538" s="45" t="inlineStr"/>
    </row>
    <row r="3539" customFormat="1" s="3">
      <c r="A3539" s="45" t="n"/>
      <c r="B3539" s="46" t="inlineStr">
        <is>
          <t>32663</t>
        </is>
      </c>
      <c r="C3539" s="46">
        <f>LEFT(Tableau1[[#This Row],[Formacode]],3)</f>
        <v/>
      </c>
      <c r="D3539" s="47" t="n">
        <v>38519</v>
      </c>
      <c r="E3539" s="48">
        <f>"RNCP"&amp;D3539</f>
        <v/>
      </c>
      <c r="F3539" s="48" t="inlineStr">
        <is>
          <t>Responsable paie et audit social</t>
        </is>
      </c>
      <c r="G3539" s="49">
        <f>E3539&amp;" - "&amp;F3539</f>
        <v/>
      </c>
      <c r="H3539" s="36" t="inlineStr">
        <is>
          <t>RAS</t>
        </is>
      </c>
      <c r="I3539" s="45" t="inlineStr"/>
      <c r="J3539" s="45" t="inlineStr">
        <is>
          <t>RNCP38519</t>
        </is>
      </c>
      <c r="K3539" s="45" t="inlineStr">
        <is>
          <t>Responsable paie et audit social</t>
        </is>
      </c>
      <c r="L3539" s="45" t="inlineStr">
        <is>
          <t>31/12/2030</t>
        </is>
      </c>
      <c r="M3539" s="45" t="inlineStr"/>
      <c r="N3539" s="50" t="inlineStr">
        <is>
          <t>NON</t>
        </is>
      </c>
      <c r="O3539" s="45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BTS - Comptabilité et Gestion</t>
        </is>
      </c>
      <c r="L3540" s="45" t="inlineStr">
        <is>
          <t>31/12/2030</t>
        </is>
      </c>
      <c r="M3540" s="45" t="inlineStr"/>
      <c r="N3540" s="50" t="inlineStr">
        <is>
          <t>NON</t>
        </is>
      </c>
      <c r="O3540" s="45" t="inlineStr"/>
    </row>
    <row r="3541" customFormat="1" s="3">
      <c r="A3541" s="45" t="n"/>
      <c r="B3541" s="46" t="inlineStr">
        <is>
          <t>32663</t>
        </is>
      </c>
      <c r="C3541" s="46">
        <f>LEFT(Tableau1[[#This Row],[Formacode]],3)</f>
        <v/>
      </c>
      <c r="D3541" s="47" t="n">
        <v>39160</v>
      </c>
      <c r="E3541" s="48">
        <f>"RNCP"&amp;D3541</f>
        <v/>
      </c>
      <c r="F3541" s="48" t="inlineStr">
        <is>
          <t>Diplôme visé grade de master - Programme Grande Ecole</t>
        </is>
      </c>
      <c r="G3541" s="49">
        <f>E3541&amp;" - "&amp;F3541</f>
        <v/>
      </c>
      <c r="H3541" s="36" t="inlineStr">
        <is>
          <t>RAS</t>
        </is>
      </c>
      <c r="I3541" s="45" t="inlineStr"/>
      <c r="J3541" s="45" t="inlineStr">
        <is>
          <t>RNCP39160</t>
        </is>
      </c>
      <c r="K3541" s="45" t="inlineStr">
        <is>
          <t>Diplôme visé grade de master - Programme Grande Ecole</t>
        </is>
      </c>
      <c r="L3541" s="45" t="inlineStr">
        <is>
          <t>31/12/2030</t>
        </is>
      </c>
      <c r="M3541" s="45" t="inlineStr"/>
      <c r="N3541" s="50" t="inlineStr">
        <is>
          <t>NON</t>
        </is>
      </c>
      <c r="O3541" s="45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31/12/2030</t>
        </is>
      </c>
      <c r="M3542" s="45" t="inlineStr"/>
      <c r="N3542" s="50" t="inlineStr">
        <is>
          <t>NON</t>
        </is>
      </c>
      <c r="O3542" s="45" t="inlineStr"/>
    </row>
    <row r="3543" customFormat="1" s="3">
      <c r="A3543" s="45" t="n"/>
      <c r="B3543" s="46" t="inlineStr">
        <is>
          <t>32663</t>
        </is>
      </c>
      <c r="C3543" s="46">
        <f>LEFT(Tableau1[[#This Row],[Formacode]],3)</f>
        <v/>
      </c>
      <c r="D3543" s="47" t="n">
        <v>39973</v>
      </c>
      <c r="E3543" s="48">
        <f>"RNCP"&amp;D3543</f>
        <v/>
      </c>
      <c r="F3543" s="48" t="inlineStr">
        <is>
          <t>Gestionnaire comptable et financier</t>
        </is>
      </c>
      <c r="G3543" s="49">
        <f>E3543&amp;" - "&amp;F3543</f>
        <v/>
      </c>
      <c r="H3543" s="36" t="inlineStr">
        <is>
          <t>RAS</t>
        </is>
      </c>
      <c r="I3543" s="45" t="inlineStr"/>
      <c r="J3543" s="45" t="inlineStr">
        <is>
          <t>RNCP39973</t>
        </is>
      </c>
      <c r="K3543" s="45" t="inlineStr">
        <is>
          <t>Gestionnaire comptable et financier</t>
        </is>
      </c>
      <c r="L3543" s="45" t="inlineStr">
        <is>
          <t>31/12/2030</t>
        </is>
      </c>
      <c r="M3543" s="45" t="inlineStr"/>
      <c r="N3543" s="50" t="inlineStr">
        <is>
          <t>NON</t>
        </is>
      </c>
      <c r="O3543" s="45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31/12/2030</t>
        </is>
      </c>
      <c r="M3544" s="45" t="inlineStr"/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31/12/2030</t>
        </is>
      </c>
      <c r="M3545" s="45" t="inlineStr"/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DipViGrM - EM Normandie - Programme Grande Ecole</t>
        </is>
      </c>
      <c r="L3546" s="45" t="inlineStr">
        <is>
          <t>31/12/2030</t>
        </is>
      </c>
      <c r="M3546" s="45" t="inlineStr"/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31/12/2030</t>
        </is>
      </c>
      <c r="M3547" s="45" t="inlineStr"/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31/12/2030</t>
        </is>
      </c>
      <c r="M3548" s="45" t="inlineStr"/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31/12/2030</t>
        </is>
      </c>
      <c r="M3549" s="45" t="inlineStr"/>
      <c r="N3549" s="50" t="inlineStr">
        <is>
          <t>NON</t>
        </is>
      </c>
      <c r="O3549" s="45" t="inlineStr"/>
    </row>
    <row r="3550" customFormat="1" s="3">
      <c r="A3550" s="45" t="n"/>
      <c r="B3550" s="46" t="inlineStr">
        <is>
          <t>33001</t>
        </is>
      </c>
      <c r="C3550" s="46">
        <f>LEFT(Tableau1[[#This Row],[Formacode]],3)</f>
        <v/>
      </c>
      <c r="D3550" s="47" t="n">
        <v>35604</v>
      </c>
      <c r="E3550" s="48">
        <f>"RNCP"&amp;D3550</f>
        <v/>
      </c>
      <c r="F3550" s="48" t="inlineStr">
        <is>
          <t>Manager du développement des ressources humaines</t>
        </is>
      </c>
      <c r="G3550" s="49">
        <f>E3550&amp;" - "&amp;F3550</f>
        <v/>
      </c>
      <c r="H3550" s="36" t="inlineStr">
        <is>
          <t>RAS</t>
        </is>
      </c>
      <c r="I3550" s="45" t="inlineStr"/>
      <c r="J3550" s="45" t="inlineStr">
        <is>
          <t>RNCP35604</t>
        </is>
      </c>
      <c r="K3550" s="45" t="inlineStr">
        <is>
          <t>Manager du développement des ressources humaines</t>
        </is>
      </c>
      <c r="L3550" s="45" t="inlineStr">
        <is>
          <t>31/12/2030</t>
        </is>
      </c>
      <c r="M3550" s="45" t="inlineStr"/>
      <c r="N3550" s="50" t="inlineStr">
        <is>
          <t>NON</t>
        </is>
      </c>
      <c r="O3550" s="45" t="inlineStr"/>
    </row>
    <row r="3551" customFormat="1" s="3">
      <c r="A3551" s="45" t="n"/>
      <c r="B3551" s="46" t="inlineStr">
        <is>
          <t>33001</t>
        </is>
      </c>
      <c r="C3551" s="46">
        <f>LEFT(Tableau1[[#This Row],[Formacode]],3)</f>
        <v/>
      </c>
      <c r="D3551" s="47" t="n">
        <v>35878</v>
      </c>
      <c r="E3551" s="48">
        <f>"RNCP"&amp;D3551</f>
        <v/>
      </c>
      <c r="F3551" s="48" t="inlineStr">
        <is>
          <t>Chargé des ressources humaines</t>
        </is>
      </c>
      <c r="G3551" s="49">
        <f>E3551&amp;" - "&amp;F3551</f>
        <v/>
      </c>
      <c r="H3551" s="36" t="inlineStr">
        <is>
          <t>RAS</t>
        </is>
      </c>
      <c r="I3551" s="45" t="inlineStr"/>
      <c r="J3551" s="45" t="inlineStr">
        <is>
          <t>RNCP35878</t>
        </is>
      </c>
      <c r="K3551" s="45" t="inlineStr">
        <is>
          <t>Chargé des ressources humaines</t>
        </is>
      </c>
      <c r="L3551" s="45" t="inlineStr">
        <is>
          <t>31/12/2030</t>
        </is>
      </c>
      <c r="M3551" s="45" t="inlineStr"/>
      <c r="N3551" s="50" t="inlineStr">
        <is>
          <t>NON</t>
        </is>
      </c>
      <c r="O3551" s="45" t="inlineStr"/>
    </row>
    <row r="3552" customFormat="1" s="3">
      <c r="A3552" s="45" t="n"/>
      <c r="B3552" s="46" t="inlineStr">
        <is>
          <t>33001</t>
        </is>
      </c>
      <c r="C3552" s="46">
        <f>LEFT(Tableau1[[#This Row],[Formacode]],3)</f>
        <v/>
      </c>
      <c r="D3552" s="47" t="n">
        <v>36143</v>
      </c>
      <c r="E3552" s="48">
        <f>"RNCP"&amp;D3552</f>
        <v/>
      </c>
      <c r="F3552" s="48" t="inlineStr">
        <is>
          <t>Chargé des ressources humaines</t>
        </is>
      </c>
      <c r="G3552" s="49">
        <f>E3552&amp;" - "&amp;F3552</f>
        <v/>
      </c>
      <c r="H3552" s="36" t="inlineStr">
        <is>
          <t>RAS</t>
        </is>
      </c>
      <c r="I3552" s="45" t="inlineStr"/>
      <c r="J3552" s="45" t="inlineStr">
        <is>
          <t>RNCP36143</t>
        </is>
      </c>
      <c r="K3552" s="45" t="inlineStr">
        <is>
          <t>Chargé des ressources humaines</t>
        </is>
      </c>
      <c r="L3552" s="45" t="inlineStr">
        <is>
          <t>31/12/2030</t>
        </is>
      </c>
      <c r="M3552" s="45" t="inlineStr"/>
      <c r="N3552" s="50" t="inlineStr">
        <is>
          <t>NON</t>
        </is>
      </c>
      <c r="O3552" s="45" t="inlineStr"/>
    </row>
    <row r="3553" customFormat="1" s="3">
      <c r="A3553" s="45" t="n"/>
      <c r="B3553" s="46" t="inlineStr">
        <is>
          <t>33001</t>
        </is>
      </c>
      <c r="C3553" s="46">
        <f>LEFT(Tableau1[[#This Row],[Formacode]],3)</f>
        <v/>
      </c>
      <c r="D3553" s="47" t="n">
        <v>37851</v>
      </c>
      <c r="E3553" s="48">
        <f>"RNCP"&amp;D3553</f>
        <v/>
      </c>
      <c r="F3553" s="48" t="inlineStr">
        <is>
          <t>Manager des ressources humaines</t>
        </is>
      </c>
      <c r="G3553" s="49">
        <f>E3553&amp;" - "&amp;F3553</f>
        <v/>
      </c>
      <c r="H3553" s="36" t="inlineStr">
        <is>
          <t>RAS</t>
        </is>
      </c>
      <c r="I3553" s="45" t="inlineStr"/>
      <c r="J3553" s="45" t="inlineStr">
        <is>
          <t>RNCP37851</t>
        </is>
      </c>
      <c r="K3553" s="45" t="inlineStr">
        <is>
          <t>Manager des ressources humaines</t>
        </is>
      </c>
      <c r="L3553" s="45" t="inlineStr">
        <is>
          <t>31/12/2030</t>
        </is>
      </c>
      <c r="M3553" s="45" t="inlineStr"/>
      <c r="N3553" s="50" t="inlineStr">
        <is>
          <t>NON</t>
        </is>
      </c>
      <c r="O3553" s="45" t="inlineStr"/>
    </row>
    <row r="3554" customFormat="1" s="3">
      <c r="A3554" s="45" t="n"/>
      <c r="B3554" s="46" t="inlineStr">
        <is>
          <t>33001</t>
        </is>
      </c>
      <c r="C3554" s="46">
        <f>LEFT(Tableau1[[#This Row],[Formacode]],3)</f>
        <v/>
      </c>
      <c r="D3554" s="47" t="n">
        <v>38241</v>
      </c>
      <c r="E3554" s="48">
        <f>"RNCP"&amp;D3554</f>
        <v/>
      </c>
      <c r="F3554" s="48" t="inlineStr">
        <is>
          <t>CQP Chargé de ressources humaines</t>
        </is>
      </c>
      <c r="G3554" s="49">
        <f>E3554&amp;" - "&amp;F3554</f>
        <v/>
      </c>
      <c r="H3554" s="36" t="inlineStr">
        <is>
          <t>RAS</t>
        </is>
      </c>
      <c r="I3554" s="45" t="inlineStr"/>
      <c r="J3554" s="45" t="inlineStr">
        <is>
          <t>RNCP38241</t>
        </is>
      </c>
      <c r="K3554" s="45" t="inlineStr">
        <is>
          <t>CQP Chargé de ressources humaines</t>
        </is>
      </c>
      <c r="L3554" s="45" t="inlineStr">
        <is>
          <t>31/12/2030</t>
        </is>
      </c>
      <c r="M3554" s="45" t="inlineStr"/>
      <c r="N3554" s="50" t="inlineStr">
        <is>
          <t>NON</t>
        </is>
      </c>
      <c r="O3554" s="45" t="inlineStr"/>
    </row>
    <row r="3555" customFormat="1" s="3">
      <c r="A3555" s="45" t="n"/>
      <c r="B3555" s="46" t="inlineStr">
        <is>
          <t>33001</t>
        </is>
      </c>
      <c r="C3555" s="46">
        <f>LEFT(Tableau1[[#This Row],[Formacode]],3)</f>
        <v/>
      </c>
      <c r="D3555" s="47" t="n">
        <v>38460</v>
      </c>
      <c r="E3555" s="48">
        <f>"RNCP"&amp;D3555</f>
        <v/>
      </c>
      <c r="F3555" s="48" t="inlineStr">
        <is>
          <t>Manager en ressources humaines</t>
        </is>
      </c>
      <c r="G3555" s="49">
        <f>E3555&amp;" - "&amp;F3555</f>
        <v/>
      </c>
      <c r="H3555" s="36" t="inlineStr">
        <is>
          <t>RAS</t>
        </is>
      </c>
      <c r="I3555" s="45" t="inlineStr"/>
      <c r="J3555" s="45" t="inlineStr">
        <is>
          <t>RNCP38460</t>
        </is>
      </c>
      <c r="K3555" s="45" t="inlineStr">
        <is>
          <t>Manager en ressources humaines</t>
        </is>
      </c>
      <c r="L3555" s="45" t="inlineStr">
        <is>
          <t>31/12/2030</t>
        </is>
      </c>
      <c r="M3555" s="45" t="inlineStr"/>
      <c r="N3555" s="50" t="inlineStr">
        <is>
          <t>NON</t>
        </is>
      </c>
      <c r="O3555" s="45" t="inlineStr"/>
    </row>
    <row r="3556" customFormat="1" s="3">
      <c r="A3556" s="45" t="n"/>
      <c r="B3556" s="46" t="inlineStr">
        <is>
          <t>33001</t>
        </is>
      </c>
      <c r="C3556" s="46">
        <f>LEFT(Tableau1[[#This Row],[Formacode]],3)</f>
        <v/>
      </c>
      <c r="D3556" s="47" t="n">
        <v>38489</v>
      </c>
      <c r="E3556" s="48">
        <f>"RNCP"&amp;D3556</f>
        <v/>
      </c>
      <c r="F3556" s="48" t="inlineStr">
        <is>
          <t>Manager des ressources humaines</t>
        </is>
      </c>
      <c r="G3556" s="49">
        <f>E3556&amp;" - "&amp;F3556</f>
        <v/>
      </c>
      <c r="H3556" s="36" t="inlineStr">
        <is>
          <t>RAS</t>
        </is>
      </c>
      <c r="I3556" s="45" t="inlineStr"/>
      <c r="J3556" s="45" t="inlineStr">
        <is>
          <t>RNCP38489</t>
        </is>
      </c>
      <c r="K3556" s="45" t="inlineStr">
        <is>
          <t>Manager des ressources humaines</t>
        </is>
      </c>
      <c r="L3556" s="45" t="inlineStr">
        <is>
          <t>31/12/2030</t>
        </is>
      </c>
      <c r="M3556" s="45" t="inlineStr"/>
      <c r="N3556" s="50" t="inlineStr">
        <is>
          <t>NON</t>
        </is>
      </c>
      <c r="O3556" s="45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31/12/2030</t>
        </is>
      </c>
      <c r="M3557" s="45" t="inlineStr"/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31/12/2030</t>
        </is>
      </c>
      <c r="M3558" s="45" t="inlineStr"/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31/12/2030</t>
        </is>
      </c>
      <c r="M3559" s="45" t="inlineStr"/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31/12/2030</t>
        </is>
      </c>
      <c r="M3560" s="45" t="inlineStr"/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31/12/2030</t>
        </is>
      </c>
      <c r="M3561" s="45" t="inlineStr"/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31/12/2030</t>
        </is>
      </c>
      <c r="M3562" s="45" t="inlineStr"/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31/12/2030</t>
        </is>
      </c>
      <c r="M3563" s="45" t="inlineStr"/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31/12/2030</t>
        </is>
      </c>
      <c r="M3564" s="45" t="inlineStr"/>
      <c r="N3564" s="50" t="inlineStr">
        <is>
          <t>NON</t>
        </is>
      </c>
      <c r="O3564" s="45" t="inlineStr"/>
    </row>
    <row r="3565" customFormat="1" s="3">
      <c r="A3565" s="45" t="n"/>
      <c r="B3565" s="46" t="inlineStr">
        <is>
          <t>33004</t>
        </is>
      </c>
      <c r="C3565" s="46">
        <f>LEFT(Tableau1[[#This Row],[Formacode]],3)</f>
        <v/>
      </c>
      <c r="D3565" s="47" t="n">
        <v>35604</v>
      </c>
      <c r="E3565" s="48">
        <f>"RNCP"&amp;D3565</f>
        <v/>
      </c>
      <c r="F3565" s="48" t="inlineStr">
        <is>
          <t>Manager du développement des ressources humaines</t>
        </is>
      </c>
      <c r="G3565" s="49">
        <f>E3565&amp;" - "&amp;F3565</f>
        <v/>
      </c>
      <c r="H3565" s="36" t="inlineStr">
        <is>
          <t>RAS</t>
        </is>
      </c>
      <c r="I3565" s="45" t="inlineStr"/>
      <c r="J3565" s="45" t="inlineStr">
        <is>
          <t>RNCP35604</t>
        </is>
      </c>
      <c r="K3565" s="45" t="inlineStr">
        <is>
          <t>Manager du développement des ressources humaines</t>
        </is>
      </c>
      <c r="L3565" s="45" t="inlineStr">
        <is>
          <t>31/12/2030</t>
        </is>
      </c>
      <c r="M3565" s="45" t="inlineStr"/>
      <c r="N3565" s="50" t="inlineStr">
        <is>
          <t>NON</t>
        </is>
      </c>
      <c r="O3565" s="45" t="inlineStr"/>
    </row>
    <row r="3566" customFormat="1" s="3">
      <c r="A3566" s="45" t="n"/>
      <c r="B3566" s="46" t="inlineStr">
        <is>
          <t>33004</t>
        </is>
      </c>
      <c r="C3566" s="46">
        <f>LEFT(Tableau1[[#This Row],[Formacode]],3)</f>
        <v/>
      </c>
      <c r="D3566" s="47" t="n">
        <v>35878</v>
      </c>
      <c r="E3566" s="48">
        <f>"RNCP"&amp;D3566</f>
        <v/>
      </c>
      <c r="F3566" s="48" t="inlineStr">
        <is>
          <t>Chargé des ressources humaines</t>
        </is>
      </c>
      <c r="G3566" s="49">
        <f>E3566&amp;" - "&amp;F3566</f>
        <v/>
      </c>
      <c r="H3566" s="36" t="inlineStr">
        <is>
          <t>RAS</t>
        </is>
      </c>
      <c r="I3566" s="45" t="inlineStr"/>
      <c r="J3566" s="45" t="inlineStr">
        <is>
          <t>RNCP35878</t>
        </is>
      </c>
      <c r="K3566" s="45" t="inlineStr">
        <is>
          <t>Chargé des ressources humaines</t>
        </is>
      </c>
      <c r="L3566" s="45" t="inlineStr">
        <is>
          <t>31/12/2030</t>
        </is>
      </c>
      <c r="M3566" s="45" t="inlineStr"/>
      <c r="N3566" s="50" t="inlineStr">
        <is>
          <t>NON</t>
        </is>
      </c>
      <c r="O3566" s="45" t="inlineStr"/>
    </row>
    <row r="3567" customFormat="1" s="3">
      <c r="A3567" s="45" t="n"/>
      <c r="B3567" s="46" t="inlineStr">
        <is>
          <t>33004</t>
        </is>
      </c>
      <c r="C3567" s="46">
        <f>LEFT(Tableau1[[#This Row],[Formacode]],3)</f>
        <v/>
      </c>
      <c r="D3567" s="47" t="n">
        <v>36143</v>
      </c>
      <c r="E3567" s="48">
        <f>"RNCP"&amp;D3567</f>
        <v/>
      </c>
      <c r="F3567" s="48" t="inlineStr">
        <is>
          <t>Chargé des ressources humaines</t>
        </is>
      </c>
      <c r="G3567" s="49">
        <f>E3567&amp;" - "&amp;F3567</f>
        <v/>
      </c>
      <c r="H3567" s="36" t="inlineStr">
        <is>
          <t>RAS</t>
        </is>
      </c>
      <c r="I3567" s="45" t="inlineStr"/>
      <c r="J3567" s="45" t="inlineStr">
        <is>
          <t>RNCP36143</t>
        </is>
      </c>
      <c r="K3567" s="45" t="inlineStr">
        <is>
          <t>Chargé des ressources humaines</t>
        </is>
      </c>
      <c r="L3567" s="45" t="inlineStr">
        <is>
          <t>31/12/2030</t>
        </is>
      </c>
      <c r="M3567" s="45" t="inlineStr"/>
      <c r="N3567" s="50" t="inlineStr">
        <is>
          <t>NON</t>
        </is>
      </c>
      <c r="O3567" s="45" t="inlineStr"/>
    </row>
    <row r="3568" customFormat="1" s="3">
      <c r="A3568" s="45" t="n"/>
      <c r="B3568" s="46" t="inlineStr">
        <is>
          <t>33004</t>
        </is>
      </c>
      <c r="C3568" s="46">
        <f>LEFT(Tableau1[[#This Row],[Formacode]],3)</f>
        <v/>
      </c>
      <c r="D3568" s="47" t="n">
        <v>37851</v>
      </c>
      <c r="E3568" s="48">
        <f>"RNCP"&amp;D3568</f>
        <v/>
      </c>
      <c r="F3568" s="48" t="inlineStr">
        <is>
          <t>Manager des ressources humaines</t>
        </is>
      </c>
      <c r="G3568" s="49">
        <f>E3568&amp;" - "&amp;F3568</f>
        <v/>
      </c>
      <c r="H3568" s="36" t="inlineStr">
        <is>
          <t>RAS</t>
        </is>
      </c>
      <c r="I3568" s="45" t="inlineStr"/>
      <c r="J3568" s="45" t="inlineStr">
        <is>
          <t>RNCP37851</t>
        </is>
      </c>
      <c r="K3568" s="45" t="inlineStr">
        <is>
          <t>Manager des ressources humaines</t>
        </is>
      </c>
      <c r="L3568" s="45" t="inlineStr">
        <is>
          <t>31/12/2030</t>
        </is>
      </c>
      <c r="M3568" s="45" t="inlineStr"/>
      <c r="N3568" s="50" t="inlineStr">
        <is>
          <t>NON</t>
        </is>
      </c>
      <c r="O3568" s="45" t="inlineStr"/>
    </row>
    <row r="3569" customFormat="1" s="3">
      <c r="A3569" s="45" t="n"/>
      <c r="B3569" s="46" t="inlineStr">
        <is>
          <t>33004</t>
        </is>
      </c>
      <c r="C3569" s="46">
        <f>LEFT(Tableau1[[#This Row],[Formacode]],3)</f>
        <v/>
      </c>
      <c r="D3569" s="47" t="n">
        <v>38241</v>
      </c>
      <c r="E3569" s="48">
        <f>"RNCP"&amp;D3569</f>
        <v/>
      </c>
      <c r="F3569" s="48" t="inlineStr">
        <is>
          <t>CQP Chargé de ressources humaines</t>
        </is>
      </c>
      <c r="G3569" s="49">
        <f>E3569&amp;" - "&amp;F3569</f>
        <v/>
      </c>
      <c r="H3569" s="36" t="inlineStr">
        <is>
          <t>RAS</t>
        </is>
      </c>
      <c r="I3569" s="45" t="inlineStr"/>
      <c r="J3569" s="45" t="inlineStr">
        <is>
          <t>RNCP38241</t>
        </is>
      </c>
      <c r="K3569" s="45" t="inlineStr">
        <is>
          <t>CQP Chargé de ressources humaines</t>
        </is>
      </c>
      <c r="L3569" s="45" t="inlineStr">
        <is>
          <t>31/12/2030</t>
        </is>
      </c>
      <c r="M3569" s="45" t="inlineStr"/>
      <c r="N3569" s="50" t="inlineStr">
        <is>
          <t>NON</t>
        </is>
      </c>
      <c r="O3569" s="45" t="inlineStr"/>
    </row>
    <row r="3570" customFormat="1" s="3">
      <c r="A3570" s="45" t="n"/>
      <c r="B3570" s="46" t="inlineStr">
        <is>
          <t>33004</t>
        </is>
      </c>
      <c r="C3570" s="46">
        <f>LEFT(Tableau1[[#This Row],[Formacode]],3)</f>
        <v/>
      </c>
      <c r="D3570" s="47" t="n">
        <v>38460</v>
      </c>
      <c r="E3570" s="48">
        <f>"RNCP"&amp;D3570</f>
        <v/>
      </c>
      <c r="F3570" s="48" t="inlineStr">
        <is>
          <t>Manager en ressources humaines</t>
        </is>
      </c>
      <c r="G3570" s="49">
        <f>E3570&amp;" - "&amp;F3570</f>
        <v/>
      </c>
      <c r="H3570" s="36" t="inlineStr">
        <is>
          <t>RAS</t>
        </is>
      </c>
      <c r="I3570" s="45" t="inlineStr"/>
      <c r="J3570" s="45" t="inlineStr">
        <is>
          <t>RNCP38460</t>
        </is>
      </c>
      <c r="K3570" s="45" t="inlineStr">
        <is>
          <t>Manager en ressources humaines</t>
        </is>
      </c>
      <c r="L3570" s="45" t="inlineStr">
        <is>
          <t>31/12/2030</t>
        </is>
      </c>
      <c r="M3570" s="45" t="inlineStr"/>
      <c r="N3570" s="50" t="inlineStr">
        <is>
          <t>NON</t>
        </is>
      </c>
      <c r="O3570" s="45" t="inlineStr"/>
    </row>
    <row r="3571" customFormat="1" s="3">
      <c r="A3571" s="45" t="n"/>
      <c r="B3571" s="46" t="inlineStr">
        <is>
          <t>33004</t>
        </is>
      </c>
      <c r="C3571" s="46">
        <f>LEFT(Tableau1[[#This Row],[Formacode]],3)</f>
        <v/>
      </c>
      <c r="D3571" s="47" t="n">
        <v>38489</v>
      </c>
      <c r="E3571" s="48">
        <f>"RNCP"&amp;D3571</f>
        <v/>
      </c>
      <c r="F3571" s="48" t="inlineStr">
        <is>
          <t>Manager des ressources humaines</t>
        </is>
      </c>
      <c r="G3571" s="49">
        <f>E3571&amp;" - "&amp;F3571</f>
        <v/>
      </c>
      <c r="H3571" s="36" t="inlineStr">
        <is>
          <t>RAS</t>
        </is>
      </c>
      <c r="I3571" s="45" t="inlineStr"/>
      <c r="J3571" s="45" t="inlineStr">
        <is>
          <t>RNCP38489</t>
        </is>
      </c>
      <c r="K3571" s="45" t="inlineStr">
        <is>
          <t>Manager des ressources humaines</t>
        </is>
      </c>
      <c r="L3571" s="45" t="inlineStr">
        <is>
          <t>31/12/2030</t>
        </is>
      </c>
      <c r="M3571" s="45" t="inlineStr"/>
      <c r="N3571" s="50" t="inlineStr">
        <is>
          <t>NON</t>
        </is>
      </c>
      <c r="O3571" s="45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31/12/2030</t>
        </is>
      </c>
      <c r="M3572" s="45" t="inlineStr"/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31/12/2030</t>
        </is>
      </c>
      <c r="M3573" s="45" t="inlineStr"/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31/12/2030</t>
        </is>
      </c>
      <c r="M3574" s="45" t="inlineStr"/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31/12/2030</t>
        </is>
      </c>
      <c r="M3575" s="45" t="inlineStr"/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31/12/2030</t>
        </is>
      </c>
      <c r="M3576" s="45" t="inlineStr"/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31/12/2030</t>
        </is>
      </c>
      <c r="M3577" s="45" t="inlineStr"/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31/12/2030</t>
        </is>
      </c>
      <c r="M3578" s="45" t="inlineStr"/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31/12/2030</t>
        </is>
      </c>
      <c r="M3579" s="45" t="inlineStr"/>
      <c r="N3579" s="50" t="inlineStr">
        <is>
          <t>NON</t>
        </is>
      </c>
      <c r="O3579" s="45" t="inlineStr"/>
    </row>
    <row r="3580" customFormat="1" s="3">
      <c r="A3580" s="45" t="n"/>
      <c r="B3580" s="46" t="inlineStr">
        <is>
          <t>33012</t>
        </is>
      </c>
      <c r="C3580" s="46">
        <f>LEFT(Tableau1[[#This Row],[Formacode]],3)</f>
        <v/>
      </c>
      <c r="D3580" s="47" t="n">
        <v>35604</v>
      </c>
      <c r="E3580" s="48">
        <f>"RNCP"&amp;D3580</f>
        <v/>
      </c>
      <c r="F3580" s="48" t="inlineStr">
        <is>
          <t>Manager du développement des ressources humaines</t>
        </is>
      </c>
      <c r="G3580" s="49">
        <f>E3580&amp;" - "&amp;F3580</f>
        <v/>
      </c>
      <c r="H3580" s="36" t="inlineStr">
        <is>
          <t>RAS</t>
        </is>
      </c>
      <c r="I3580" s="45" t="inlineStr"/>
      <c r="J3580" s="45" t="inlineStr">
        <is>
          <t>RNCP35604</t>
        </is>
      </c>
      <c r="K3580" s="45" t="inlineStr">
        <is>
          <t>Manager du développement des ressources humaines</t>
        </is>
      </c>
      <c r="L3580" s="45" t="inlineStr">
        <is>
          <t>31/12/2030</t>
        </is>
      </c>
      <c r="M3580" s="45" t="inlineStr"/>
      <c r="N3580" s="50" t="inlineStr">
        <is>
          <t>NON</t>
        </is>
      </c>
      <c r="O3580" s="45" t="inlineStr"/>
    </row>
    <row r="3581" customFormat="1" s="3">
      <c r="A3581" s="45" t="n"/>
      <c r="B3581" s="46" t="inlineStr">
        <is>
          <t>33012</t>
        </is>
      </c>
      <c r="C3581" s="46">
        <f>LEFT(Tableau1[[#This Row],[Formacode]],3)</f>
        <v/>
      </c>
      <c r="D3581" s="47" t="n">
        <v>35878</v>
      </c>
      <c r="E3581" s="48">
        <f>"RNCP"&amp;D3581</f>
        <v/>
      </c>
      <c r="F3581" s="48" t="inlineStr">
        <is>
          <t>Chargé des ressources humaines</t>
        </is>
      </c>
      <c r="G3581" s="49">
        <f>E3581&amp;" - "&amp;F3581</f>
        <v/>
      </c>
      <c r="H3581" s="36" t="inlineStr">
        <is>
          <t>RAS</t>
        </is>
      </c>
      <c r="I3581" s="45" t="inlineStr"/>
      <c r="J3581" s="45" t="inlineStr">
        <is>
          <t>RNCP35878</t>
        </is>
      </c>
      <c r="K3581" s="45" t="inlineStr">
        <is>
          <t>Chargé des ressources humaines</t>
        </is>
      </c>
      <c r="L3581" s="45" t="inlineStr">
        <is>
          <t>31/12/2030</t>
        </is>
      </c>
      <c r="M3581" s="45" t="inlineStr"/>
      <c r="N3581" s="50" t="inlineStr">
        <is>
          <t>NON</t>
        </is>
      </c>
      <c r="O3581" s="45" t="inlineStr"/>
    </row>
    <row r="3582" customFormat="1" s="3">
      <c r="A3582" s="45" t="n"/>
      <c r="B3582" s="46" t="inlineStr">
        <is>
          <t>33012</t>
        </is>
      </c>
      <c r="C3582" s="46">
        <f>LEFT(Tableau1[[#This Row],[Formacode]],3)</f>
        <v/>
      </c>
      <c r="D3582" s="47" t="n">
        <v>36143</v>
      </c>
      <c r="E3582" s="48">
        <f>"RNCP"&amp;D3582</f>
        <v/>
      </c>
      <c r="F3582" s="48" t="inlineStr">
        <is>
          <t>Chargé des ressources humaines</t>
        </is>
      </c>
      <c r="G3582" s="49">
        <f>E3582&amp;" - "&amp;F3582</f>
        <v/>
      </c>
      <c r="H3582" s="36" t="inlineStr">
        <is>
          <t>RAS</t>
        </is>
      </c>
      <c r="I3582" s="45" t="inlineStr"/>
      <c r="J3582" s="45" t="inlineStr">
        <is>
          <t>RNCP36143</t>
        </is>
      </c>
      <c r="K3582" s="45" t="inlineStr">
        <is>
          <t>Chargé des ressources humaines</t>
        </is>
      </c>
      <c r="L3582" s="45" t="inlineStr">
        <is>
          <t>31/12/2030</t>
        </is>
      </c>
      <c r="M3582" s="45" t="inlineStr"/>
      <c r="N3582" s="50" t="inlineStr">
        <is>
          <t>NON</t>
        </is>
      </c>
      <c r="O3582" s="45" t="inlineStr"/>
    </row>
    <row r="3583" customFormat="1" s="3">
      <c r="A3583" s="45" t="n"/>
      <c r="B3583" s="46" t="inlineStr">
        <is>
          <t>33012</t>
        </is>
      </c>
      <c r="C3583" s="46">
        <f>LEFT(Tableau1[[#This Row],[Formacode]],3)</f>
        <v/>
      </c>
      <c r="D3583" s="47" t="n">
        <v>37851</v>
      </c>
      <c r="E3583" s="48">
        <f>"RNCP"&amp;D3583</f>
        <v/>
      </c>
      <c r="F3583" s="48" t="inlineStr">
        <is>
          <t>Manager des ressources humaines</t>
        </is>
      </c>
      <c r="G3583" s="49">
        <f>E3583&amp;" - "&amp;F3583</f>
        <v/>
      </c>
      <c r="H3583" s="36" t="inlineStr">
        <is>
          <t>RAS</t>
        </is>
      </c>
      <c r="I3583" s="45" t="inlineStr"/>
      <c r="J3583" s="45" t="inlineStr">
        <is>
          <t>RNCP37851</t>
        </is>
      </c>
      <c r="K3583" s="45" t="inlineStr">
        <is>
          <t>Manager des ressources humaines</t>
        </is>
      </c>
      <c r="L3583" s="45" t="inlineStr">
        <is>
          <t>31/12/2030</t>
        </is>
      </c>
      <c r="M3583" s="45" t="inlineStr"/>
      <c r="N3583" s="50" t="inlineStr">
        <is>
          <t>NON</t>
        </is>
      </c>
      <c r="O3583" s="45" t="inlineStr"/>
    </row>
    <row r="3584" customFormat="1" s="3">
      <c r="A3584" s="45" t="n"/>
      <c r="B3584" s="46" t="inlineStr">
        <is>
          <t>33012</t>
        </is>
      </c>
      <c r="C3584" s="46">
        <f>LEFT(Tableau1[[#This Row],[Formacode]],3)</f>
        <v/>
      </c>
      <c r="D3584" s="47" t="n">
        <v>38241</v>
      </c>
      <c r="E3584" s="48">
        <f>"RNCP"&amp;D3584</f>
        <v/>
      </c>
      <c r="F3584" s="48" t="inlineStr">
        <is>
          <t>CQP Chargé de ressources humaines</t>
        </is>
      </c>
      <c r="G3584" s="49">
        <f>E3584&amp;" - "&amp;F3584</f>
        <v/>
      </c>
      <c r="H3584" s="36" t="inlineStr">
        <is>
          <t>RAS</t>
        </is>
      </c>
      <c r="I3584" s="45" t="inlineStr"/>
      <c r="J3584" s="45" t="inlineStr">
        <is>
          <t>RNCP38241</t>
        </is>
      </c>
      <c r="K3584" s="45" t="inlineStr">
        <is>
          <t>CQP Chargé de ressources humaines</t>
        </is>
      </c>
      <c r="L3584" s="45" t="inlineStr">
        <is>
          <t>31/12/2030</t>
        </is>
      </c>
      <c r="M3584" s="45" t="inlineStr"/>
      <c r="N3584" s="50" t="inlineStr">
        <is>
          <t>NON</t>
        </is>
      </c>
      <c r="O3584" s="45" t="inlineStr"/>
    </row>
    <row r="3585" customFormat="1" s="3">
      <c r="A3585" s="45" t="n"/>
      <c r="B3585" s="46" t="inlineStr">
        <is>
          <t>33012</t>
        </is>
      </c>
      <c r="C3585" s="46">
        <f>LEFT(Tableau1[[#This Row],[Formacode]],3)</f>
        <v/>
      </c>
      <c r="D3585" s="47" t="n">
        <v>38460</v>
      </c>
      <c r="E3585" s="48">
        <f>"RNCP"&amp;D3585</f>
        <v/>
      </c>
      <c r="F3585" s="48" t="inlineStr">
        <is>
          <t>Manager en ressources humaines</t>
        </is>
      </c>
      <c r="G3585" s="49">
        <f>E3585&amp;" - "&amp;F3585</f>
        <v/>
      </c>
      <c r="H3585" s="36" t="inlineStr">
        <is>
          <t>RAS</t>
        </is>
      </c>
      <c r="I3585" s="45" t="inlineStr"/>
      <c r="J3585" s="45" t="inlineStr">
        <is>
          <t>RNCP38460</t>
        </is>
      </c>
      <c r="K3585" s="45" t="inlineStr">
        <is>
          <t>Manager en ressources humaines</t>
        </is>
      </c>
      <c r="L3585" s="45" t="inlineStr">
        <is>
          <t>31/12/2030</t>
        </is>
      </c>
      <c r="M3585" s="45" t="inlineStr"/>
      <c r="N3585" s="50" t="inlineStr">
        <is>
          <t>NON</t>
        </is>
      </c>
      <c r="O3585" s="45" t="inlineStr"/>
    </row>
    <row r="3586" customFormat="1" s="3">
      <c r="A3586" s="45" t="n"/>
      <c r="B3586" s="46" t="inlineStr">
        <is>
          <t>33012</t>
        </is>
      </c>
      <c r="C3586" s="46">
        <f>LEFT(Tableau1[[#This Row],[Formacode]],3)</f>
        <v/>
      </c>
      <c r="D3586" s="47" t="n">
        <v>38489</v>
      </c>
      <c r="E3586" s="48">
        <f>"RNCP"&amp;D3586</f>
        <v/>
      </c>
      <c r="F3586" s="48" t="inlineStr">
        <is>
          <t>Manager des ressources humaines</t>
        </is>
      </c>
      <c r="G3586" s="49">
        <f>E3586&amp;" - "&amp;F3586</f>
        <v/>
      </c>
      <c r="H3586" s="36" t="inlineStr">
        <is>
          <t>RAS</t>
        </is>
      </c>
      <c r="I3586" s="45" t="inlineStr"/>
      <c r="J3586" s="45" t="inlineStr">
        <is>
          <t>RNCP38489</t>
        </is>
      </c>
      <c r="K3586" s="45" t="inlineStr">
        <is>
          <t>Manager des ressources humaines</t>
        </is>
      </c>
      <c r="L3586" s="45" t="inlineStr">
        <is>
          <t>31/12/2030</t>
        </is>
      </c>
      <c r="M3586" s="45" t="inlineStr"/>
      <c r="N3586" s="50" t="inlineStr">
        <is>
          <t>NON</t>
        </is>
      </c>
      <c r="O3586" s="45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31/12/2030</t>
        </is>
      </c>
      <c r="M3587" s="45" t="inlineStr"/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31/12/2030</t>
        </is>
      </c>
      <c r="M3588" s="45" t="inlineStr"/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31/12/2030</t>
        </is>
      </c>
      <c r="M3589" s="45" t="inlineStr"/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31/12/2030</t>
        </is>
      </c>
      <c r="M3590" s="45" t="inlineStr"/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31/12/2030</t>
        </is>
      </c>
      <c r="M3591" s="45" t="inlineStr"/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31/12/2030</t>
        </is>
      </c>
      <c r="M3592" s="45" t="inlineStr"/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31/12/2030</t>
        </is>
      </c>
      <c r="M3593" s="45" t="inlineStr"/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31/12/2030</t>
        </is>
      </c>
      <c r="M3594" s="45" t="inlineStr"/>
      <c r="N3594" s="50" t="inlineStr">
        <is>
          <t>NON</t>
        </is>
      </c>
      <c r="O3594" s="45" t="inlineStr"/>
    </row>
    <row r="3595" customFormat="1" s="3">
      <c r="A3595" s="45" t="n"/>
      <c r="B3595" s="46" t="inlineStr">
        <is>
          <t>33024</t>
        </is>
      </c>
      <c r="C3595" s="46">
        <f>LEFT(Tableau1[[#This Row],[Formacode]],3)</f>
        <v/>
      </c>
      <c r="D3595" s="47" t="n">
        <v>35604</v>
      </c>
      <c r="E3595" s="48">
        <f>"RNCP"&amp;D3595</f>
        <v/>
      </c>
      <c r="F3595" s="48" t="inlineStr">
        <is>
          <t>Manager du développement des ressources humaines</t>
        </is>
      </c>
      <c r="G3595" s="49">
        <f>E3595&amp;" - "&amp;F3595</f>
        <v/>
      </c>
      <c r="H3595" s="36" t="inlineStr">
        <is>
          <t>RAS</t>
        </is>
      </c>
      <c r="I3595" s="45" t="inlineStr"/>
      <c r="J3595" s="45" t="inlineStr">
        <is>
          <t>RNCP35604</t>
        </is>
      </c>
      <c r="K3595" s="45" t="inlineStr">
        <is>
          <t>Manager du développement des ressources humaines</t>
        </is>
      </c>
      <c r="L3595" s="45" t="inlineStr">
        <is>
          <t>31/12/2030</t>
        </is>
      </c>
      <c r="M3595" s="45" t="inlineStr"/>
      <c r="N3595" s="50" t="inlineStr">
        <is>
          <t>NON</t>
        </is>
      </c>
      <c r="O3595" s="45" t="inlineStr"/>
    </row>
    <row r="3596" customFormat="1" s="3">
      <c r="A3596" s="45" t="n"/>
      <c r="B3596" s="46" t="inlineStr">
        <is>
          <t>33024</t>
        </is>
      </c>
      <c r="C3596" s="46">
        <f>LEFT(Tableau1[[#This Row],[Formacode]],3)</f>
        <v/>
      </c>
      <c r="D3596" s="47" t="n">
        <v>35878</v>
      </c>
      <c r="E3596" s="48">
        <f>"RNCP"&amp;D3596</f>
        <v/>
      </c>
      <c r="F3596" s="48" t="inlineStr">
        <is>
          <t>Chargé des ressources humaines</t>
        </is>
      </c>
      <c r="G3596" s="49">
        <f>E3596&amp;" - "&amp;F3596</f>
        <v/>
      </c>
      <c r="H3596" s="36" t="inlineStr">
        <is>
          <t>RAS</t>
        </is>
      </c>
      <c r="I3596" s="45" t="inlineStr"/>
      <c r="J3596" s="45" t="inlineStr">
        <is>
          <t>RNCP35878</t>
        </is>
      </c>
      <c r="K3596" s="45" t="inlineStr">
        <is>
          <t>Chargé des ressources humaines</t>
        </is>
      </c>
      <c r="L3596" s="45" t="inlineStr">
        <is>
          <t>31/12/2030</t>
        </is>
      </c>
      <c r="M3596" s="45" t="inlineStr"/>
      <c r="N3596" s="50" t="inlineStr">
        <is>
          <t>NON</t>
        </is>
      </c>
      <c r="O3596" s="45" t="inlineStr"/>
    </row>
    <row r="3597" customFormat="1" s="3">
      <c r="A3597" s="45" t="n"/>
      <c r="B3597" s="46" t="inlineStr">
        <is>
          <t>33024</t>
        </is>
      </c>
      <c r="C3597" s="46">
        <f>LEFT(Tableau1[[#This Row],[Formacode]],3)</f>
        <v/>
      </c>
      <c r="D3597" s="47" t="n">
        <v>36143</v>
      </c>
      <c r="E3597" s="48">
        <f>"RNCP"&amp;D3597</f>
        <v/>
      </c>
      <c r="F3597" s="48" t="inlineStr">
        <is>
          <t>Chargé des ressources humaines</t>
        </is>
      </c>
      <c r="G3597" s="49">
        <f>E3597&amp;" - "&amp;F3597</f>
        <v/>
      </c>
      <c r="H3597" s="36" t="inlineStr">
        <is>
          <t>RAS</t>
        </is>
      </c>
      <c r="I3597" s="45" t="inlineStr"/>
      <c r="J3597" s="45" t="inlineStr">
        <is>
          <t>RNCP36143</t>
        </is>
      </c>
      <c r="K3597" s="45" t="inlineStr">
        <is>
          <t>Chargé des ressources humaines</t>
        </is>
      </c>
      <c r="L3597" s="45" t="inlineStr">
        <is>
          <t>31/12/2030</t>
        </is>
      </c>
      <c r="M3597" s="45" t="inlineStr"/>
      <c r="N3597" s="50" t="inlineStr">
        <is>
          <t>NON</t>
        </is>
      </c>
      <c r="O3597" s="45" t="inlineStr"/>
    </row>
    <row r="3598" customFormat="1" s="3">
      <c r="A3598" s="45" t="n"/>
      <c r="B3598" s="46" t="inlineStr">
        <is>
          <t>33024</t>
        </is>
      </c>
      <c r="C3598" s="46">
        <f>LEFT(Tableau1[[#This Row],[Formacode]],3)</f>
        <v/>
      </c>
      <c r="D3598" s="47" t="n">
        <v>37851</v>
      </c>
      <c r="E3598" s="48">
        <f>"RNCP"&amp;D3598</f>
        <v/>
      </c>
      <c r="F3598" s="48" t="inlineStr">
        <is>
          <t>Manager des ressources humaines</t>
        </is>
      </c>
      <c r="G3598" s="49">
        <f>E3598&amp;" - "&amp;F3598</f>
        <v/>
      </c>
      <c r="H3598" s="36" t="inlineStr">
        <is>
          <t>RAS</t>
        </is>
      </c>
      <c r="I3598" s="45" t="inlineStr"/>
      <c r="J3598" s="45" t="inlineStr">
        <is>
          <t>RNCP37851</t>
        </is>
      </c>
      <c r="K3598" s="45" t="inlineStr">
        <is>
          <t>Manager des ressources humaines</t>
        </is>
      </c>
      <c r="L3598" s="45" t="inlineStr">
        <is>
          <t>31/12/2030</t>
        </is>
      </c>
      <c r="M3598" s="45" t="inlineStr"/>
      <c r="N3598" s="50" t="inlineStr">
        <is>
          <t>NON</t>
        </is>
      </c>
      <c r="O3598" s="45" t="inlineStr"/>
    </row>
    <row r="3599" customFormat="1" s="3">
      <c r="A3599" s="45" t="n"/>
      <c r="B3599" s="46" t="inlineStr">
        <is>
          <t>33024</t>
        </is>
      </c>
      <c r="C3599" s="46">
        <f>LEFT(Tableau1[[#This Row],[Formacode]],3)</f>
        <v/>
      </c>
      <c r="D3599" s="47" t="n">
        <v>38241</v>
      </c>
      <c r="E3599" s="48">
        <f>"RNCP"&amp;D3599</f>
        <v/>
      </c>
      <c r="F3599" s="48" t="inlineStr">
        <is>
          <t>CQP Chargé de ressources humaines</t>
        </is>
      </c>
      <c r="G3599" s="49">
        <f>E3599&amp;" - "&amp;F3599</f>
        <v/>
      </c>
      <c r="H3599" s="36" t="inlineStr">
        <is>
          <t>RAS</t>
        </is>
      </c>
      <c r="I3599" s="45" t="inlineStr"/>
      <c r="J3599" s="45" t="inlineStr">
        <is>
          <t>RNCP38241</t>
        </is>
      </c>
      <c r="K3599" s="45" t="inlineStr">
        <is>
          <t>CQP Chargé de ressources humaines</t>
        </is>
      </c>
      <c r="L3599" s="45" t="inlineStr">
        <is>
          <t>31/12/2030</t>
        </is>
      </c>
      <c r="M3599" s="45" t="inlineStr"/>
      <c r="N3599" s="50" t="inlineStr">
        <is>
          <t>NON</t>
        </is>
      </c>
      <c r="O3599" s="45" t="inlineStr"/>
    </row>
    <row r="3600" customFormat="1" s="3">
      <c r="A3600" s="45" t="n"/>
      <c r="B3600" s="46" t="inlineStr">
        <is>
          <t>33024</t>
        </is>
      </c>
      <c r="C3600" s="46">
        <f>LEFT(Tableau1[[#This Row],[Formacode]],3)</f>
        <v/>
      </c>
      <c r="D3600" s="47" t="n">
        <v>38460</v>
      </c>
      <c r="E3600" s="48">
        <f>"RNCP"&amp;D3600</f>
        <v/>
      </c>
      <c r="F3600" s="48" t="inlineStr">
        <is>
          <t>Manager en ressources humaines</t>
        </is>
      </c>
      <c r="G3600" s="49">
        <f>E3600&amp;" - "&amp;F3600</f>
        <v/>
      </c>
      <c r="H3600" s="36" t="inlineStr">
        <is>
          <t>RAS</t>
        </is>
      </c>
      <c r="I3600" s="45" t="inlineStr"/>
      <c r="J3600" s="45" t="inlineStr">
        <is>
          <t>RNCP38460</t>
        </is>
      </c>
      <c r="K3600" s="45" t="inlineStr">
        <is>
          <t>Manager en ressources humaines</t>
        </is>
      </c>
      <c r="L3600" s="45" t="inlineStr">
        <is>
          <t>31/12/2030</t>
        </is>
      </c>
      <c r="M3600" s="45" t="inlineStr"/>
      <c r="N3600" s="50" t="inlineStr">
        <is>
          <t>NON</t>
        </is>
      </c>
      <c r="O3600" s="45" t="inlineStr"/>
    </row>
    <row r="3601" customFormat="1" s="3">
      <c r="A3601" s="45" t="n"/>
      <c r="B3601" s="46" t="inlineStr">
        <is>
          <t>33024</t>
        </is>
      </c>
      <c r="C3601" s="46">
        <f>LEFT(Tableau1[[#This Row],[Formacode]],3)</f>
        <v/>
      </c>
      <c r="D3601" s="47" t="n">
        <v>38489</v>
      </c>
      <c r="E3601" s="48">
        <f>"RNCP"&amp;D3601</f>
        <v/>
      </c>
      <c r="F3601" s="48" t="inlineStr">
        <is>
          <t>Manager des ressources humaines</t>
        </is>
      </c>
      <c r="G3601" s="49">
        <f>E3601&amp;" - "&amp;F3601</f>
        <v/>
      </c>
      <c r="H3601" s="36" t="inlineStr">
        <is>
          <t>RAS</t>
        </is>
      </c>
      <c r="I3601" s="45" t="inlineStr"/>
      <c r="J3601" s="45" t="inlineStr">
        <is>
          <t>RNCP38489</t>
        </is>
      </c>
      <c r="K3601" s="45" t="inlineStr">
        <is>
          <t>Manager des ressources humaines</t>
        </is>
      </c>
      <c r="L3601" s="45" t="inlineStr">
        <is>
          <t>31/12/2030</t>
        </is>
      </c>
      <c r="M3601" s="45" t="inlineStr"/>
      <c r="N3601" s="50" t="inlineStr">
        <is>
          <t>NON</t>
        </is>
      </c>
      <c r="O3601" s="45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31/12/2030</t>
        </is>
      </c>
      <c r="M3602" s="45" t="inlineStr"/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31/12/2030</t>
        </is>
      </c>
      <c r="M3603" s="45" t="inlineStr"/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31/12/2030</t>
        </is>
      </c>
      <c r="M3604" s="45" t="inlineStr"/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31/12/2030</t>
        </is>
      </c>
      <c r="M3605" s="45" t="inlineStr"/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31/12/2030</t>
        </is>
      </c>
      <c r="M3606" s="45" t="inlineStr"/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31/12/2030</t>
        </is>
      </c>
      <c r="M3607" s="45" t="inlineStr"/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31/12/2030</t>
        </is>
      </c>
      <c r="M3608" s="45" t="inlineStr"/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31/12/2030</t>
        </is>
      </c>
      <c r="M3609" s="45" t="inlineStr"/>
      <c r="N3609" s="50" t="inlineStr">
        <is>
          <t>NON</t>
        </is>
      </c>
      <c r="O3609" s="45" t="inlineStr"/>
    </row>
    <row r="3610" customFormat="1" s="3">
      <c r="A3610" s="45" t="n"/>
      <c r="B3610" s="46" t="inlineStr">
        <is>
          <t>33035</t>
        </is>
      </c>
      <c r="C3610" s="46">
        <f>LEFT(Tableau1[[#This Row],[Formacode]],3)</f>
        <v/>
      </c>
      <c r="D3610" s="47" t="n">
        <v>35604</v>
      </c>
      <c r="E3610" s="48">
        <f>"RNCP"&amp;D3610</f>
        <v/>
      </c>
      <c r="F3610" s="48" t="inlineStr">
        <is>
          <t>Manager du développement des ressources humaines</t>
        </is>
      </c>
      <c r="G3610" s="49">
        <f>E3610&amp;" - "&amp;F3610</f>
        <v/>
      </c>
      <c r="H3610" s="36" t="inlineStr">
        <is>
          <t>RAS</t>
        </is>
      </c>
      <c r="I3610" s="45" t="inlineStr"/>
      <c r="J3610" s="45" t="inlineStr">
        <is>
          <t>RNCP35604</t>
        </is>
      </c>
      <c r="K3610" s="45" t="inlineStr">
        <is>
          <t>Manager du développement des ressources humaines</t>
        </is>
      </c>
      <c r="L3610" s="45" t="inlineStr">
        <is>
          <t>31/12/2030</t>
        </is>
      </c>
      <c r="M3610" s="45" t="inlineStr"/>
      <c r="N3610" s="50" t="inlineStr">
        <is>
          <t>NON</t>
        </is>
      </c>
      <c r="O3610" s="45" t="inlineStr"/>
    </row>
    <row r="3611" customFormat="1" s="3">
      <c r="A3611" s="45" t="n"/>
      <c r="B3611" s="46" t="inlineStr">
        <is>
          <t>33035</t>
        </is>
      </c>
      <c r="C3611" s="46">
        <f>LEFT(Tableau1[[#This Row],[Formacode]],3)</f>
        <v/>
      </c>
      <c r="D3611" s="47" t="n">
        <v>35878</v>
      </c>
      <c r="E3611" s="48">
        <f>"RNCP"&amp;D3611</f>
        <v/>
      </c>
      <c r="F3611" s="48" t="inlineStr">
        <is>
          <t>Chargé des ressources humaines</t>
        </is>
      </c>
      <c r="G3611" s="49">
        <f>E3611&amp;" - "&amp;F3611</f>
        <v/>
      </c>
      <c r="H3611" s="36" t="inlineStr">
        <is>
          <t>RAS</t>
        </is>
      </c>
      <c r="I3611" s="45" t="inlineStr"/>
      <c r="J3611" s="45" t="inlineStr">
        <is>
          <t>RNCP35878</t>
        </is>
      </c>
      <c r="K3611" s="45" t="inlineStr">
        <is>
          <t>Chargé des ressources humaines</t>
        </is>
      </c>
      <c r="L3611" s="45" t="inlineStr">
        <is>
          <t>31/12/2030</t>
        </is>
      </c>
      <c r="M3611" s="45" t="inlineStr"/>
      <c r="N3611" s="50" t="inlineStr">
        <is>
          <t>NON</t>
        </is>
      </c>
      <c r="O3611" s="45" t="inlineStr"/>
    </row>
    <row r="3612" customFormat="1" s="3">
      <c r="A3612" s="45" t="n"/>
      <c r="B3612" s="46" t="inlineStr">
        <is>
          <t>33035</t>
        </is>
      </c>
      <c r="C3612" s="46">
        <f>LEFT(Tableau1[[#This Row],[Formacode]],3)</f>
        <v/>
      </c>
      <c r="D3612" s="47" t="n">
        <v>36143</v>
      </c>
      <c r="E3612" s="48">
        <f>"RNCP"&amp;D3612</f>
        <v/>
      </c>
      <c r="F3612" s="48" t="inlineStr">
        <is>
          <t>Chargé des ressources humaines</t>
        </is>
      </c>
      <c r="G3612" s="49">
        <f>E3612&amp;" - "&amp;F3612</f>
        <v/>
      </c>
      <c r="H3612" s="36" t="inlineStr">
        <is>
          <t>RAS</t>
        </is>
      </c>
      <c r="I3612" s="45" t="inlineStr"/>
      <c r="J3612" s="45" t="inlineStr">
        <is>
          <t>RNCP36143</t>
        </is>
      </c>
      <c r="K3612" s="45" t="inlineStr">
        <is>
          <t>Chargé des ressources humaines</t>
        </is>
      </c>
      <c r="L3612" s="45" t="inlineStr">
        <is>
          <t>31/12/2030</t>
        </is>
      </c>
      <c r="M3612" s="45" t="inlineStr"/>
      <c r="N3612" s="50" t="inlineStr">
        <is>
          <t>NON</t>
        </is>
      </c>
      <c r="O3612" s="45" t="inlineStr"/>
    </row>
    <row r="3613" customFormat="1" s="3">
      <c r="A3613" s="45" t="n"/>
      <c r="B3613" s="46" t="inlineStr">
        <is>
          <t>33035</t>
        </is>
      </c>
      <c r="C3613" s="46">
        <f>LEFT(Tableau1[[#This Row],[Formacode]],3)</f>
        <v/>
      </c>
      <c r="D3613" s="47" t="n">
        <v>37748</v>
      </c>
      <c r="E3613" s="48">
        <f>"RNCP"&amp;D3613</f>
        <v/>
      </c>
      <c r="F3613" s="48" t="inlineStr">
        <is>
          <t>Manager des ressources humaines</t>
        </is>
      </c>
      <c r="G3613" s="49">
        <f>E3613&amp;" - "&amp;F3613</f>
        <v/>
      </c>
      <c r="H3613" s="36" t="inlineStr">
        <is>
          <t>RAS</t>
        </is>
      </c>
      <c r="I3613" s="45" t="inlineStr"/>
      <c r="J3613" s="45" t="inlineStr">
        <is>
          <t>RNCP37748</t>
        </is>
      </c>
      <c r="K3613" s="45" t="inlineStr">
        <is>
          <t>Manager des ressources humaines</t>
        </is>
      </c>
      <c r="L3613" s="45" t="inlineStr">
        <is>
          <t>31/12/2030</t>
        </is>
      </c>
      <c r="M3613" s="45" t="inlineStr"/>
      <c r="N3613" s="50" t="inlineStr">
        <is>
          <t>NON</t>
        </is>
      </c>
      <c r="O3613" s="45" t="inlineStr"/>
    </row>
    <row r="3614" customFormat="1" s="3">
      <c r="A3614" s="45" t="n"/>
      <c r="B3614" s="46" t="inlineStr">
        <is>
          <t>33035</t>
        </is>
      </c>
      <c r="C3614" s="46">
        <f>LEFT(Tableau1[[#This Row],[Formacode]],3)</f>
        <v/>
      </c>
      <c r="D3614" s="47" t="n">
        <v>37851</v>
      </c>
      <c r="E3614" s="48">
        <f>"RNCP"&amp;D3614</f>
        <v/>
      </c>
      <c r="F3614" s="48" t="inlineStr">
        <is>
          <t>Manager des ressources humaines</t>
        </is>
      </c>
      <c r="G3614" s="49">
        <f>E3614&amp;" - "&amp;F3614</f>
        <v/>
      </c>
      <c r="H3614" s="36" t="inlineStr">
        <is>
          <t>RAS</t>
        </is>
      </c>
      <c r="I3614" s="45" t="inlineStr"/>
      <c r="J3614" s="45" t="inlineStr">
        <is>
          <t>RNCP37851</t>
        </is>
      </c>
      <c r="K3614" s="45" t="inlineStr">
        <is>
          <t>Manager des ressources humaines</t>
        </is>
      </c>
      <c r="L3614" s="45" t="inlineStr">
        <is>
          <t>31/12/2030</t>
        </is>
      </c>
      <c r="M3614" s="45" t="inlineStr"/>
      <c r="N3614" s="50" t="inlineStr">
        <is>
          <t>NON</t>
        </is>
      </c>
      <c r="O3614" s="45" t="inlineStr"/>
    </row>
    <row r="3615" customFormat="1" s="3">
      <c r="A3615" s="45" t="n"/>
      <c r="B3615" s="46" t="inlineStr">
        <is>
          <t>33035</t>
        </is>
      </c>
      <c r="C3615" s="46">
        <f>LEFT(Tableau1[[#This Row],[Formacode]],3)</f>
        <v/>
      </c>
      <c r="D3615" s="47" t="n">
        <v>38241</v>
      </c>
      <c r="E3615" s="48">
        <f>"RNCP"&amp;D3615</f>
        <v/>
      </c>
      <c r="F3615" s="48" t="inlineStr">
        <is>
          <t>CQP Chargé de ressources humaines</t>
        </is>
      </c>
      <c r="G3615" s="49">
        <f>E3615&amp;" - "&amp;F3615</f>
        <v/>
      </c>
      <c r="H3615" s="36" t="inlineStr">
        <is>
          <t>RAS</t>
        </is>
      </c>
      <c r="I3615" s="45" t="inlineStr"/>
      <c r="J3615" s="45" t="inlineStr">
        <is>
          <t>RNCP38241</t>
        </is>
      </c>
      <c r="K3615" s="45" t="inlineStr">
        <is>
          <t>CQP Chargé de ressources humaines</t>
        </is>
      </c>
      <c r="L3615" s="45" t="inlineStr">
        <is>
          <t>31/12/2030</t>
        </is>
      </c>
      <c r="M3615" s="45" t="inlineStr"/>
      <c r="N3615" s="50" t="inlineStr">
        <is>
          <t>NON</t>
        </is>
      </c>
      <c r="O3615" s="45" t="inlineStr"/>
    </row>
    <row r="3616" customFormat="1" s="3">
      <c r="A3616" s="45" t="n"/>
      <c r="B3616" s="46" t="inlineStr">
        <is>
          <t>33035</t>
        </is>
      </c>
      <c r="C3616" s="46">
        <f>LEFT(Tableau1[[#This Row],[Formacode]],3)</f>
        <v/>
      </c>
      <c r="D3616" s="47" t="n">
        <v>38460</v>
      </c>
      <c r="E3616" s="48">
        <f>"RNCP"&amp;D3616</f>
        <v/>
      </c>
      <c r="F3616" s="48" t="inlineStr">
        <is>
          <t>Manager en ressources humaines</t>
        </is>
      </c>
      <c r="G3616" s="49">
        <f>E3616&amp;" - "&amp;F3616</f>
        <v/>
      </c>
      <c r="H3616" s="36" t="inlineStr">
        <is>
          <t>RAS</t>
        </is>
      </c>
      <c r="I3616" s="45" t="inlineStr"/>
      <c r="J3616" s="45" t="inlineStr">
        <is>
          <t>RNCP38460</t>
        </is>
      </c>
      <c r="K3616" s="45" t="inlineStr">
        <is>
          <t>Manager en ressources humaines</t>
        </is>
      </c>
      <c r="L3616" s="45" t="inlineStr">
        <is>
          <t>31/12/2030</t>
        </is>
      </c>
      <c r="M3616" s="45" t="inlineStr"/>
      <c r="N3616" s="50" t="inlineStr">
        <is>
          <t>NON</t>
        </is>
      </c>
      <c r="O3616" s="45" t="inlineStr"/>
    </row>
    <row r="3617" customFormat="1" s="3">
      <c r="A3617" s="45" t="n"/>
      <c r="B3617" s="46" t="inlineStr">
        <is>
          <t>33035</t>
        </is>
      </c>
      <c r="C3617" s="46">
        <f>LEFT(Tableau1[[#This Row],[Formacode]],3)</f>
        <v/>
      </c>
      <c r="D3617" s="47" t="n">
        <v>38489</v>
      </c>
      <c r="E3617" s="48">
        <f>"RNCP"&amp;D3617</f>
        <v/>
      </c>
      <c r="F3617" s="48" t="inlineStr">
        <is>
          <t>Manager des ressources humaines</t>
        </is>
      </c>
      <c r="G3617" s="49">
        <f>E3617&amp;" - "&amp;F3617</f>
        <v/>
      </c>
      <c r="H3617" s="36" t="inlineStr">
        <is>
          <t>RAS</t>
        </is>
      </c>
      <c r="I3617" s="45" t="inlineStr"/>
      <c r="J3617" s="45" t="inlineStr">
        <is>
          <t>RNCP38489</t>
        </is>
      </c>
      <c r="K3617" s="45" t="inlineStr">
        <is>
          <t>Manager des ressources humaines</t>
        </is>
      </c>
      <c r="L3617" s="45" t="inlineStr">
        <is>
          <t>31/12/2030</t>
        </is>
      </c>
      <c r="M3617" s="45" t="inlineStr"/>
      <c r="N3617" s="50" t="inlineStr">
        <is>
          <t>NON</t>
        </is>
      </c>
      <c r="O3617" s="45" t="inlineStr"/>
    </row>
    <row r="3618" customFormat="1" s="3">
      <c r="A3618" s="45" t="n"/>
      <c r="B3618" s="46" t="inlineStr">
        <is>
          <t>33035</t>
        </is>
      </c>
      <c r="C3618" s="46">
        <f>LEFT(Tableau1[[#This Row],[Formacode]],3)</f>
        <v/>
      </c>
      <c r="D3618" s="47" t="n">
        <v>38519</v>
      </c>
      <c r="E3618" s="48">
        <f>"RNCP"&amp;D3618</f>
        <v/>
      </c>
      <c r="F3618" s="48" t="inlineStr">
        <is>
          <t>Responsable paie et audit social</t>
        </is>
      </c>
      <c r="G3618" s="49">
        <f>E3618&amp;" - "&amp;F3618</f>
        <v/>
      </c>
      <c r="H3618" s="36" t="inlineStr">
        <is>
          <t>RAS</t>
        </is>
      </c>
      <c r="I3618" s="45" t="inlineStr"/>
      <c r="J3618" s="45" t="inlineStr">
        <is>
          <t>RNCP38519</t>
        </is>
      </c>
      <c r="K3618" s="45" t="inlineStr">
        <is>
          <t>Responsable paie et audit social</t>
        </is>
      </c>
      <c r="L3618" s="45" t="inlineStr">
        <is>
          <t>31/12/2030</t>
        </is>
      </c>
      <c r="M3618" s="45" t="inlineStr"/>
      <c r="N3618" s="50" t="inlineStr">
        <is>
          <t>NON</t>
        </is>
      </c>
      <c r="O3618" s="45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31/12/2030</t>
        </is>
      </c>
      <c r="M3619" s="45" t="inlineStr"/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31/12/2030</t>
        </is>
      </c>
      <c r="M3620" s="45" t="inlineStr"/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31/12/2030</t>
        </is>
      </c>
      <c r="M3621" s="45" t="inlineStr"/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31/12/2030</t>
        </is>
      </c>
      <c r="M3622" s="45" t="inlineStr"/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31/12/2030</t>
        </is>
      </c>
      <c r="M3623" s="45" t="inlineStr"/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31/12/2030</t>
        </is>
      </c>
      <c r="M3624" s="45" t="inlineStr"/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31/12/2030</t>
        </is>
      </c>
      <c r="M3625" s="45" t="inlineStr"/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31/12/2030</t>
        </is>
      </c>
      <c r="M3626" s="45" t="inlineStr"/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31/12/2030</t>
        </is>
      </c>
      <c r="M3627" s="45" t="inlineStr"/>
      <c r="N3627" s="50" t="inlineStr">
        <is>
          <t>NON</t>
        </is>
      </c>
      <c r="O3627" s="45" t="inlineStr"/>
    </row>
    <row r="3628" customFormat="1" s="3">
      <c r="A3628" s="45" t="n"/>
      <c r="B3628" s="46" t="inlineStr">
        <is>
          <t>33036</t>
        </is>
      </c>
      <c r="C3628" s="46">
        <f>LEFT(Tableau1[[#This Row],[Formacode]],3)</f>
        <v/>
      </c>
      <c r="D3628" s="47" t="n">
        <v>35604</v>
      </c>
      <c r="E3628" s="48">
        <f>"RNCP"&amp;D3628</f>
        <v/>
      </c>
      <c r="F3628" s="48" t="inlineStr">
        <is>
          <t>Manager du développement des ressources humaines</t>
        </is>
      </c>
      <c r="G3628" s="49">
        <f>E3628&amp;" - "&amp;F3628</f>
        <v/>
      </c>
      <c r="H3628" s="36" t="inlineStr">
        <is>
          <t>RAS</t>
        </is>
      </c>
      <c r="I3628" s="45" t="inlineStr"/>
      <c r="J3628" s="45" t="inlineStr">
        <is>
          <t>RNCP35604</t>
        </is>
      </c>
      <c r="K3628" s="45" t="inlineStr">
        <is>
          <t>Manager du développement des ressources humaines</t>
        </is>
      </c>
      <c r="L3628" s="45" t="inlineStr">
        <is>
          <t>31/12/2030</t>
        </is>
      </c>
      <c r="M3628" s="45" t="inlineStr"/>
      <c r="N3628" s="50" t="inlineStr">
        <is>
          <t>NON</t>
        </is>
      </c>
      <c r="O3628" s="45" t="inlineStr"/>
    </row>
    <row r="3629" customFormat="1" s="3">
      <c r="A3629" s="45" t="n"/>
      <c r="B3629" s="46" t="inlineStr">
        <is>
          <t>33036</t>
        </is>
      </c>
      <c r="C3629" s="46">
        <f>LEFT(Tableau1[[#This Row],[Formacode]],3)</f>
        <v/>
      </c>
      <c r="D3629" s="47" t="n">
        <v>35878</v>
      </c>
      <c r="E3629" s="48">
        <f>"RNCP"&amp;D3629</f>
        <v/>
      </c>
      <c r="F3629" s="48" t="inlineStr">
        <is>
          <t>Chargé des ressources humaines</t>
        </is>
      </c>
      <c r="G3629" s="49">
        <f>E3629&amp;" - "&amp;F3629</f>
        <v/>
      </c>
      <c r="H3629" s="36" t="inlineStr">
        <is>
          <t>RAS</t>
        </is>
      </c>
      <c r="I3629" s="45" t="inlineStr"/>
      <c r="J3629" s="45" t="inlineStr">
        <is>
          <t>RNCP35878</t>
        </is>
      </c>
      <c r="K3629" s="45" t="inlineStr">
        <is>
          <t>Chargé des ressources humaines</t>
        </is>
      </c>
      <c r="L3629" s="45" t="inlineStr">
        <is>
          <t>31/12/2030</t>
        </is>
      </c>
      <c r="M3629" s="45" t="inlineStr"/>
      <c r="N3629" s="50" t="inlineStr">
        <is>
          <t>NON</t>
        </is>
      </c>
      <c r="O3629" s="45" t="inlineStr"/>
    </row>
    <row r="3630" customFormat="1" s="3">
      <c r="A3630" s="45" t="n"/>
      <c r="B3630" s="46" t="inlineStr">
        <is>
          <t>33036</t>
        </is>
      </c>
      <c r="C3630" s="46">
        <f>LEFT(Tableau1[[#This Row],[Formacode]],3)</f>
        <v/>
      </c>
      <c r="D3630" s="47" t="n">
        <v>36143</v>
      </c>
      <c r="E3630" s="48">
        <f>"RNCP"&amp;D3630</f>
        <v/>
      </c>
      <c r="F3630" s="48" t="inlineStr">
        <is>
          <t>Chargé des ressources humaines</t>
        </is>
      </c>
      <c r="G3630" s="49">
        <f>E3630&amp;" - "&amp;F3630</f>
        <v/>
      </c>
      <c r="H3630" s="36" t="inlineStr">
        <is>
          <t>RAS</t>
        </is>
      </c>
      <c r="I3630" s="45" t="inlineStr"/>
      <c r="J3630" s="45" t="inlineStr">
        <is>
          <t>RNCP36143</t>
        </is>
      </c>
      <c r="K3630" s="45" t="inlineStr">
        <is>
          <t>Chargé des ressources humaines</t>
        </is>
      </c>
      <c r="L3630" s="45" t="inlineStr">
        <is>
          <t>31/12/2030</t>
        </is>
      </c>
      <c r="M3630" s="45" t="inlineStr"/>
      <c r="N3630" s="50" t="inlineStr">
        <is>
          <t>NON</t>
        </is>
      </c>
      <c r="O3630" s="45" t="inlineStr"/>
    </row>
    <row r="3631" customFormat="1" s="3">
      <c r="A3631" s="45" t="n"/>
      <c r="B3631" s="46" t="inlineStr">
        <is>
          <t>33036</t>
        </is>
      </c>
      <c r="C3631" s="46">
        <f>LEFT(Tableau1[[#This Row],[Formacode]],3)</f>
        <v/>
      </c>
      <c r="D3631" s="47" t="n">
        <v>37851</v>
      </c>
      <c r="E3631" s="48">
        <f>"RNCP"&amp;D3631</f>
        <v/>
      </c>
      <c r="F3631" s="48" t="inlineStr">
        <is>
          <t>Manager des ressources humaines</t>
        </is>
      </c>
      <c r="G3631" s="49">
        <f>E3631&amp;" - "&amp;F3631</f>
        <v/>
      </c>
      <c r="H3631" s="36" t="inlineStr">
        <is>
          <t>RAS</t>
        </is>
      </c>
      <c r="I3631" s="45" t="inlineStr"/>
      <c r="J3631" s="45" t="inlineStr">
        <is>
          <t>RNCP37851</t>
        </is>
      </c>
      <c r="K3631" s="45" t="inlineStr">
        <is>
          <t>Manager des ressources humaines</t>
        </is>
      </c>
      <c r="L3631" s="45" t="inlineStr">
        <is>
          <t>31/12/2030</t>
        </is>
      </c>
      <c r="M3631" s="45" t="inlineStr"/>
      <c r="N3631" s="50" t="inlineStr">
        <is>
          <t>NON</t>
        </is>
      </c>
      <c r="O3631" s="45" t="inlineStr"/>
    </row>
    <row r="3632" customFormat="1" s="3">
      <c r="A3632" s="45" t="n"/>
      <c r="B3632" s="46" t="inlineStr">
        <is>
          <t>33036</t>
        </is>
      </c>
      <c r="C3632" s="46">
        <f>LEFT(Tableau1[[#This Row],[Formacode]],3)</f>
        <v/>
      </c>
      <c r="D3632" s="47" t="n">
        <v>38241</v>
      </c>
      <c r="E3632" s="48">
        <f>"RNCP"&amp;D3632</f>
        <v/>
      </c>
      <c r="F3632" s="48" t="inlineStr">
        <is>
          <t>CQP Chargé de ressources humaines</t>
        </is>
      </c>
      <c r="G3632" s="49">
        <f>E3632&amp;" - "&amp;F3632</f>
        <v/>
      </c>
      <c r="H3632" s="36" t="inlineStr">
        <is>
          <t>RAS</t>
        </is>
      </c>
      <c r="I3632" s="45" t="inlineStr"/>
      <c r="J3632" s="45" t="inlineStr">
        <is>
          <t>RNCP38241</t>
        </is>
      </c>
      <c r="K3632" s="45" t="inlineStr">
        <is>
          <t>CQP Chargé de ressources humaines</t>
        </is>
      </c>
      <c r="L3632" s="45" t="inlineStr">
        <is>
          <t>31/12/2030</t>
        </is>
      </c>
      <c r="M3632" s="45" t="inlineStr"/>
      <c r="N3632" s="50" t="inlineStr">
        <is>
          <t>NON</t>
        </is>
      </c>
      <c r="O3632" s="45" t="inlineStr"/>
    </row>
    <row r="3633" customFormat="1" s="3">
      <c r="A3633" s="45" t="n"/>
      <c r="B3633" s="46" t="inlineStr">
        <is>
          <t>33036</t>
        </is>
      </c>
      <c r="C3633" s="46">
        <f>LEFT(Tableau1[[#This Row],[Formacode]],3)</f>
        <v/>
      </c>
      <c r="D3633" s="47" t="n">
        <v>38438</v>
      </c>
      <c r="E3633" s="48">
        <f>"RNCP"&amp;D3633</f>
        <v/>
      </c>
      <c r="F3633" s="48" t="inlineStr">
        <is>
          <t>Chargé de développement des ressources humaines</t>
        </is>
      </c>
      <c r="G3633" s="49">
        <f>E3633&amp;" - "&amp;F3633</f>
        <v/>
      </c>
      <c r="H3633" s="36" t="inlineStr">
        <is>
          <t>RAS</t>
        </is>
      </c>
      <c r="I3633" s="45" t="inlineStr"/>
      <c r="J3633" s="45" t="inlineStr">
        <is>
          <t>RNCP38438</t>
        </is>
      </c>
      <c r="K3633" s="45" t="inlineStr">
        <is>
          <t>Chargé de développement des ressources humaines</t>
        </is>
      </c>
      <c r="L3633" s="45" t="inlineStr">
        <is>
          <t>31/12/2030</t>
        </is>
      </c>
      <c r="M3633" s="45" t="inlineStr"/>
      <c r="N3633" s="50" t="inlineStr">
        <is>
          <t>NON</t>
        </is>
      </c>
      <c r="O3633" s="45" t="inlineStr"/>
    </row>
    <row r="3634" customFormat="1" s="3">
      <c r="A3634" s="45" t="n"/>
      <c r="B3634" s="46" t="inlineStr">
        <is>
          <t>33036</t>
        </is>
      </c>
      <c r="C3634" s="46">
        <f>LEFT(Tableau1[[#This Row],[Formacode]],3)</f>
        <v/>
      </c>
      <c r="D3634" s="47" t="n">
        <v>38460</v>
      </c>
      <c r="E3634" s="48">
        <f>"RNCP"&amp;D3634</f>
        <v/>
      </c>
      <c r="F3634" s="48" t="inlineStr">
        <is>
          <t>Manager en ressources humaines</t>
        </is>
      </c>
      <c r="G3634" s="49">
        <f>E3634&amp;" - "&amp;F3634</f>
        <v/>
      </c>
      <c r="H3634" s="36" t="inlineStr">
        <is>
          <t>RAS</t>
        </is>
      </c>
      <c r="I3634" s="45" t="inlineStr"/>
      <c r="J3634" s="45" t="inlineStr">
        <is>
          <t>RNCP38460</t>
        </is>
      </c>
      <c r="K3634" s="45" t="inlineStr">
        <is>
          <t>Manager en ressources humaines</t>
        </is>
      </c>
      <c r="L3634" s="45" t="inlineStr">
        <is>
          <t>31/12/2030</t>
        </is>
      </c>
      <c r="M3634" s="45" t="inlineStr"/>
      <c r="N3634" s="50" t="inlineStr">
        <is>
          <t>NON</t>
        </is>
      </c>
      <c r="O3634" s="45" t="inlineStr"/>
    </row>
    <row r="3635" customFormat="1" s="3">
      <c r="A3635" s="45" t="n"/>
      <c r="B3635" s="46" t="inlineStr">
        <is>
          <t>33036</t>
        </is>
      </c>
      <c r="C3635" s="46">
        <f>LEFT(Tableau1[[#This Row],[Formacode]],3)</f>
        <v/>
      </c>
      <c r="D3635" s="47" t="n">
        <v>38489</v>
      </c>
      <c r="E3635" s="48">
        <f>"RNCP"&amp;D3635</f>
        <v/>
      </c>
      <c r="F3635" s="48" t="inlineStr">
        <is>
          <t>Manager des ressources humaines</t>
        </is>
      </c>
      <c r="G3635" s="49">
        <f>E3635&amp;" - "&amp;F3635</f>
        <v/>
      </c>
      <c r="H3635" s="36" t="inlineStr">
        <is>
          <t>RAS</t>
        </is>
      </c>
      <c r="I3635" s="45" t="inlineStr"/>
      <c r="J3635" s="45" t="inlineStr">
        <is>
          <t>RNCP38489</t>
        </is>
      </c>
      <c r="K3635" s="45" t="inlineStr">
        <is>
          <t>Manager des ressources humaines</t>
        </is>
      </c>
      <c r="L3635" s="45" t="inlineStr">
        <is>
          <t>31/12/2030</t>
        </is>
      </c>
      <c r="M3635" s="45" t="inlineStr"/>
      <c r="N3635" s="50" t="inlineStr">
        <is>
          <t>NON</t>
        </is>
      </c>
      <c r="O3635" s="45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31/12/2030</t>
        </is>
      </c>
      <c r="M3636" s="45" t="inlineStr"/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31/12/2030</t>
        </is>
      </c>
      <c r="M3637" s="45" t="inlineStr"/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31/12/2030</t>
        </is>
      </c>
      <c r="M3638" s="45" t="inlineStr"/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31/12/2030</t>
        </is>
      </c>
      <c r="M3639" s="45" t="inlineStr"/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31/12/2030</t>
        </is>
      </c>
      <c r="M3640" s="45" t="inlineStr"/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31/12/2030</t>
        </is>
      </c>
      <c r="M3641" s="45" t="inlineStr"/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31/12/2030</t>
        </is>
      </c>
      <c r="M3642" s="45" t="inlineStr"/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31/12/2030</t>
        </is>
      </c>
      <c r="M3643" s="45" t="inlineStr"/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31/12/2030</t>
        </is>
      </c>
      <c r="M3644" s="45" t="inlineStr"/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31/12/2030</t>
        </is>
      </c>
      <c r="M3645" s="45" t="inlineStr"/>
      <c r="N3645" s="50" t="inlineStr">
        <is>
          <t>NON</t>
        </is>
      </c>
      <c r="O3645" s="45" t="inlineStr"/>
    </row>
    <row r="3646" customFormat="1" s="3">
      <c r="A3646" s="45" t="n"/>
      <c r="B3646" s="46" t="inlineStr">
        <is>
          <t>33047</t>
        </is>
      </c>
      <c r="C3646" s="46">
        <f>LEFT(Tableau1[[#This Row],[Formacode]],3)</f>
        <v/>
      </c>
      <c r="D3646" s="47" t="n">
        <v>35604</v>
      </c>
      <c r="E3646" s="48">
        <f>"RNCP"&amp;D3646</f>
        <v/>
      </c>
      <c r="F3646" s="48" t="inlineStr">
        <is>
          <t>Manager du développement des ressources humaines</t>
        </is>
      </c>
      <c r="G3646" s="49">
        <f>E3646&amp;" - "&amp;F3646</f>
        <v/>
      </c>
      <c r="H3646" s="36" t="inlineStr">
        <is>
          <t>RAS</t>
        </is>
      </c>
      <c r="I3646" s="45" t="inlineStr"/>
      <c r="J3646" s="45" t="inlineStr">
        <is>
          <t>RNCP35604</t>
        </is>
      </c>
      <c r="K3646" s="45" t="inlineStr">
        <is>
          <t>Manager du développement des ressources humaines</t>
        </is>
      </c>
      <c r="L3646" s="45" t="inlineStr">
        <is>
          <t>31/12/2030</t>
        </is>
      </c>
      <c r="M3646" s="45" t="inlineStr"/>
      <c r="N3646" s="50" t="inlineStr">
        <is>
          <t>NON</t>
        </is>
      </c>
      <c r="O3646" s="45" t="inlineStr"/>
    </row>
    <row r="3647" customFormat="1" s="3">
      <c r="A3647" s="45" t="n"/>
      <c r="B3647" s="46" t="inlineStr">
        <is>
          <t>33047</t>
        </is>
      </c>
      <c r="C3647" s="46">
        <f>LEFT(Tableau1[[#This Row],[Formacode]],3)</f>
        <v/>
      </c>
      <c r="D3647" s="47" t="n">
        <v>35878</v>
      </c>
      <c r="E3647" s="48">
        <f>"RNCP"&amp;D3647</f>
        <v/>
      </c>
      <c r="F3647" s="48" t="inlineStr">
        <is>
          <t>Chargé des ressources humaines</t>
        </is>
      </c>
      <c r="G3647" s="49">
        <f>E3647&amp;" - "&amp;F3647</f>
        <v/>
      </c>
      <c r="H3647" s="36" t="inlineStr">
        <is>
          <t>RAS</t>
        </is>
      </c>
      <c r="I3647" s="45" t="inlineStr"/>
      <c r="J3647" s="45" t="inlineStr">
        <is>
          <t>RNCP35878</t>
        </is>
      </c>
      <c r="K3647" s="45" t="inlineStr">
        <is>
          <t>Chargé des ressources humaines</t>
        </is>
      </c>
      <c r="L3647" s="45" t="inlineStr">
        <is>
          <t>31/12/2030</t>
        </is>
      </c>
      <c r="M3647" s="45" t="inlineStr"/>
      <c r="N3647" s="50" t="inlineStr">
        <is>
          <t>NON</t>
        </is>
      </c>
      <c r="O3647" s="45" t="inlineStr"/>
    </row>
    <row r="3648" customFormat="1" s="3">
      <c r="A3648" s="45" t="n"/>
      <c r="B3648" s="46" t="inlineStr">
        <is>
          <t>33047</t>
        </is>
      </c>
      <c r="C3648" s="46">
        <f>LEFT(Tableau1[[#This Row],[Formacode]],3)</f>
        <v/>
      </c>
      <c r="D3648" s="47" t="n">
        <v>36143</v>
      </c>
      <c r="E3648" s="48">
        <f>"RNCP"&amp;D3648</f>
        <v/>
      </c>
      <c r="F3648" s="48" t="inlineStr">
        <is>
          <t>Chargé des ressources humaines</t>
        </is>
      </c>
      <c r="G3648" s="49">
        <f>E3648&amp;" - "&amp;F3648</f>
        <v/>
      </c>
      <c r="H3648" s="36" t="inlineStr">
        <is>
          <t>RAS</t>
        </is>
      </c>
      <c r="I3648" s="45" t="inlineStr"/>
      <c r="J3648" s="45" t="inlineStr">
        <is>
          <t>RNCP36143</t>
        </is>
      </c>
      <c r="K3648" s="45" t="inlineStr">
        <is>
          <t>Chargé des ressources humaines</t>
        </is>
      </c>
      <c r="L3648" s="45" t="inlineStr">
        <is>
          <t>31/12/2030</t>
        </is>
      </c>
      <c r="M3648" s="45" t="inlineStr"/>
      <c r="N3648" s="50" t="inlineStr">
        <is>
          <t>NON</t>
        </is>
      </c>
      <c r="O3648" s="45" t="inlineStr"/>
    </row>
    <row r="3649" customFormat="1" s="3">
      <c r="A3649" s="45" t="n"/>
      <c r="B3649" s="46" t="inlineStr">
        <is>
          <t>33047</t>
        </is>
      </c>
      <c r="C3649" s="46">
        <f>LEFT(Tableau1[[#This Row],[Formacode]],3)</f>
        <v/>
      </c>
      <c r="D3649" s="47" t="n">
        <v>37748</v>
      </c>
      <c r="E3649" s="48">
        <f>"RNCP"&amp;D3649</f>
        <v/>
      </c>
      <c r="F3649" s="48" t="inlineStr">
        <is>
          <t>Manager des ressources humaines</t>
        </is>
      </c>
      <c r="G3649" s="49">
        <f>E3649&amp;" - "&amp;F3649</f>
        <v/>
      </c>
      <c r="H3649" s="36" t="inlineStr">
        <is>
          <t>RAS</t>
        </is>
      </c>
      <c r="I3649" s="45" t="inlineStr"/>
      <c r="J3649" s="45" t="inlineStr">
        <is>
          <t>RNCP37748</t>
        </is>
      </c>
      <c r="K3649" s="45" t="inlineStr">
        <is>
          <t>Manager des ressources humaines</t>
        </is>
      </c>
      <c r="L3649" s="45" t="inlineStr">
        <is>
          <t>31/12/2030</t>
        </is>
      </c>
      <c r="M3649" s="45" t="inlineStr"/>
      <c r="N3649" s="50" t="inlineStr">
        <is>
          <t>NON</t>
        </is>
      </c>
      <c r="O3649" s="45" t="inlineStr"/>
    </row>
    <row r="3650" customFormat="1" s="3">
      <c r="A3650" s="45" t="n"/>
      <c r="B3650" s="46" t="inlineStr">
        <is>
          <t>33047</t>
        </is>
      </c>
      <c r="C3650" s="46">
        <f>LEFT(Tableau1[[#This Row],[Formacode]],3)</f>
        <v/>
      </c>
      <c r="D3650" s="47" t="n">
        <v>37851</v>
      </c>
      <c r="E3650" s="48">
        <f>"RNCP"&amp;D3650</f>
        <v/>
      </c>
      <c r="F3650" s="48" t="inlineStr">
        <is>
          <t>Manager des ressources humaines</t>
        </is>
      </c>
      <c r="G3650" s="49">
        <f>E3650&amp;" - "&amp;F3650</f>
        <v/>
      </c>
      <c r="H3650" s="36" t="inlineStr">
        <is>
          <t>RAS</t>
        </is>
      </c>
      <c r="I3650" s="45" t="inlineStr"/>
      <c r="J3650" s="45" t="inlineStr">
        <is>
          <t>RNCP37851</t>
        </is>
      </c>
      <c r="K3650" s="45" t="inlineStr">
        <is>
          <t>Manager des ressources humaines</t>
        </is>
      </c>
      <c r="L3650" s="45" t="inlineStr">
        <is>
          <t>31/12/2030</t>
        </is>
      </c>
      <c r="M3650" s="45" t="inlineStr"/>
      <c r="N3650" s="50" t="inlineStr">
        <is>
          <t>NON</t>
        </is>
      </c>
      <c r="O3650" s="45" t="inlineStr"/>
    </row>
    <row r="3651" customFormat="1" s="3">
      <c r="A3651" s="45" t="n"/>
      <c r="B3651" s="46" t="inlineStr">
        <is>
          <t>33047</t>
        </is>
      </c>
      <c r="C3651" s="46">
        <f>LEFT(Tableau1[[#This Row],[Formacode]],3)</f>
        <v/>
      </c>
      <c r="D3651" s="47" t="n">
        <v>38241</v>
      </c>
      <c r="E3651" s="48">
        <f>"RNCP"&amp;D3651</f>
        <v/>
      </c>
      <c r="F3651" s="48" t="inlineStr">
        <is>
          <t>CQP Chargé de ressources humaines</t>
        </is>
      </c>
      <c r="G3651" s="49">
        <f>E3651&amp;" - "&amp;F3651</f>
        <v/>
      </c>
      <c r="H3651" s="36" t="inlineStr">
        <is>
          <t>RAS</t>
        </is>
      </c>
      <c r="I3651" s="45" t="inlineStr"/>
      <c r="J3651" s="45" t="inlineStr">
        <is>
          <t>RNCP38241</t>
        </is>
      </c>
      <c r="K3651" s="45" t="inlineStr">
        <is>
          <t>CQP Chargé de ressources humaines</t>
        </is>
      </c>
      <c r="L3651" s="45" t="inlineStr">
        <is>
          <t>31/12/2030</t>
        </is>
      </c>
      <c r="M3651" s="45" t="inlineStr"/>
      <c r="N3651" s="50" t="inlineStr">
        <is>
          <t>NON</t>
        </is>
      </c>
      <c r="O3651" s="45" t="inlineStr"/>
    </row>
    <row r="3652" customFormat="1" s="3">
      <c r="A3652" s="45" t="n"/>
      <c r="B3652" s="46" t="inlineStr">
        <is>
          <t>33047</t>
        </is>
      </c>
      <c r="C3652" s="46">
        <f>LEFT(Tableau1[[#This Row],[Formacode]],3)</f>
        <v/>
      </c>
      <c r="D3652" s="47" t="n">
        <v>38460</v>
      </c>
      <c r="E3652" s="48">
        <f>"RNCP"&amp;D3652</f>
        <v/>
      </c>
      <c r="F3652" s="48" t="inlineStr">
        <is>
          <t>Manager en ressources humaines</t>
        </is>
      </c>
      <c r="G3652" s="49">
        <f>E3652&amp;" - "&amp;F3652</f>
        <v/>
      </c>
      <c r="H3652" s="36" t="inlineStr">
        <is>
          <t>RAS</t>
        </is>
      </c>
      <c r="I3652" s="45" t="inlineStr"/>
      <c r="J3652" s="45" t="inlineStr">
        <is>
          <t>RNCP38460</t>
        </is>
      </c>
      <c r="K3652" s="45" t="inlineStr">
        <is>
          <t>Manager en ressources humaines</t>
        </is>
      </c>
      <c r="L3652" s="45" t="inlineStr">
        <is>
          <t>31/12/2030</t>
        </is>
      </c>
      <c r="M3652" s="45" t="inlineStr"/>
      <c r="N3652" s="50" t="inlineStr">
        <is>
          <t>NON</t>
        </is>
      </c>
      <c r="O3652" s="45" t="inlineStr"/>
    </row>
    <row r="3653" customFormat="1" s="3">
      <c r="A3653" s="45" t="n"/>
      <c r="B3653" s="46" t="inlineStr">
        <is>
          <t>33047</t>
        </is>
      </c>
      <c r="C3653" s="46">
        <f>LEFT(Tableau1[[#This Row],[Formacode]],3)</f>
        <v/>
      </c>
      <c r="D3653" s="47" t="n">
        <v>38489</v>
      </c>
      <c r="E3653" s="48">
        <f>"RNCP"&amp;D3653</f>
        <v/>
      </c>
      <c r="F3653" s="48" t="inlineStr">
        <is>
          <t>Manager des ressources humaines</t>
        </is>
      </c>
      <c r="G3653" s="49">
        <f>E3653&amp;" - "&amp;F3653</f>
        <v/>
      </c>
      <c r="H3653" s="36" t="inlineStr">
        <is>
          <t>RAS</t>
        </is>
      </c>
      <c r="I3653" s="45" t="inlineStr"/>
      <c r="J3653" s="45" t="inlineStr">
        <is>
          <t>RNCP38489</t>
        </is>
      </c>
      <c r="K3653" s="45" t="inlineStr">
        <is>
          <t>Manager des ressources humaines</t>
        </is>
      </c>
      <c r="L3653" s="45" t="inlineStr">
        <is>
          <t>31/12/2030</t>
        </is>
      </c>
      <c r="M3653" s="45" t="inlineStr"/>
      <c r="N3653" s="50" t="inlineStr">
        <is>
          <t>NON</t>
        </is>
      </c>
      <c r="O3653" s="45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31/12/2030</t>
        </is>
      </c>
      <c r="M3654" s="45" t="inlineStr"/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31/12/2030</t>
        </is>
      </c>
      <c r="M3655" s="45" t="inlineStr"/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31/12/2030</t>
        </is>
      </c>
      <c r="M3656" s="45" t="inlineStr"/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31/12/2030</t>
        </is>
      </c>
      <c r="M3657" s="45" t="inlineStr"/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31/12/2030</t>
        </is>
      </c>
      <c r="M3658" s="45" t="inlineStr"/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31/12/2030</t>
        </is>
      </c>
      <c r="M3659" s="45" t="inlineStr"/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31/12/2030</t>
        </is>
      </c>
      <c r="M3660" s="45" t="inlineStr"/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31/12/2030</t>
        </is>
      </c>
      <c r="M3661" s="45" t="inlineStr"/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31/12/2030</t>
        </is>
      </c>
      <c r="M3662" s="45" t="inlineStr"/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31/12/2030</t>
        </is>
      </c>
      <c r="M3663" s="45" t="inlineStr"/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31/12/2030</t>
        </is>
      </c>
      <c r="M3664" s="45" t="inlineStr"/>
      <c r="N3664" s="50" t="inlineStr">
        <is>
          <t>NON</t>
        </is>
      </c>
      <c r="O3664" s="45" t="inlineStr"/>
    </row>
    <row r="3665" customFormat="1" s="3">
      <c r="A3665" s="45" t="n"/>
      <c r="B3665" s="46" t="inlineStr">
        <is>
          <t>33052</t>
        </is>
      </c>
      <c r="C3665" s="46">
        <f>LEFT(Tableau1[[#This Row],[Formacode]],3)</f>
        <v/>
      </c>
      <c r="D3665" s="47" t="n">
        <v>35604</v>
      </c>
      <c r="E3665" s="48">
        <f>"RNCP"&amp;D3665</f>
        <v/>
      </c>
      <c r="F3665" s="48" t="inlineStr">
        <is>
          <t>Manager du développement des ressources humaines</t>
        </is>
      </c>
      <c r="G3665" s="49">
        <f>E3665&amp;" - "&amp;F3665</f>
        <v/>
      </c>
      <c r="H3665" s="36" t="inlineStr">
        <is>
          <t>RAS</t>
        </is>
      </c>
      <c r="I3665" s="45" t="inlineStr"/>
      <c r="J3665" s="45" t="inlineStr">
        <is>
          <t>RNCP35604</t>
        </is>
      </c>
      <c r="K3665" s="45" t="inlineStr">
        <is>
          <t>Manager du développement des ressources humaines</t>
        </is>
      </c>
      <c r="L3665" s="45" t="inlineStr">
        <is>
          <t>31/12/2030</t>
        </is>
      </c>
      <c r="M3665" s="45" t="inlineStr"/>
      <c r="N3665" s="50" t="inlineStr">
        <is>
          <t>NON</t>
        </is>
      </c>
      <c r="O3665" s="45" t="inlineStr"/>
    </row>
    <row r="3666" customFormat="1" s="3">
      <c r="A3666" s="45" t="n"/>
      <c r="B3666" s="46" t="inlineStr">
        <is>
          <t>33052</t>
        </is>
      </c>
      <c r="C3666" s="46">
        <f>LEFT(Tableau1[[#This Row],[Formacode]],3)</f>
        <v/>
      </c>
      <c r="D3666" s="47" t="n">
        <v>35750</v>
      </c>
      <c r="E3666" s="48">
        <f>"RNCP"&amp;D3666</f>
        <v/>
      </c>
      <c r="F3666" s="48" t="inlineStr">
        <is>
          <t>Gestionnaire de Paie</t>
        </is>
      </c>
      <c r="G3666" s="49">
        <f>E3666&amp;" - "&amp;F3666</f>
        <v/>
      </c>
      <c r="H3666" s="36" t="inlineStr">
        <is>
          <t>RAS</t>
        </is>
      </c>
      <c r="I3666" s="45" t="inlineStr"/>
      <c r="J3666" s="45" t="inlineStr">
        <is>
          <t>RNCP35750</t>
        </is>
      </c>
      <c r="K3666" s="45" t="inlineStr">
        <is>
          <t>Gestionnaire de Paie</t>
        </is>
      </c>
      <c r="L3666" s="45" t="inlineStr">
        <is>
          <t>31/12/2030</t>
        </is>
      </c>
      <c r="M3666" s="45" t="inlineStr"/>
      <c r="N3666" s="50" t="inlineStr">
        <is>
          <t>NON</t>
        </is>
      </c>
      <c r="O3666" s="45" t="inlineStr"/>
    </row>
    <row r="3667" customFormat="1" s="3">
      <c r="A3667" s="45" t="n"/>
      <c r="B3667" s="46" t="inlineStr">
        <is>
          <t>33052</t>
        </is>
      </c>
      <c r="C3667" s="46">
        <f>LEFT(Tableau1[[#This Row],[Formacode]],3)</f>
        <v/>
      </c>
      <c r="D3667" s="47" t="n">
        <v>35767</v>
      </c>
      <c r="E3667" s="48">
        <f>"RNCP"&amp;D3667</f>
        <v/>
      </c>
      <c r="F3667" s="48" t="inlineStr">
        <is>
          <t>Chargé de recrutement</t>
        </is>
      </c>
      <c r="G3667" s="49">
        <f>E3667&amp;" - "&amp;F3667</f>
        <v/>
      </c>
      <c r="H3667" s="36" t="inlineStr">
        <is>
          <t>RAS</t>
        </is>
      </c>
      <c r="I3667" s="45" t="inlineStr"/>
      <c r="J3667" s="45" t="inlineStr">
        <is>
          <t>RNCP35767</t>
        </is>
      </c>
      <c r="K3667" s="45" t="inlineStr">
        <is>
          <t>Chargé de recrutement</t>
        </is>
      </c>
      <c r="L3667" s="45" t="inlineStr">
        <is>
          <t>31/12/2030</t>
        </is>
      </c>
      <c r="M3667" s="45" t="inlineStr"/>
      <c r="N3667" s="50" t="inlineStr">
        <is>
          <t>NON</t>
        </is>
      </c>
      <c r="O3667" s="45" t="inlineStr"/>
    </row>
    <row r="3668" customFormat="1" s="3">
      <c r="A3668" s="45" t="n"/>
      <c r="B3668" s="46" t="inlineStr">
        <is>
          <t>33052</t>
        </is>
      </c>
      <c r="C3668" s="46">
        <f>LEFT(Tableau1[[#This Row],[Formacode]],3)</f>
        <v/>
      </c>
      <c r="D3668" s="47" t="n">
        <v>35878</v>
      </c>
      <c r="E3668" s="48">
        <f>"RNCP"&amp;D3668</f>
        <v/>
      </c>
      <c r="F3668" s="48" t="inlineStr">
        <is>
          <t>Chargé des ressources humaines</t>
        </is>
      </c>
      <c r="G3668" s="49">
        <f>E3668&amp;" - "&amp;F3668</f>
        <v/>
      </c>
      <c r="H3668" s="36" t="inlineStr">
        <is>
          <t>RAS</t>
        </is>
      </c>
      <c r="I3668" s="45" t="inlineStr"/>
      <c r="J3668" s="45" t="inlineStr">
        <is>
          <t>RNCP35878</t>
        </is>
      </c>
      <c r="K3668" s="45" t="inlineStr">
        <is>
          <t>Chargé des ressources humaines</t>
        </is>
      </c>
      <c r="L3668" s="45" t="inlineStr">
        <is>
          <t>31/12/2030</t>
        </is>
      </c>
      <c r="M3668" s="45" t="inlineStr"/>
      <c r="N3668" s="50" t="inlineStr">
        <is>
          <t>NON</t>
        </is>
      </c>
      <c r="O3668" s="45" t="inlineStr"/>
    </row>
    <row r="3669" customFormat="1" s="3">
      <c r="A3669" s="45" t="n"/>
      <c r="B3669" s="46" t="inlineStr">
        <is>
          <t>33052</t>
        </is>
      </c>
      <c r="C3669" s="46">
        <f>LEFT(Tableau1[[#This Row],[Formacode]],3)</f>
        <v/>
      </c>
      <c r="D3669" s="47" t="n">
        <v>36143</v>
      </c>
      <c r="E3669" s="48">
        <f>"RNCP"&amp;D3669</f>
        <v/>
      </c>
      <c r="F3669" s="48" t="inlineStr">
        <is>
          <t>Chargé des ressources humaines</t>
        </is>
      </c>
      <c r="G3669" s="49">
        <f>E3669&amp;" - "&amp;F3669</f>
        <v/>
      </c>
      <c r="H3669" s="36" t="inlineStr">
        <is>
          <t>RAS</t>
        </is>
      </c>
      <c r="I3669" s="45" t="inlineStr"/>
      <c r="J3669" s="45" t="inlineStr">
        <is>
          <t>RNCP36143</t>
        </is>
      </c>
      <c r="K3669" s="45" t="inlineStr">
        <is>
          <t>Chargé des ressources humaines</t>
        </is>
      </c>
      <c r="L3669" s="45" t="inlineStr">
        <is>
          <t>31/12/2030</t>
        </is>
      </c>
      <c r="M3669" s="45" t="inlineStr"/>
      <c r="N3669" s="50" t="inlineStr">
        <is>
          <t>NON</t>
        </is>
      </c>
      <c r="O3669" s="45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31/12/2030</t>
        </is>
      </c>
      <c r="M3670" s="45" t="inlineStr"/>
      <c r="N3670" s="50" t="inlineStr">
        <is>
          <t>NON</t>
        </is>
      </c>
      <c r="O3670" s="45" t="inlineStr"/>
    </row>
    <row r="3671" customFormat="1" s="3">
      <c r="A3671" s="45" t="n"/>
      <c r="B3671" s="46" t="inlineStr">
        <is>
          <t>33052</t>
        </is>
      </c>
      <c r="C3671" s="46">
        <f>LEFT(Tableau1[[#This Row],[Formacode]],3)</f>
        <v/>
      </c>
      <c r="D3671" s="47" t="n">
        <v>37748</v>
      </c>
      <c r="E3671" s="48">
        <f>"RNCP"&amp;D3671</f>
        <v/>
      </c>
      <c r="F3671" s="48" t="inlineStr">
        <is>
          <t>Manager des ressources humaines</t>
        </is>
      </c>
      <c r="G3671" s="49">
        <f>E3671&amp;" - "&amp;F3671</f>
        <v/>
      </c>
      <c r="H3671" s="36" t="inlineStr">
        <is>
          <t>RAS</t>
        </is>
      </c>
      <c r="I3671" s="45" t="inlineStr"/>
      <c r="J3671" s="45" t="inlineStr">
        <is>
          <t>RNCP37748</t>
        </is>
      </c>
      <c r="K3671" s="45" t="inlineStr">
        <is>
          <t>Manager des ressources humaines</t>
        </is>
      </c>
      <c r="L3671" s="45" t="inlineStr">
        <is>
          <t>31/12/2030</t>
        </is>
      </c>
      <c r="M3671" s="45" t="inlineStr"/>
      <c r="N3671" s="50" t="inlineStr">
        <is>
          <t>NON</t>
        </is>
      </c>
      <c r="O3671" s="45" t="inlineStr"/>
    </row>
    <row r="3672" customFormat="1" s="3">
      <c r="A3672" s="45" t="n"/>
      <c r="B3672" s="46" t="inlineStr">
        <is>
          <t>33052</t>
        </is>
      </c>
      <c r="C3672" s="46">
        <f>LEFT(Tableau1[[#This Row],[Formacode]],3)</f>
        <v/>
      </c>
      <c r="D3672" s="47" t="n">
        <v>37851</v>
      </c>
      <c r="E3672" s="48">
        <f>"RNCP"&amp;D3672</f>
        <v/>
      </c>
      <c r="F3672" s="48" t="inlineStr">
        <is>
          <t>Manager des ressources humaines</t>
        </is>
      </c>
      <c r="G3672" s="49">
        <f>E3672&amp;" - "&amp;F3672</f>
        <v/>
      </c>
      <c r="H3672" s="36" t="inlineStr">
        <is>
          <t>RAS</t>
        </is>
      </c>
      <c r="I3672" s="45" t="inlineStr"/>
      <c r="J3672" s="45" t="inlineStr">
        <is>
          <t>RNCP37851</t>
        </is>
      </c>
      <c r="K3672" s="45" t="inlineStr">
        <is>
          <t>Manager des ressources humaines</t>
        </is>
      </c>
      <c r="L3672" s="45" t="inlineStr">
        <is>
          <t>31/12/2030</t>
        </is>
      </c>
      <c r="M3672" s="45" t="inlineStr"/>
      <c r="N3672" s="50" t="inlineStr">
        <is>
          <t>NON</t>
        </is>
      </c>
      <c r="O3672" s="45" t="inlineStr"/>
    </row>
    <row r="3673" customFormat="1" s="3">
      <c r="A3673" s="45" t="n"/>
      <c r="B3673" s="46" t="inlineStr">
        <is>
          <t>33052</t>
        </is>
      </c>
      <c r="C3673" s="46">
        <f>LEFT(Tableau1[[#This Row],[Formacode]],3)</f>
        <v/>
      </c>
      <c r="D3673" s="47" t="n">
        <v>37998</v>
      </c>
      <c r="E3673" s="48">
        <f>"RNCP"&amp;D3673</f>
        <v/>
      </c>
      <c r="F3673" s="48" t="inlineStr">
        <is>
          <t>Responsable en rémunération globale et avantages sociaux</t>
        </is>
      </c>
      <c r="G3673" s="49">
        <f>E3673&amp;" - "&amp;F3673</f>
        <v/>
      </c>
      <c r="H3673" s="36" t="inlineStr">
        <is>
          <t>RAS</t>
        </is>
      </c>
      <c r="I3673" s="45" t="inlineStr"/>
      <c r="J3673" s="45" t="inlineStr">
        <is>
          <t>RNCP37998</t>
        </is>
      </c>
      <c r="K3673" s="45" t="inlineStr">
        <is>
          <t>Responsable en rémunération globale et avantages sociaux</t>
        </is>
      </c>
      <c r="L3673" s="45" t="inlineStr">
        <is>
          <t>31/12/2030</t>
        </is>
      </c>
      <c r="M3673" s="45" t="inlineStr"/>
      <c r="N3673" s="50" t="inlineStr">
        <is>
          <t>NON</t>
        </is>
      </c>
      <c r="O3673" s="45" t="inlineStr"/>
    </row>
    <row r="3674" customFormat="1" s="3">
      <c r="A3674" s="45" t="n"/>
      <c r="B3674" s="46" t="inlineStr">
        <is>
          <t>33052</t>
        </is>
      </c>
      <c r="C3674" s="46">
        <f>LEFT(Tableau1[[#This Row],[Formacode]],3)</f>
        <v/>
      </c>
      <c r="D3674" s="47" t="n">
        <v>38241</v>
      </c>
      <c r="E3674" s="48">
        <f>"RNCP"&amp;D3674</f>
        <v/>
      </c>
      <c r="F3674" s="48" t="inlineStr">
        <is>
          <t>CQP Chargé de ressources humaines</t>
        </is>
      </c>
      <c r="G3674" s="49">
        <f>E3674&amp;" - "&amp;F3674</f>
        <v/>
      </c>
      <c r="H3674" s="36" t="inlineStr">
        <is>
          <t>RAS</t>
        </is>
      </c>
      <c r="I3674" s="45" t="inlineStr"/>
      <c r="J3674" s="45" t="inlineStr">
        <is>
          <t>RNCP38241</t>
        </is>
      </c>
      <c r="K3674" s="45" t="inlineStr">
        <is>
          <t>CQP Chargé de ressources humaines</t>
        </is>
      </c>
      <c r="L3674" s="45" t="inlineStr">
        <is>
          <t>31/12/2030</t>
        </is>
      </c>
      <c r="M3674" s="45" t="inlineStr"/>
      <c r="N3674" s="50" t="inlineStr">
        <is>
          <t>NON</t>
        </is>
      </c>
      <c r="O3674" s="45" t="inlineStr"/>
    </row>
    <row r="3675" customFormat="1" s="3">
      <c r="A3675" s="45" t="n"/>
      <c r="B3675" s="46" t="inlineStr">
        <is>
          <t>33052</t>
        </is>
      </c>
      <c r="C3675" s="46">
        <f>LEFT(Tableau1[[#This Row],[Formacode]],3)</f>
        <v/>
      </c>
      <c r="D3675" s="47" t="n">
        <v>38438</v>
      </c>
      <c r="E3675" s="48">
        <f>"RNCP"&amp;D3675</f>
        <v/>
      </c>
      <c r="F3675" s="48" t="inlineStr">
        <is>
          <t>Chargé de développement des ressources humaines</t>
        </is>
      </c>
      <c r="G3675" s="49">
        <f>E3675&amp;" - "&amp;F3675</f>
        <v/>
      </c>
      <c r="H3675" s="36" t="inlineStr">
        <is>
          <t>RAS</t>
        </is>
      </c>
      <c r="I3675" s="45" t="inlineStr"/>
      <c r="J3675" s="45" t="inlineStr">
        <is>
          <t>RNCP38438</t>
        </is>
      </c>
      <c r="K3675" s="45" t="inlineStr">
        <is>
          <t>Chargé de développement des ressources humaines</t>
        </is>
      </c>
      <c r="L3675" s="45" t="inlineStr">
        <is>
          <t>31/12/2030</t>
        </is>
      </c>
      <c r="M3675" s="45" t="inlineStr"/>
      <c r="N3675" s="50" t="inlineStr">
        <is>
          <t>NON</t>
        </is>
      </c>
      <c r="O3675" s="45" t="inlineStr"/>
    </row>
    <row r="3676" customFormat="1" s="3">
      <c r="A3676" s="45" t="n"/>
      <c r="B3676" s="46" t="inlineStr">
        <is>
          <t>33052</t>
        </is>
      </c>
      <c r="C3676" s="46">
        <f>LEFT(Tableau1[[#This Row],[Formacode]],3)</f>
        <v/>
      </c>
      <c r="D3676" s="47" t="n">
        <v>38460</v>
      </c>
      <c r="E3676" s="48">
        <f>"RNCP"&amp;D3676</f>
        <v/>
      </c>
      <c r="F3676" s="48" t="inlineStr">
        <is>
          <t>Manager en ressources humaines</t>
        </is>
      </c>
      <c r="G3676" s="49">
        <f>E3676&amp;" - "&amp;F3676</f>
        <v/>
      </c>
      <c r="H3676" s="36" t="inlineStr">
        <is>
          <t>RAS</t>
        </is>
      </c>
      <c r="I3676" s="45" t="inlineStr"/>
      <c r="J3676" s="45" t="inlineStr">
        <is>
          <t>RNCP38460</t>
        </is>
      </c>
      <c r="K3676" s="45" t="inlineStr">
        <is>
          <t>Manager en ressources humaines</t>
        </is>
      </c>
      <c r="L3676" s="45" t="inlineStr">
        <is>
          <t>31/12/2030</t>
        </is>
      </c>
      <c r="M3676" s="45" t="inlineStr"/>
      <c r="N3676" s="50" t="inlineStr">
        <is>
          <t>NON</t>
        </is>
      </c>
      <c r="O3676" s="45" t="inlineStr"/>
    </row>
    <row r="3677" customFormat="1" s="3">
      <c r="A3677" s="45" t="n"/>
      <c r="B3677" s="46" t="inlineStr">
        <is>
          <t>33052</t>
        </is>
      </c>
      <c r="C3677" s="46">
        <f>LEFT(Tableau1[[#This Row],[Formacode]],3)</f>
        <v/>
      </c>
      <c r="D3677" s="47" t="n">
        <v>38489</v>
      </c>
      <c r="E3677" s="48">
        <f>"RNCP"&amp;D3677</f>
        <v/>
      </c>
      <c r="F3677" s="48" t="inlineStr">
        <is>
          <t>Manager des ressources humaines</t>
        </is>
      </c>
      <c r="G3677" s="49">
        <f>E3677&amp;" - "&amp;F3677</f>
        <v/>
      </c>
      <c r="H3677" s="36" t="inlineStr">
        <is>
          <t>RAS</t>
        </is>
      </c>
      <c r="I3677" s="45" t="inlineStr"/>
      <c r="J3677" s="45" t="inlineStr">
        <is>
          <t>RNCP38489</t>
        </is>
      </c>
      <c r="K3677" s="45" t="inlineStr">
        <is>
          <t>Manager des ressources humaines</t>
        </is>
      </c>
      <c r="L3677" s="45" t="inlineStr">
        <is>
          <t>31/12/2030</t>
        </is>
      </c>
      <c r="M3677" s="45" t="inlineStr"/>
      <c r="N3677" s="50" t="inlineStr">
        <is>
          <t>NON</t>
        </is>
      </c>
      <c r="O3677" s="45" t="inlineStr"/>
    </row>
    <row r="3678" customFormat="1" s="3">
      <c r="A3678" s="45" t="n"/>
      <c r="B3678" s="46" t="inlineStr">
        <is>
          <t>33052</t>
        </is>
      </c>
      <c r="C3678" s="46">
        <f>LEFT(Tableau1[[#This Row],[Formacode]],3)</f>
        <v/>
      </c>
      <c r="D3678" s="47" t="n">
        <v>38519</v>
      </c>
      <c r="E3678" s="48">
        <f>"RNCP"&amp;D3678</f>
        <v/>
      </c>
      <c r="F3678" s="48" t="inlineStr">
        <is>
          <t>Responsable paie et audit social</t>
        </is>
      </c>
      <c r="G3678" s="49">
        <f>E3678&amp;" - "&amp;F3678</f>
        <v/>
      </c>
      <c r="H3678" s="36" t="inlineStr">
        <is>
          <t>RAS</t>
        </is>
      </c>
      <c r="I3678" s="45" t="inlineStr"/>
      <c r="J3678" s="45" t="inlineStr">
        <is>
          <t>RNCP38519</t>
        </is>
      </c>
      <c r="K3678" s="45" t="inlineStr">
        <is>
          <t>Responsable paie et audit social</t>
        </is>
      </c>
      <c r="L3678" s="45" t="inlineStr">
        <is>
          <t>31/12/2030</t>
        </is>
      </c>
      <c r="M3678" s="45" t="inlineStr"/>
      <c r="N3678" s="50" t="inlineStr">
        <is>
          <t>NON</t>
        </is>
      </c>
      <c r="O3678" s="45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31/12/2030</t>
        </is>
      </c>
      <c r="M3679" s="45" t="inlineStr"/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31/12/2030</t>
        </is>
      </c>
      <c r="M3680" s="45" t="inlineStr"/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31/12/2030</t>
        </is>
      </c>
      <c r="M3681" s="45" t="inlineStr"/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31/12/2030</t>
        </is>
      </c>
      <c r="M3682" s="45" t="inlineStr"/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31/12/2030</t>
        </is>
      </c>
      <c r="M3683" s="45" t="inlineStr"/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31/12/2030</t>
        </is>
      </c>
      <c r="M3684" s="45" t="inlineStr"/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31/12/2030</t>
        </is>
      </c>
      <c r="M3685" s="45" t="inlineStr"/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31/12/2030</t>
        </is>
      </c>
      <c r="M3686" s="45" t="inlineStr"/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31/12/2030</t>
        </is>
      </c>
      <c r="M3687" s="45" t="inlineStr"/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31/12/2030</t>
        </is>
      </c>
      <c r="M3688" s="45" t="inlineStr"/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TP - Assistant ressources humaines</t>
        </is>
      </c>
      <c r="L3689" s="45" t="inlineStr">
        <is>
          <t>31/12/2030</t>
        </is>
      </c>
      <c r="M3689" s="45" t="inlineStr"/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31/12/2030</t>
        </is>
      </c>
      <c r="M3690" s="45" t="inlineStr"/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31/12/2030</t>
        </is>
      </c>
      <c r="M3691" s="45" t="inlineStr"/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31/12/2030</t>
        </is>
      </c>
      <c r="M3692" s="45" t="inlineStr"/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31/12/2030</t>
        </is>
      </c>
      <c r="M3693" s="45" t="inlineStr"/>
      <c r="N3693" s="50" t="inlineStr">
        <is>
          <t>NON</t>
        </is>
      </c>
      <c r="O3693" s="45" t="inlineStr"/>
    </row>
    <row r="3694" customFormat="1" s="3">
      <c r="A3694" s="45" t="n"/>
      <c r="B3694" s="46" t="inlineStr">
        <is>
          <t>33053</t>
        </is>
      </c>
      <c r="C3694" s="46">
        <f>LEFT(Tableau1[[#This Row],[Formacode]],3)</f>
        <v/>
      </c>
      <c r="D3694" s="47" t="n">
        <v>35604</v>
      </c>
      <c r="E3694" s="48">
        <f>"RNCP"&amp;D3694</f>
        <v/>
      </c>
      <c r="F3694" s="48" t="inlineStr">
        <is>
          <t>Manager du développement des ressources humaines</t>
        </is>
      </c>
      <c r="G3694" s="49">
        <f>E3694&amp;" - "&amp;F3694</f>
        <v/>
      </c>
      <c r="H3694" s="36" t="inlineStr">
        <is>
          <t>RAS</t>
        </is>
      </c>
      <c r="I3694" s="45" t="inlineStr"/>
      <c r="J3694" s="45" t="inlineStr">
        <is>
          <t>RNCP35604</t>
        </is>
      </c>
      <c r="K3694" s="45" t="inlineStr">
        <is>
          <t>Manager du développement des ressources humaines</t>
        </is>
      </c>
      <c r="L3694" s="45" t="inlineStr">
        <is>
          <t>31/12/2030</t>
        </is>
      </c>
      <c r="M3694" s="45" t="inlineStr"/>
      <c r="N3694" s="50" t="inlineStr">
        <is>
          <t>NON</t>
        </is>
      </c>
      <c r="O3694" s="45" t="inlineStr"/>
    </row>
    <row r="3695" customFormat="1" s="3">
      <c r="A3695" s="45" t="n"/>
      <c r="B3695" s="46" t="inlineStr">
        <is>
          <t>33053</t>
        </is>
      </c>
      <c r="C3695" s="46">
        <f>LEFT(Tableau1[[#This Row],[Formacode]],3)</f>
        <v/>
      </c>
      <c r="D3695" s="47" t="n">
        <v>35878</v>
      </c>
      <c r="E3695" s="48">
        <f>"RNCP"&amp;D3695</f>
        <v/>
      </c>
      <c r="F3695" s="48" t="inlineStr">
        <is>
          <t>Chargé des ressources humaines</t>
        </is>
      </c>
      <c r="G3695" s="49">
        <f>E3695&amp;" - "&amp;F3695</f>
        <v/>
      </c>
      <c r="H3695" s="36" t="inlineStr">
        <is>
          <t>RAS</t>
        </is>
      </c>
      <c r="I3695" s="45" t="inlineStr"/>
      <c r="J3695" s="45" t="inlineStr">
        <is>
          <t>RNCP35878</t>
        </is>
      </c>
      <c r="K3695" s="45" t="inlineStr">
        <is>
          <t>Chargé des ressources humaines</t>
        </is>
      </c>
      <c r="L3695" s="45" t="inlineStr">
        <is>
          <t>31/12/2030</t>
        </is>
      </c>
      <c r="M3695" s="45" t="inlineStr"/>
      <c r="N3695" s="50" t="inlineStr">
        <is>
          <t>NON</t>
        </is>
      </c>
      <c r="O3695" s="45" t="inlineStr"/>
    </row>
    <row r="3696" customFormat="1" s="3">
      <c r="A3696" s="45" t="n"/>
      <c r="B3696" s="46" t="inlineStr">
        <is>
          <t>33053</t>
        </is>
      </c>
      <c r="C3696" s="46">
        <f>LEFT(Tableau1[[#This Row],[Formacode]],3)</f>
        <v/>
      </c>
      <c r="D3696" s="47" t="n">
        <v>36143</v>
      </c>
      <c r="E3696" s="48">
        <f>"RNCP"&amp;D3696</f>
        <v/>
      </c>
      <c r="F3696" s="48" t="inlineStr">
        <is>
          <t>Chargé des ressources humaines</t>
        </is>
      </c>
      <c r="G3696" s="49">
        <f>E3696&amp;" - "&amp;F3696</f>
        <v/>
      </c>
      <c r="H3696" s="36" t="inlineStr">
        <is>
          <t>RAS</t>
        </is>
      </c>
      <c r="I3696" s="45" t="inlineStr"/>
      <c r="J3696" s="45" t="inlineStr">
        <is>
          <t>RNCP36143</t>
        </is>
      </c>
      <c r="K3696" s="45" t="inlineStr">
        <is>
          <t>Chargé des ressources humaines</t>
        </is>
      </c>
      <c r="L3696" s="45" t="inlineStr">
        <is>
          <t>31/12/2030</t>
        </is>
      </c>
      <c r="M3696" s="45" t="inlineStr"/>
      <c r="N3696" s="50" t="inlineStr">
        <is>
          <t>NON</t>
        </is>
      </c>
      <c r="O3696" s="45" t="inlineStr"/>
    </row>
    <row r="3697" customFormat="1" s="3">
      <c r="A3697" s="45" t="n"/>
      <c r="B3697" s="46" t="inlineStr">
        <is>
          <t>33053</t>
        </is>
      </c>
      <c r="C3697" s="46">
        <f>LEFT(Tableau1[[#This Row],[Formacode]],3)</f>
        <v/>
      </c>
      <c r="D3697" s="47" t="n">
        <v>37851</v>
      </c>
      <c r="E3697" s="48">
        <f>"RNCP"&amp;D3697</f>
        <v/>
      </c>
      <c r="F3697" s="48" t="inlineStr">
        <is>
          <t>Manager des ressources humaines</t>
        </is>
      </c>
      <c r="G3697" s="49">
        <f>E3697&amp;" - "&amp;F3697</f>
        <v/>
      </c>
      <c r="H3697" s="36" t="inlineStr">
        <is>
          <t>RAS</t>
        </is>
      </c>
      <c r="I3697" s="45" t="inlineStr"/>
      <c r="J3697" s="45" t="inlineStr">
        <is>
          <t>RNCP37851</t>
        </is>
      </c>
      <c r="K3697" s="45" t="inlineStr">
        <is>
          <t>Manager des ressources humaines</t>
        </is>
      </c>
      <c r="L3697" s="45" t="inlineStr">
        <is>
          <t>31/12/2030</t>
        </is>
      </c>
      <c r="M3697" s="45" t="inlineStr"/>
      <c r="N3697" s="50" t="inlineStr">
        <is>
          <t>NON</t>
        </is>
      </c>
      <c r="O3697" s="45" t="inlineStr"/>
    </row>
    <row r="3698" customFormat="1" s="3">
      <c r="A3698" s="45" t="n"/>
      <c r="B3698" s="46" t="inlineStr">
        <is>
          <t>33053</t>
        </is>
      </c>
      <c r="C3698" s="46">
        <f>LEFT(Tableau1[[#This Row],[Formacode]],3)</f>
        <v/>
      </c>
      <c r="D3698" s="47" t="n">
        <v>38241</v>
      </c>
      <c r="E3698" s="48">
        <f>"RNCP"&amp;D3698</f>
        <v/>
      </c>
      <c r="F3698" s="48" t="inlineStr">
        <is>
          <t>CQP Chargé de ressources humaines</t>
        </is>
      </c>
      <c r="G3698" s="49">
        <f>E3698&amp;" - "&amp;F3698</f>
        <v/>
      </c>
      <c r="H3698" s="36" t="inlineStr">
        <is>
          <t>RAS</t>
        </is>
      </c>
      <c r="I3698" s="45" t="inlineStr"/>
      <c r="J3698" s="45" t="inlineStr">
        <is>
          <t>RNCP38241</t>
        </is>
      </c>
      <c r="K3698" s="45" t="inlineStr">
        <is>
          <t>CQP Chargé de ressources humaines</t>
        </is>
      </c>
      <c r="L3698" s="45" t="inlineStr">
        <is>
          <t>31/12/2030</t>
        </is>
      </c>
      <c r="M3698" s="45" t="inlineStr"/>
      <c r="N3698" s="50" t="inlineStr">
        <is>
          <t>NON</t>
        </is>
      </c>
      <c r="O3698" s="45" t="inlineStr"/>
    </row>
    <row r="3699" customFormat="1" s="3">
      <c r="A3699" s="45" t="n"/>
      <c r="B3699" s="46" t="inlineStr">
        <is>
          <t>33053</t>
        </is>
      </c>
      <c r="C3699" s="46">
        <f>LEFT(Tableau1[[#This Row],[Formacode]],3)</f>
        <v/>
      </c>
      <c r="D3699" s="47" t="n">
        <v>38460</v>
      </c>
      <c r="E3699" s="48">
        <f>"RNCP"&amp;D3699</f>
        <v/>
      </c>
      <c r="F3699" s="48" t="inlineStr">
        <is>
          <t>Manager en ressources humaines</t>
        </is>
      </c>
      <c r="G3699" s="49">
        <f>E3699&amp;" - "&amp;F3699</f>
        <v/>
      </c>
      <c r="H3699" s="36" t="inlineStr">
        <is>
          <t>RAS</t>
        </is>
      </c>
      <c r="I3699" s="45" t="inlineStr"/>
      <c r="J3699" s="45" t="inlineStr">
        <is>
          <t>RNCP38460</t>
        </is>
      </c>
      <c r="K3699" s="45" t="inlineStr">
        <is>
          <t>Manager en ressources humaines</t>
        </is>
      </c>
      <c r="L3699" s="45" t="inlineStr">
        <is>
          <t>31/12/2030</t>
        </is>
      </c>
      <c r="M3699" s="45" t="inlineStr"/>
      <c r="N3699" s="50" t="inlineStr">
        <is>
          <t>NON</t>
        </is>
      </c>
      <c r="O3699" s="45" t="inlineStr"/>
    </row>
    <row r="3700" customFormat="1" s="3">
      <c r="A3700" s="45" t="n"/>
      <c r="B3700" s="46" t="inlineStr">
        <is>
          <t>33053</t>
        </is>
      </c>
      <c r="C3700" s="46">
        <f>LEFT(Tableau1[[#This Row],[Formacode]],3)</f>
        <v/>
      </c>
      <c r="D3700" s="47" t="n">
        <v>38489</v>
      </c>
      <c r="E3700" s="48">
        <f>"RNCP"&amp;D3700</f>
        <v/>
      </c>
      <c r="F3700" s="48" t="inlineStr">
        <is>
          <t>Manager des ressources humaines</t>
        </is>
      </c>
      <c r="G3700" s="49">
        <f>E3700&amp;" - "&amp;F3700</f>
        <v/>
      </c>
      <c r="H3700" s="36" t="inlineStr">
        <is>
          <t>RAS</t>
        </is>
      </c>
      <c r="I3700" s="45" t="inlineStr"/>
      <c r="J3700" s="45" t="inlineStr">
        <is>
          <t>RNCP38489</t>
        </is>
      </c>
      <c r="K3700" s="45" t="inlineStr">
        <is>
          <t>Manager des ressources humaines</t>
        </is>
      </c>
      <c r="L3700" s="45" t="inlineStr">
        <is>
          <t>31/12/2030</t>
        </is>
      </c>
      <c r="M3700" s="45" t="inlineStr"/>
      <c r="N3700" s="50" t="inlineStr">
        <is>
          <t>NON</t>
        </is>
      </c>
      <c r="O3700" s="45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31/12/2030</t>
        </is>
      </c>
      <c r="M3701" s="45" t="inlineStr"/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31/12/2030</t>
        </is>
      </c>
      <c r="M3702" s="45" t="inlineStr"/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31/12/2030</t>
        </is>
      </c>
      <c r="M3703" s="45" t="inlineStr"/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31/12/2030</t>
        </is>
      </c>
      <c r="M3704" s="45" t="inlineStr"/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31/12/2030</t>
        </is>
      </c>
      <c r="M3705" s="45" t="inlineStr"/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31/12/2030</t>
        </is>
      </c>
      <c r="M3706" s="45" t="inlineStr"/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31/12/2030</t>
        </is>
      </c>
      <c r="M3707" s="45" t="inlineStr"/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31/12/2030</t>
        </is>
      </c>
      <c r="M3708" s="45" t="inlineStr"/>
      <c r="N3708" s="50" t="inlineStr">
        <is>
          <t>NON</t>
        </is>
      </c>
      <c r="O3708" s="45" t="inlineStr"/>
    </row>
    <row r="3709" customFormat="1" s="3">
      <c r="A3709" s="45" t="n"/>
      <c r="B3709" s="46" t="inlineStr">
        <is>
          <t>33070</t>
        </is>
      </c>
      <c r="C3709" s="46">
        <f>LEFT(Tableau1[[#This Row],[Formacode]],3)</f>
        <v/>
      </c>
      <c r="D3709" s="47" t="n">
        <v>35604</v>
      </c>
      <c r="E3709" s="48">
        <f>"RNCP"&amp;D3709</f>
        <v/>
      </c>
      <c r="F3709" s="48" t="inlineStr">
        <is>
          <t>Manager du développement des ressources humaines</t>
        </is>
      </c>
      <c r="G3709" s="49">
        <f>E3709&amp;" - "&amp;F3709</f>
        <v/>
      </c>
      <c r="H3709" s="36" t="inlineStr">
        <is>
          <t>RAS</t>
        </is>
      </c>
      <c r="I3709" s="45" t="inlineStr"/>
      <c r="J3709" s="45" t="inlineStr">
        <is>
          <t>RNCP35604</t>
        </is>
      </c>
      <c r="K3709" s="45" t="inlineStr">
        <is>
          <t>Manager du développement des ressources humaines</t>
        </is>
      </c>
      <c r="L3709" s="45" t="inlineStr">
        <is>
          <t>31/12/2030</t>
        </is>
      </c>
      <c r="M3709" s="45" t="inlineStr"/>
      <c r="N3709" s="50" t="inlineStr">
        <is>
          <t>NON</t>
        </is>
      </c>
      <c r="O3709" s="45" t="inlineStr"/>
    </row>
    <row r="3710" customFormat="1" s="3">
      <c r="A3710" s="45" t="n"/>
      <c r="B3710" s="46" t="inlineStr">
        <is>
          <t>33070</t>
        </is>
      </c>
      <c r="C3710" s="46">
        <f>LEFT(Tableau1[[#This Row],[Formacode]],3)</f>
        <v/>
      </c>
      <c r="D3710" s="47" t="n">
        <v>35767</v>
      </c>
      <c r="E3710" s="48">
        <f>"RNCP"&amp;D3710</f>
        <v/>
      </c>
      <c r="F3710" s="48" t="inlineStr">
        <is>
          <t>Chargé de recrutement</t>
        </is>
      </c>
      <c r="G3710" s="49">
        <f>E3710&amp;" - "&amp;F3710</f>
        <v/>
      </c>
      <c r="H3710" s="36" t="inlineStr">
        <is>
          <t>RAS</t>
        </is>
      </c>
      <c r="I3710" s="45" t="inlineStr"/>
      <c r="J3710" s="45" t="inlineStr">
        <is>
          <t>RNCP35767</t>
        </is>
      </c>
      <c r="K3710" s="45" t="inlineStr">
        <is>
          <t>Chargé de recrutement</t>
        </is>
      </c>
      <c r="L3710" s="45" t="inlineStr">
        <is>
          <t>31/12/2030</t>
        </is>
      </c>
      <c r="M3710" s="45" t="inlineStr"/>
      <c r="N3710" s="50" t="inlineStr">
        <is>
          <t>NON</t>
        </is>
      </c>
      <c r="O3710" s="45" t="inlineStr"/>
    </row>
    <row r="3711" customFormat="1" s="3">
      <c r="A3711" s="45" t="n"/>
      <c r="B3711" s="46" t="inlineStr">
        <is>
          <t>33070</t>
        </is>
      </c>
      <c r="C3711" s="46">
        <f>LEFT(Tableau1[[#This Row],[Formacode]],3)</f>
        <v/>
      </c>
      <c r="D3711" s="47" t="n">
        <v>35878</v>
      </c>
      <c r="E3711" s="48">
        <f>"RNCP"&amp;D3711</f>
        <v/>
      </c>
      <c r="F3711" s="48" t="inlineStr">
        <is>
          <t>Chargé des ressources humaines</t>
        </is>
      </c>
      <c r="G3711" s="49">
        <f>E3711&amp;" - "&amp;F3711</f>
        <v/>
      </c>
      <c r="H3711" s="36" t="inlineStr">
        <is>
          <t>RAS</t>
        </is>
      </c>
      <c r="I3711" s="45" t="inlineStr"/>
      <c r="J3711" s="45" t="inlineStr">
        <is>
          <t>RNCP35878</t>
        </is>
      </c>
      <c r="K3711" s="45" t="inlineStr">
        <is>
          <t>Chargé des ressources humaines</t>
        </is>
      </c>
      <c r="L3711" s="45" t="inlineStr">
        <is>
          <t>31/12/2030</t>
        </is>
      </c>
      <c r="M3711" s="45" t="inlineStr"/>
      <c r="N3711" s="50" t="inlineStr">
        <is>
          <t>NON</t>
        </is>
      </c>
      <c r="O3711" s="45" t="inlineStr"/>
    </row>
    <row r="3712" customFormat="1" s="3">
      <c r="A3712" s="45" t="n"/>
      <c r="B3712" s="46" t="inlineStr">
        <is>
          <t>33070</t>
        </is>
      </c>
      <c r="C3712" s="46">
        <f>LEFT(Tableau1[[#This Row],[Formacode]],3)</f>
        <v/>
      </c>
      <c r="D3712" s="47" t="n">
        <v>36143</v>
      </c>
      <c r="E3712" s="48">
        <f>"RNCP"&amp;D3712</f>
        <v/>
      </c>
      <c r="F3712" s="48" t="inlineStr">
        <is>
          <t>Chargé des ressources humaines</t>
        </is>
      </c>
      <c r="G3712" s="49">
        <f>E3712&amp;" - "&amp;F3712</f>
        <v/>
      </c>
      <c r="H3712" s="36" t="inlineStr">
        <is>
          <t>RAS</t>
        </is>
      </c>
      <c r="I3712" s="45" t="inlineStr"/>
      <c r="J3712" s="45" t="inlineStr">
        <is>
          <t>RNCP36143</t>
        </is>
      </c>
      <c r="K3712" s="45" t="inlineStr">
        <is>
          <t>Chargé des ressources humaines</t>
        </is>
      </c>
      <c r="L3712" s="45" t="inlineStr">
        <is>
          <t>31/12/2030</t>
        </is>
      </c>
      <c r="M3712" s="45" t="inlineStr"/>
      <c r="N3712" s="50" t="inlineStr">
        <is>
          <t>NON</t>
        </is>
      </c>
      <c r="O3712" s="45" t="inlineStr"/>
    </row>
    <row r="3713" customFormat="1" s="3">
      <c r="A3713" s="45" t="n"/>
      <c r="B3713" s="46" t="inlineStr">
        <is>
          <t>33070</t>
        </is>
      </c>
      <c r="C3713" s="46">
        <f>LEFT(Tableau1[[#This Row],[Formacode]],3)</f>
        <v/>
      </c>
      <c r="D3713" s="47" t="n">
        <v>37851</v>
      </c>
      <c r="E3713" s="48">
        <f>"RNCP"&amp;D3713</f>
        <v/>
      </c>
      <c r="F3713" s="48" t="inlineStr">
        <is>
          <t>Manager des ressources humaines</t>
        </is>
      </c>
      <c r="G3713" s="49">
        <f>E3713&amp;" - "&amp;F3713</f>
        <v/>
      </c>
      <c r="H3713" s="36" t="inlineStr">
        <is>
          <t>RAS</t>
        </is>
      </c>
      <c r="I3713" s="45" t="inlineStr"/>
      <c r="J3713" s="45" t="inlineStr">
        <is>
          <t>RNCP37851</t>
        </is>
      </c>
      <c r="K3713" s="45" t="inlineStr">
        <is>
          <t>Manager des ressources humaines</t>
        </is>
      </c>
      <c r="L3713" s="45" t="inlineStr">
        <is>
          <t>31/12/2030</t>
        </is>
      </c>
      <c r="M3713" s="45" t="inlineStr"/>
      <c r="N3713" s="50" t="inlineStr">
        <is>
          <t>NON</t>
        </is>
      </c>
      <c r="O3713" s="45" t="inlineStr"/>
    </row>
    <row r="3714" customFormat="1" s="3">
      <c r="A3714" s="45" t="n"/>
      <c r="B3714" s="46" t="inlineStr">
        <is>
          <t>33070</t>
        </is>
      </c>
      <c r="C3714" s="46">
        <f>LEFT(Tableau1[[#This Row],[Formacode]],3)</f>
        <v/>
      </c>
      <c r="D3714" s="47" t="n">
        <v>38241</v>
      </c>
      <c r="E3714" s="48">
        <f>"RNCP"&amp;D3714</f>
        <v/>
      </c>
      <c r="F3714" s="48" t="inlineStr">
        <is>
          <t>CQP Chargé de ressources humaines</t>
        </is>
      </c>
      <c r="G3714" s="49">
        <f>E3714&amp;" - "&amp;F3714</f>
        <v/>
      </c>
      <c r="H3714" s="36" t="inlineStr">
        <is>
          <t>RAS</t>
        </is>
      </c>
      <c r="I3714" s="45" t="inlineStr"/>
      <c r="J3714" s="45" t="inlineStr">
        <is>
          <t>RNCP38241</t>
        </is>
      </c>
      <c r="K3714" s="45" t="inlineStr">
        <is>
          <t>CQP Chargé de ressources humaines</t>
        </is>
      </c>
      <c r="L3714" s="45" t="inlineStr">
        <is>
          <t>31/12/2030</t>
        </is>
      </c>
      <c r="M3714" s="45" t="inlineStr"/>
      <c r="N3714" s="50" t="inlineStr">
        <is>
          <t>NON</t>
        </is>
      </c>
      <c r="O3714" s="45" t="inlineStr"/>
    </row>
    <row r="3715" customFormat="1" s="3">
      <c r="A3715" s="45" t="n"/>
      <c r="B3715" s="46" t="inlineStr">
        <is>
          <t>33070</t>
        </is>
      </c>
      <c r="C3715" s="46">
        <f>LEFT(Tableau1[[#This Row],[Formacode]],3)</f>
        <v/>
      </c>
      <c r="D3715" s="47" t="n">
        <v>38460</v>
      </c>
      <c r="E3715" s="48">
        <f>"RNCP"&amp;D3715</f>
        <v/>
      </c>
      <c r="F3715" s="48" t="inlineStr">
        <is>
          <t>Manager en ressources humaines</t>
        </is>
      </c>
      <c r="G3715" s="49">
        <f>E3715&amp;" - "&amp;F3715</f>
        <v/>
      </c>
      <c r="H3715" s="36" t="inlineStr">
        <is>
          <t>RAS</t>
        </is>
      </c>
      <c r="I3715" s="45" t="inlineStr"/>
      <c r="J3715" s="45" t="inlineStr">
        <is>
          <t>RNCP38460</t>
        </is>
      </c>
      <c r="K3715" s="45" t="inlineStr">
        <is>
          <t>Manager en ressources humaines</t>
        </is>
      </c>
      <c r="L3715" s="45" t="inlineStr">
        <is>
          <t>31/12/2030</t>
        </is>
      </c>
      <c r="M3715" s="45" t="inlineStr"/>
      <c r="N3715" s="50" t="inlineStr">
        <is>
          <t>NON</t>
        </is>
      </c>
      <c r="O3715" s="45" t="inlineStr"/>
    </row>
    <row r="3716" customFormat="1" s="3">
      <c r="A3716" s="45" t="n"/>
      <c r="B3716" s="46" t="inlineStr">
        <is>
          <t>33070</t>
        </is>
      </c>
      <c r="C3716" s="46">
        <f>LEFT(Tableau1[[#This Row],[Formacode]],3)</f>
        <v/>
      </c>
      <c r="D3716" s="47" t="n">
        <v>38489</v>
      </c>
      <c r="E3716" s="48">
        <f>"RNCP"&amp;D3716</f>
        <v/>
      </c>
      <c r="F3716" s="48" t="inlineStr">
        <is>
          <t>Manager des ressources humaines</t>
        </is>
      </c>
      <c r="G3716" s="49">
        <f>E3716&amp;" - "&amp;F3716</f>
        <v/>
      </c>
      <c r="H3716" s="36" t="inlineStr">
        <is>
          <t>RAS</t>
        </is>
      </c>
      <c r="I3716" s="45" t="inlineStr"/>
      <c r="J3716" s="45" t="inlineStr">
        <is>
          <t>RNCP38489</t>
        </is>
      </c>
      <c r="K3716" s="45" t="inlineStr">
        <is>
          <t>Manager des ressources humaines</t>
        </is>
      </c>
      <c r="L3716" s="45" t="inlineStr">
        <is>
          <t>31/12/2030</t>
        </is>
      </c>
      <c r="M3716" s="45" t="inlineStr"/>
      <c r="N3716" s="50" t="inlineStr">
        <is>
          <t>NON</t>
        </is>
      </c>
      <c r="O3716" s="45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31/12/2030</t>
        </is>
      </c>
      <c r="M3717" s="45" t="inlineStr"/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31/12/2030</t>
        </is>
      </c>
      <c r="M3718" s="45" t="inlineStr"/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31/12/2030</t>
        </is>
      </c>
      <c r="M3719" s="45" t="inlineStr"/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31/12/2030</t>
        </is>
      </c>
      <c r="M3720" s="45" t="inlineStr"/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31/12/2030</t>
        </is>
      </c>
      <c r="M3721" s="45" t="inlineStr"/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31/12/2030</t>
        </is>
      </c>
      <c r="M3722" s="45" t="inlineStr"/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31/12/2030</t>
        </is>
      </c>
      <c r="M3723" s="45" t="inlineStr"/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31/12/2030</t>
        </is>
      </c>
      <c r="M3724" s="45" t="inlineStr"/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31/12/2030</t>
        </is>
      </c>
      <c r="M3725" s="45" t="inlineStr"/>
      <c r="N3725" s="50" t="inlineStr">
        <is>
          <t>NON</t>
        </is>
      </c>
      <c r="O3725" s="45" t="inlineStr"/>
    </row>
    <row r="3726" customFormat="1" s="3">
      <c r="A3726" s="45" t="n"/>
      <c r="B3726" s="46" t="inlineStr">
        <is>
          <t>33072</t>
        </is>
      </c>
      <c r="C3726" s="46">
        <f>LEFT(Tableau1[[#This Row],[Formacode]],3)</f>
        <v/>
      </c>
      <c r="D3726" s="47" t="n">
        <v>35604</v>
      </c>
      <c r="E3726" s="48">
        <f>"RNCP"&amp;D3726</f>
        <v/>
      </c>
      <c r="F3726" s="48" t="inlineStr">
        <is>
          <t>Manager du développement des ressources humaines</t>
        </is>
      </c>
      <c r="G3726" s="49">
        <f>E3726&amp;" - "&amp;F3726</f>
        <v/>
      </c>
      <c r="H3726" s="36" t="inlineStr">
        <is>
          <t>RAS</t>
        </is>
      </c>
      <c r="I3726" s="45" t="inlineStr"/>
      <c r="J3726" s="45" t="inlineStr">
        <is>
          <t>RNCP35604</t>
        </is>
      </c>
      <c r="K3726" s="45" t="inlineStr">
        <is>
          <t>Manager du développement des ressources humaines</t>
        </is>
      </c>
      <c r="L3726" s="45" t="inlineStr">
        <is>
          <t>31/12/2030</t>
        </is>
      </c>
      <c r="M3726" s="45" t="inlineStr"/>
      <c r="N3726" s="50" t="inlineStr">
        <is>
          <t>NON</t>
        </is>
      </c>
      <c r="O3726" s="45" t="inlineStr"/>
    </row>
    <row r="3727" customFormat="1" s="3">
      <c r="A3727" s="45" t="n"/>
      <c r="B3727" s="46" t="inlineStr">
        <is>
          <t>33072</t>
        </is>
      </c>
      <c r="C3727" s="46">
        <f>LEFT(Tableau1[[#This Row],[Formacode]],3)</f>
        <v/>
      </c>
      <c r="D3727" s="47" t="n">
        <v>35878</v>
      </c>
      <c r="E3727" s="48">
        <f>"RNCP"&amp;D3727</f>
        <v/>
      </c>
      <c r="F3727" s="48" t="inlineStr">
        <is>
          <t>Chargé des ressources humaines</t>
        </is>
      </c>
      <c r="G3727" s="49">
        <f>E3727&amp;" - "&amp;F3727</f>
        <v/>
      </c>
      <c r="H3727" s="36" t="inlineStr">
        <is>
          <t>RAS</t>
        </is>
      </c>
      <c r="I3727" s="45" t="inlineStr"/>
      <c r="J3727" s="45" t="inlineStr">
        <is>
          <t>RNCP35878</t>
        </is>
      </c>
      <c r="K3727" s="45" t="inlineStr">
        <is>
          <t>Chargé des ressources humaines</t>
        </is>
      </c>
      <c r="L3727" s="45" t="inlineStr">
        <is>
          <t>31/12/2030</t>
        </is>
      </c>
      <c r="M3727" s="45" t="inlineStr"/>
      <c r="N3727" s="50" t="inlineStr">
        <is>
          <t>NON</t>
        </is>
      </c>
      <c r="O3727" s="45" t="inlineStr"/>
    </row>
    <row r="3728" customFormat="1" s="3">
      <c r="A3728" s="45" t="n"/>
      <c r="B3728" s="46" t="inlineStr">
        <is>
          <t>33072</t>
        </is>
      </c>
      <c r="C3728" s="46">
        <f>LEFT(Tableau1[[#This Row],[Formacode]],3)</f>
        <v/>
      </c>
      <c r="D3728" s="47" t="n">
        <v>36143</v>
      </c>
      <c r="E3728" s="48">
        <f>"RNCP"&amp;D3728</f>
        <v/>
      </c>
      <c r="F3728" s="48" t="inlineStr">
        <is>
          <t>Chargé des ressources humaines</t>
        </is>
      </c>
      <c r="G3728" s="49">
        <f>E3728&amp;" - "&amp;F3728</f>
        <v/>
      </c>
      <c r="H3728" s="36" t="inlineStr">
        <is>
          <t>RAS</t>
        </is>
      </c>
      <c r="I3728" s="45" t="inlineStr"/>
      <c r="J3728" s="45" t="inlineStr">
        <is>
          <t>RNCP36143</t>
        </is>
      </c>
      <c r="K3728" s="45" t="inlineStr">
        <is>
          <t>Chargé des ressources humaines</t>
        </is>
      </c>
      <c r="L3728" s="45" t="inlineStr">
        <is>
          <t>31/12/2030</t>
        </is>
      </c>
      <c r="M3728" s="45" t="inlineStr"/>
      <c r="N3728" s="50" t="inlineStr">
        <is>
          <t>NON</t>
        </is>
      </c>
      <c r="O3728" s="45" t="inlineStr"/>
    </row>
    <row r="3729" customFormat="1" s="3">
      <c r="A3729" s="45" t="n"/>
      <c r="B3729" s="46" t="inlineStr">
        <is>
          <t>33072</t>
        </is>
      </c>
      <c r="C3729" s="46">
        <f>LEFT(Tableau1[[#This Row],[Formacode]],3)</f>
        <v/>
      </c>
      <c r="D3729" s="47" t="n">
        <v>37851</v>
      </c>
      <c r="E3729" s="48">
        <f>"RNCP"&amp;D3729</f>
        <v/>
      </c>
      <c r="F3729" s="48" t="inlineStr">
        <is>
          <t>Manager des ressources humaines</t>
        </is>
      </c>
      <c r="G3729" s="49">
        <f>E3729&amp;" - "&amp;F3729</f>
        <v/>
      </c>
      <c r="H3729" s="36" t="inlineStr">
        <is>
          <t>RAS</t>
        </is>
      </c>
      <c r="I3729" s="45" t="inlineStr"/>
      <c r="J3729" s="45" t="inlineStr">
        <is>
          <t>RNCP37851</t>
        </is>
      </c>
      <c r="K3729" s="45" t="inlineStr">
        <is>
          <t>Manager des ressources humaines</t>
        </is>
      </c>
      <c r="L3729" s="45" t="inlineStr">
        <is>
          <t>31/12/2030</t>
        </is>
      </c>
      <c r="M3729" s="45" t="inlineStr"/>
      <c r="N3729" s="50" t="inlineStr">
        <is>
          <t>NON</t>
        </is>
      </c>
      <c r="O3729" s="45" t="inlineStr"/>
    </row>
    <row r="3730" customFormat="1" s="3">
      <c r="A3730" s="45" t="n"/>
      <c r="B3730" s="46" t="inlineStr">
        <is>
          <t>33072</t>
        </is>
      </c>
      <c r="C3730" s="46">
        <f>LEFT(Tableau1[[#This Row],[Formacode]],3)</f>
        <v/>
      </c>
      <c r="D3730" s="47" t="n">
        <v>38241</v>
      </c>
      <c r="E3730" s="48">
        <f>"RNCP"&amp;D3730</f>
        <v/>
      </c>
      <c r="F3730" s="48" t="inlineStr">
        <is>
          <t>CQP Chargé de ressources humaines</t>
        </is>
      </c>
      <c r="G3730" s="49">
        <f>E3730&amp;" - "&amp;F3730</f>
        <v/>
      </c>
      <c r="H3730" s="36" t="inlineStr">
        <is>
          <t>RAS</t>
        </is>
      </c>
      <c r="I3730" s="45" t="inlineStr"/>
      <c r="J3730" s="45" t="inlineStr">
        <is>
          <t>RNCP38241</t>
        </is>
      </c>
      <c r="K3730" s="45" t="inlineStr">
        <is>
          <t>CQP Chargé de ressources humaines</t>
        </is>
      </c>
      <c r="L3730" s="45" t="inlineStr">
        <is>
          <t>31/12/2030</t>
        </is>
      </c>
      <c r="M3730" s="45" t="inlineStr"/>
      <c r="N3730" s="50" t="inlineStr">
        <is>
          <t>NON</t>
        </is>
      </c>
      <c r="O3730" s="45" t="inlineStr"/>
    </row>
    <row r="3731" customFormat="1" s="3">
      <c r="A3731" s="45" t="n"/>
      <c r="B3731" s="46" t="inlineStr">
        <is>
          <t>33072</t>
        </is>
      </c>
      <c r="C3731" s="46">
        <f>LEFT(Tableau1[[#This Row],[Formacode]],3)</f>
        <v/>
      </c>
      <c r="D3731" s="47" t="n">
        <v>38460</v>
      </c>
      <c r="E3731" s="48">
        <f>"RNCP"&amp;D3731</f>
        <v/>
      </c>
      <c r="F3731" s="48" t="inlineStr">
        <is>
          <t>Manager en ressources humaines</t>
        </is>
      </c>
      <c r="G3731" s="49">
        <f>E3731&amp;" - "&amp;F3731</f>
        <v/>
      </c>
      <c r="H3731" s="36" t="inlineStr">
        <is>
          <t>RAS</t>
        </is>
      </c>
      <c r="I3731" s="45" t="inlineStr"/>
      <c r="J3731" s="45" t="inlineStr">
        <is>
          <t>RNCP38460</t>
        </is>
      </c>
      <c r="K3731" s="45" t="inlineStr">
        <is>
          <t>Manager en ressources humaines</t>
        </is>
      </c>
      <c r="L3731" s="45" t="inlineStr">
        <is>
          <t>31/12/2030</t>
        </is>
      </c>
      <c r="M3731" s="45" t="inlineStr"/>
      <c r="N3731" s="50" t="inlineStr">
        <is>
          <t>NON</t>
        </is>
      </c>
      <c r="O3731" s="45" t="inlineStr"/>
    </row>
    <row r="3732" customFormat="1" s="3">
      <c r="A3732" s="45" t="n"/>
      <c r="B3732" s="46" t="inlineStr">
        <is>
          <t>33072</t>
        </is>
      </c>
      <c r="C3732" s="46">
        <f>LEFT(Tableau1[[#This Row],[Formacode]],3)</f>
        <v/>
      </c>
      <c r="D3732" s="47" t="n">
        <v>38489</v>
      </c>
      <c r="E3732" s="48">
        <f>"RNCP"&amp;D3732</f>
        <v/>
      </c>
      <c r="F3732" s="48" t="inlineStr">
        <is>
          <t>Manager des ressources humaines</t>
        </is>
      </c>
      <c r="G3732" s="49">
        <f>E3732&amp;" - "&amp;F3732</f>
        <v/>
      </c>
      <c r="H3732" s="36" t="inlineStr">
        <is>
          <t>RAS</t>
        </is>
      </c>
      <c r="I3732" s="45" t="inlineStr"/>
      <c r="J3732" s="45" t="inlineStr">
        <is>
          <t>RNCP38489</t>
        </is>
      </c>
      <c r="K3732" s="45" t="inlineStr">
        <is>
          <t>Manager des ressources humaines</t>
        </is>
      </c>
      <c r="L3732" s="45" t="inlineStr">
        <is>
          <t>31/12/2030</t>
        </is>
      </c>
      <c r="M3732" s="45" t="inlineStr"/>
      <c r="N3732" s="50" t="inlineStr">
        <is>
          <t>NON</t>
        </is>
      </c>
      <c r="O3732" s="45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31/12/2030</t>
        </is>
      </c>
      <c r="M3733" s="45" t="inlineStr"/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31/12/2030</t>
        </is>
      </c>
      <c r="M3734" s="45" t="inlineStr"/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31/12/2030</t>
        </is>
      </c>
      <c r="M3735" s="45" t="inlineStr"/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31/12/2030</t>
        </is>
      </c>
      <c r="M3736" s="45" t="inlineStr"/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31/12/2030</t>
        </is>
      </c>
      <c r="M3737" s="45" t="inlineStr"/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31/12/2030</t>
        </is>
      </c>
      <c r="M3738" s="45" t="inlineStr"/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31/12/2030</t>
        </is>
      </c>
      <c r="M3739" s="45" t="inlineStr"/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TP - Assistant ressources humaines</t>
        </is>
      </c>
      <c r="L3740" s="45" t="inlineStr">
        <is>
          <t>31/12/2030</t>
        </is>
      </c>
      <c r="M3740" s="45" t="inlineStr"/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31/12/2030</t>
        </is>
      </c>
      <c r="M3741" s="45" t="inlineStr"/>
      <c r="N3741" s="50" t="inlineStr">
        <is>
          <t>NON</t>
        </is>
      </c>
      <c r="O3741" s="45" t="inlineStr"/>
    </row>
    <row r="3742" customFormat="1" s="3">
      <c r="A3742" s="45" t="n"/>
      <c r="B3742" s="46" t="inlineStr">
        <is>
          <t>33086</t>
        </is>
      </c>
      <c r="C3742" s="46">
        <f>LEFT(Tableau1[[#This Row],[Formacode]],3)</f>
        <v/>
      </c>
      <c r="D3742" s="47" t="n">
        <v>35604</v>
      </c>
      <c r="E3742" s="48">
        <f>"RNCP"&amp;D3742</f>
        <v/>
      </c>
      <c r="F3742" s="48" t="inlineStr">
        <is>
          <t>Manager du développement des ressources humaines</t>
        </is>
      </c>
      <c r="G3742" s="49">
        <f>E3742&amp;" - "&amp;F3742</f>
        <v/>
      </c>
      <c r="H3742" s="36" t="inlineStr">
        <is>
          <t>RAS</t>
        </is>
      </c>
      <c r="I3742" s="45" t="inlineStr"/>
      <c r="J3742" s="45" t="inlineStr">
        <is>
          <t>RNCP35604</t>
        </is>
      </c>
      <c r="K3742" s="45" t="inlineStr">
        <is>
          <t>Manager du développement des ressources humaines</t>
        </is>
      </c>
      <c r="L3742" s="45" t="inlineStr">
        <is>
          <t>31/12/2030</t>
        </is>
      </c>
      <c r="M3742" s="45" t="inlineStr"/>
      <c r="N3742" s="50" t="inlineStr">
        <is>
          <t>NON</t>
        </is>
      </c>
      <c r="O3742" s="45" t="inlineStr"/>
    </row>
    <row r="3743" customFormat="1" s="3">
      <c r="A3743" s="45" t="n"/>
      <c r="B3743" s="46" t="inlineStr">
        <is>
          <t>33086</t>
        </is>
      </c>
      <c r="C3743" s="46">
        <f>LEFT(Tableau1[[#This Row],[Formacode]],3)</f>
        <v/>
      </c>
      <c r="D3743" s="47" t="n">
        <v>35878</v>
      </c>
      <c r="E3743" s="48">
        <f>"RNCP"&amp;D3743</f>
        <v/>
      </c>
      <c r="F3743" s="48" t="inlineStr">
        <is>
          <t>Chargé des ressources humaines</t>
        </is>
      </c>
      <c r="G3743" s="49">
        <f>E3743&amp;" - "&amp;F3743</f>
        <v/>
      </c>
      <c r="H3743" s="36" t="inlineStr">
        <is>
          <t>RAS</t>
        </is>
      </c>
      <c r="I3743" s="45" t="inlineStr"/>
      <c r="J3743" s="45" t="inlineStr">
        <is>
          <t>RNCP35878</t>
        </is>
      </c>
      <c r="K3743" s="45" t="inlineStr">
        <is>
          <t>Chargé des ressources humaines</t>
        </is>
      </c>
      <c r="L3743" s="45" t="inlineStr">
        <is>
          <t>31/12/2030</t>
        </is>
      </c>
      <c r="M3743" s="45" t="inlineStr"/>
      <c r="N3743" s="50" t="inlineStr">
        <is>
          <t>NON</t>
        </is>
      </c>
      <c r="O3743" s="45" t="inlineStr"/>
    </row>
    <row r="3744" customFormat="1" s="3">
      <c r="A3744" s="45" t="n"/>
      <c r="B3744" s="46" t="inlineStr">
        <is>
          <t>33086</t>
        </is>
      </c>
      <c r="C3744" s="46">
        <f>LEFT(Tableau1[[#This Row],[Formacode]],3)</f>
        <v/>
      </c>
      <c r="D3744" s="47" t="n">
        <v>36143</v>
      </c>
      <c r="E3744" s="48">
        <f>"RNCP"&amp;D3744</f>
        <v/>
      </c>
      <c r="F3744" s="48" t="inlineStr">
        <is>
          <t>Chargé des ressources humaines</t>
        </is>
      </c>
      <c r="G3744" s="49">
        <f>E3744&amp;" - "&amp;F3744</f>
        <v/>
      </c>
      <c r="H3744" s="36" t="inlineStr">
        <is>
          <t>RAS</t>
        </is>
      </c>
      <c r="I3744" s="45" t="inlineStr"/>
      <c r="J3744" s="45" t="inlineStr">
        <is>
          <t>RNCP36143</t>
        </is>
      </c>
      <c r="K3744" s="45" t="inlineStr">
        <is>
          <t>Chargé des ressources humaines</t>
        </is>
      </c>
      <c r="L3744" s="45" t="inlineStr">
        <is>
          <t>31/12/2030</t>
        </is>
      </c>
      <c r="M3744" s="45" t="inlineStr"/>
      <c r="N3744" s="50" t="inlineStr">
        <is>
          <t>NON</t>
        </is>
      </c>
      <c r="O3744" s="45" t="inlineStr"/>
    </row>
    <row r="3745" customFormat="1" s="3">
      <c r="A3745" s="45" t="n"/>
      <c r="B3745" s="46" t="inlineStr">
        <is>
          <t>33086</t>
        </is>
      </c>
      <c r="C3745" s="46">
        <f>LEFT(Tableau1[[#This Row],[Formacode]],3)</f>
        <v/>
      </c>
      <c r="D3745" s="47" t="n">
        <v>37851</v>
      </c>
      <c r="E3745" s="48">
        <f>"RNCP"&amp;D3745</f>
        <v/>
      </c>
      <c r="F3745" s="48" t="inlineStr">
        <is>
          <t>Manager des ressources humaines</t>
        </is>
      </c>
      <c r="G3745" s="49">
        <f>E3745&amp;" - "&amp;F3745</f>
        <v/>
      </c>
      <c r="H3745" s="36" t="inlineStr">
        <is>
          <t>RAS</t>
        </is>
      </c>
      <c r="I3745" s="45" t="inlineStr"/>
      <c r="J3745" s="45" t="inlineStr">
        <is>
          <t>RNCP37851</t>
        </is>
      </c>
      <c r="K3745" s="45" t="inlineStr">
        <is>
          <t>Manager des ressources humaines</t>
        </is>
      </c>
      <c r="L3745" s="45" t="inlineStr">
        <is>
          <t>31/12/2030</t>
        </is>
      </c>
      <c r="M3745" s="45" t="inlineStr"/>
      <c r="N3745" s="50" t="inlineStr">
        <is>
          <t>NON</t>
        </is>
      </c>
      <c r="O3745" s="45" t="inlineStr"/>
    </row>
    <row r="3746" customFormat="1" s="3">
      <c r="A3746" s="45" t="n"/>
      <c r="B3746" s="46" t="inlineStr">
        <is>
          <t>33086</t>
        </is>
      </c>
      <c r="C3746" s="46">
        <f>LEFT(Tableau1[[#This Row],[Formacode]],3)</f>
        <v/>
      </c>
      <c r="D3746" s="47" t="n">
        <v>38241</v>
      </c>
      <c r="E3746" s="48">
        <f>"RNCP"&amp;D3746</f>
        <v/>
      </c>
      <c r="F3746" s="48" t="inlineStr">
        <is>
          <t>CQP Chargé de ressources humaines</t>
        </is>
      </c>
      <c r="G3746" s="49">
        <f>E3746&amp;" - "&amp;F3746</f>
        <v/>
      </c>
      <c r="H3746" s="36" t="inlineStr">
        <is>
          <t>RAS</t>
        </is>
      </c>
      <c r="I3746" s="45" t="inlineStr"/>
      <c r="J3746" s="45" t="inlineStr">
        <is>
          <t>RNCP38241</t>
        </is>
      </c>
      <c r="K3746" s="45" t="inlineStr">
        <is>
          <t>CQP Chargé de ressources humaines</t>
        </is>
      </c>
      <c r="L3746" s="45" t="inlineStr">
        <is>
          <t>31/12/2030</t>
        </is>
      </c>
      <c r="M3746" s="45" t="inlineStr"/>
      <c r="N3746" s="50" t="inlineStr">
        <is>
          <t>NON</t>
        </is>
      </c>
      <c r="O3746" s="45" t="inlineStr"/>
    </row>
    <row r="3747" customFormat="1" s="3">
      <c r="A3747" s="45" t="n"/>
      <c r="B3747" s="46" t="inlineStr">
        <is>
          <t>33086</t>
        </is>
      </c>
      <c r="C3747" s="46">
        <f>LEFT(Tableau1[[#This Row],[Formacode]],3)</f>
        <v/>
      </c>
      <c r="D3747" s="47" t="n">
        <v>38460</v>
      </c>
      <c r="E3747" s="48">
        <f>"RNCP"&amp;D3747</f>
        <v/>
      </c>
      <c r="F3747" s="48" t="inlineStr">
        <is>
          <t>Manager en ressources humaines</t>
        </is>
      </c>
      <c r="G3747" s="49">
        <f>E3747&amp;" - "&amp;F3747</f>
        <v/>
      </c>
      <c r="H3747" s="36" t="inlineStr">
        <is>
          <t>RAS</t>
        </is>
      </c>
      <c r="I3747" s="45" t="inlineStr"/>
      <c r="J3747" s="45" t="inlineStr">
        <is>
          <t>RNCP38460</t>
        </is>
      </c>
      <c r="K3747" s="45" t="inlineStr">
        <is>
          <t>Manager en ressources humaines</t>
        </is>
      </c>
      <c r="L3747" s="45" t="inlineStr">
        <is>
          <t>31/12/2030</t>
        </is>
      </c>
      <c r="M3747" s="45" t="inlineStr"/>
      <c r="N3747" s="50" t="inlineStr">
        <is>
          <t>NON</t>
        </is>
      </c>
      <c r="O3747" s="45" t="inlineStr"/>
    </row>
    <row r="3748" customFormat="1" s="3">
      <c r="A3748" s="45" t="n"/>
      <c r="B3748" s="46" t="inlineStr">
        <is>
          <t>33086</t>
        </is>
      </c>
      <c r="C3748" s="46">
        <f>LEFT(Tableau1[[#This Row],[Formacode]],3)</f>
        <v/>
      </c>
      <c r="D3748" s="47" t="n">
        <v>38489</v>
      </c>
      <c r="E3748" s="48">
        <f>"RNCP"&amp;D3748</f>
        <v/>
      </c>
      <c r="F3748" s="48" t="inlineStr">
        <is>
          <t>Manager des ressources humaines</t>
        </is>
      </c>
      <c r="G3748" s="49">
        <f>E3748&amp;" - "&amp;F3748</f>
        <v/>
      </c>
      <c r="H3748" s="36" t="inlineStr">
        <is>
          <t>RAS</t>
        </is>
      </c>
      <c r="I3748" s="45" t="inlineStr"/>
      <c r="J3748" s="45" t="inlineStr">
        <is>
          <t>RNCP38489</t>
        </is>
      </c>
      <c r="K3748" s="45" t="inlineStr">
        <is>
          <t>Manager des ressources humaines</t>
        </is>
      </c>
      <c r="L3748" s="45" t="inlineStr">
        <is>
          <t>31/12/2030</t>
        </is>
      </c>
      <c r="M3748" s="45" t="inlineStr"/>
      <c r="N3748" s="50" t="inlineStr">
        <is>
          <t>NON</t>
        </is>
      </c>
      <c r="O3748" s="45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31/12/2030</t>
        </is>
      </c>
      <c r="M3749" s="45" t="inlineStr"/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31/12/2030</t>
        </is>
      </c>
      <c r="M3750" s="45" t="inlineStr"/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31/12/2030</t>
        </is>
      </c>
      <c r="M3751" s="45" t="inlineStr"/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31/12/2030</t>
        </is>
      </c>
      <c r="M3752" s="45" t="inlineStr"/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31/12/2030</t>
        </is>
      </c>
      <c r="M3753" s="45" t="inlineStr"/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31/12/2030</t>
        </is>
      </c>
      <c r="M3754" s="45" t="inlineStr"/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31/12/2030</t>
        </is>
      </c>
      <c r="M3755" s="45" t="inlineStr"/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31/12/2030</t>
        </is>
      </c>
      <c r="M3756" s="45" t="inlineStr"/>
      <c r="N3756" s="50" t="inlineStr">
        <is>
          <t>NON</t>
        </is>
      </c>
      <c r="O3756" s="45" t="inlineStr"/>
    </row>
    <row r="3757" customFormat="1" s="3">
      <c r="A3757" s="45" t="n"/>
      <c r="B3757" s="46" t="inlineStr">
        <is>
          <t>33091</t>
        </is>
      </c>
      <c r="C3757" s="46">
        <f>LEFT(Tableau1[[#This Row],[Formacode]],3)</f>
        <v/>
      </c>
      <c r="D3757" s="47" t="n">
        <v>35604</v>
      </c>
      <c r="E3757" s="48">
        <f>"RNCP"&amp;D3757</f>
        <v/>
      </c>
      <c r="F3757" s="48" t="inlineStr">
        <is>
          <t>Manager du développement des ressources humaines</t>
        </is>
      </c>
      <c r="G3757" s="49">
        <f>E3757&amp;" - "&amp;F3757</f>
        <v/>
      </c>
      <c r="H3757" s="36" t="inlineStr">
        <is>
          <t>RAS</t>
        </is>
      </c>
      <c r="I3757" s="45" t="inlineStr"/>
      <c r="J3757" s="45" t="inlineStr">
        <is>
          <t>RNCP35604</t>
        </is>
      </c>
      <c r="K3757" s="45" t="inlineStr">
        <is>
          <t>Manager du développement des ressources humaines</t>
        </is>
      </c>
      <c r="L3757" s="45" t="inlineStr">
        <is>
          <t>31/12/2030</t>
        </is>
      </c>
      <c r="M3757" s="45" t="inlineStr"/>
      <c r="N3757" s="50" t="inlineStr">
        <is>
          <t>NON</t>
        </is>
      </c>
      <c r="O3757" s="45" t="inlineStr"/>
    </row>
    <row r="3758" customFormat="1" s="3">
      <c r="A3758" s="45" t="n"/>
      <c r="B3758" s="46" t="inlineStr">
        <is>
          <t>33091</t>
        </is>
      </c>
      <c r="C3758" s="46">
        <f>LEFT(Tableau1[[#This Row],[Formacode]],3)</f>
        <v/>
      </c>
      <c r="D3758" s="47" t="n">
        <v>35878</v>
      </c>
      <c r="E3758" s="48">
        <f>"RNCP"&amp;D3758</f>
        <v/>
      </c>
      <c r="F3758" s="48" t="inlineStr">
        <is>
          <t>Chargé des ressources humaines</t>
        </is>
      </c>
      <c r="G3758" s="49">
        <f>E3758&amp;" - "&amp;F3758</f>
        <v/>
      </c>
      <c r="H3758" s="36" t="inlineStr">
        <is>
          <t>RAS</t>
        </is>
      </c>
      <c r="I3758" s="45" t="inlineStr"/>
      <c r="J3758" s="45" t="inlineStr">
        <is>
          <t>RNCP35878</t>
        </is>
      </c>
      <c r="K3758" s="45" t="inlineStr">
        <is>
          <t>Chargé des ressources humaines</t>
        </is>
      </c>
      <c r="L3758" s="45" t="inlineStr">
        <is>
          <t>31/12/2030</t>
        </is>
      </c>
      <c r="M3758" s="45" t="inlineStr"/>
      <c r="N3758" s="50" t="inlineStr">
        <is>
          <t>NON</t>
        </is>
      </c>
      <c r="O3758" s="45" t="inlineStr"/>
    </row>
    <row r="3759" customFormat="1" s="3">
      <c r="A3759" s="45" t="n"/>
      <c r="B3759" s="46" t="inlineStr">
        <is>
          <t>33091</t>
        </is>
      </c>
      <c r="C3759" s="46">
        <f>LEFT(Tableau1[[#This Row],[Formacode]],3)</f>
        <v/>
      </c>
      <c r="D3759" s="47" t="n">
        <v>36143</v>
      </c>
      <c r="E3759" s="48">
        <f>"RNCP"&amp;D3759</f>
        <v/>
      </c>
      <c r="F3759" s="48" t="inlineStr">
        <is>
          <t>Chargé des ressources humaines</t>
        </is>
      </c>
      <c r="G3759" s="49">
        <f>E3759&amp;" - "&amp;F3759</f>
        <v/>
      </c>
      <c r="H3759" s="36" t="inlineStr">
        <is>
          <t>RAS</t>
        </is>
      </c>
      <c r="I3759" s="45" t="inlineStr"/>
      <c r="J3759" s="45" t="inlineStr">
        <is>
          <t>RNCP36143</t>
        </is>
      </c>
      <c r="K3759" s="45" t="inlineStr">
        <is>
          <t>Chargé des ressources humaines</t>
        </is>
      </c>
      <c r="L3759" s="45" t="inlineStr">
        <is>
          <t>31/12/2030</t>
        </is>
      </c>
      <c r="M3759" s="45" t="inlineStr"/>
      <c r="N3759" s="50" t="inlineStr">
        <is>
          <t>NON</t>
        </is>
      </c>
      <c r="O3759" s="45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TP - Conseiller en insertion professionnelle</t>
        </is>
      </c>
      <c r="L3760" s="45" t="inlineStr">
        <is>
          <t>31/12/2030</t>
        </is>
      </c>
      <c r="M3760" s="45" t="inlineStr"/>
      <c r="N3760" s="50" t="inlineStr">
        <is>
          <t>NON</t>
        </is>
      </c>
      <c r="O3760" s="45" t="inlineStr"/>
    </row>
    <row r="3761" customFormat="1" s="3">
      <c r="A3761" s="45" t="n"/>
      <c r="B3761" s="46" t="inlineStr">
        <is>
          <t>33091</t>
        </is>
      </c>
      <c r="C3761" s="46">
        <f>LEFT(Tableau1[[#This Row],[Formacode]],3)</f>
        <v/>
      </c>
      <c r="D3761" s="47" t="n">
        <v>37851</v>
      </c>
      <c r="E3761" s="48">
        <f>"RNCP"&amp;D3761</f>
        <v/>
      </c>
      <c r="F3761" s="48" t="inlineStr">
        <is>
          <t>Manager des ressources humaines</t>
        </is>
      </c>
      <c r="G3761" s="49">
        <f>E3761&amp;" - "&amp;F3761</f>
        <v/>
      </c>
      <c r="H3761" s="36" t="inlineStr">
        <is>
          <t>RAS</t>
        </is>
      </c>
      <c r="I3761" s="45" t="inlineStr"/>
      <c r="J3761" s="45" t="inlineStr">
        <is>
          <t>RNCP37851</t>
        </is>
      </c>
      <c r="K3761" s="45" t="inlineStr">
        <is>
          <t>Manager des ressources humaines</t>
        </is>
      </c>
      <c r="L3761" s="45" t="inlineStr">
        <is>
          <t>31/12/2030</t>
        </is>
      </c>
      <c r="M3761" s="45" t="inlineStr"/>
      <c r="N3761" s="50" t="inlineStr">
        <is>
          <t>NON</t>
        </is>
      </c>
      <c r="O3761" s="45" t="inlineStr"/>
    </row>
    <row r="3762" customFormat="1" s="3">
      <c r="A3762" s="45" t="n"/>
      <c r="B3762" s="46" t="inlineStr">
        <is>
          <t>33091</t>
        </is>
      </c>
      <c r="C3762" s="46">
        <f>LEFT(Tableau1[[#This Row],[Formacode]],3)</f>
        <v/>
      </c>
      <c r="D3762" s="47" t="n">
        <v>38241</v>
      </c>
      <c r="E3762" s="48">
        <f>"RNCP"&amp;D3762</f>
        <v/>
      </c>
      <c r="F3762" s="48" t="inlineStr">
        <is>
          <t>CQP Chargé de ressources humaines</t>
        </is>
      </c>
      <c r="G3762" s="49">
        <f>E3762&amp;" - "&amp;F3762</f>
        <v/>
      </c>
      <c r="H3762" s="36" t="inlineStr">
        <is>
          <t>RAS</t>
        </is>
      </c>
      <c r="I3762" s="45" t="inlineStr"/>
      <c r="J3762" s="45" t="inlineStr">
        <is>
          <t>RNCP38241</t>
        </is>
      </c>
      <c r="K3762" s="45" t="inlineStr">
        <is>
          <t>CQP Chargé de ressources humaines</t>
        </is>
      </c>
      <c r="L3762" s="45" t="inlineStr">
        <is>
          <t>31/12/2030</t>
        </is>
      </c>
      <c r="M3762" s="45" t="inlineStr"/>
      <c r="N3762" s="50" t="inlineStr">
        <is>
          <t>NON</t>
        </is>
      </c>
      <c r="O3762" s="45" t="inlineStr"/>
    </row>
    <row r="3763" customFormat="1" s="3">
      <c r="A3763" s="45" t="n"/>
      <c r="B3763" s="46" t="inlineStr">
        <is>
          <t>33091</t>
        </is>
      </c>
      <c r="C3763" s="46">
        <f>LEFT(Tableau1[[#This Row],[Formacode]],3)</f>
        <v/>
      </c>
      <c r="D3763" s="47" t="n">
        <v>38460</v>
      </c>
      <c r="E3763" s="48">
        <f>"RNCP"&amp;D3763</f>
        <v/>
      </c>
      <c r="F3763" s="48" t="inlineStr">
        <is>
          <t>Manager en ressources humaines</t>
        </is>
      </c>
      <c r="G3763" s="49">
        <f>E3763&amp;" - "&amp;F3763</f>
        <v/>
      </c>
      <c r="H3763" s="36" t="inlineStr">
        <is>
          <t>RAS</t>
        </is>
      </c>
      <c r="I3763" s="45" t="inlineStr"/>
      <c r="J3763" s="45" t="inlineStr">
        <is>
          <t>RNCP38460</t>
        </is>
      </c>
      <c r="K3763" s="45" t="inlineStr">
        <is>
          <t>Manager en ressources humaines</t>
        </is>
      </c>
      <c r="L3763" s="45" t="inlineStr">
        <is>
          <t>31/12/2030</t>
        </is>
      </c>
      <c r="M3763" s="45" t="inlineStr"/>
      <c r="N3763" s="50" t="inlineStr">
        <is>
          <t>NON</t>
        </is>
      </c>
      <c r="O3763" s="45" t="inlineStr"/>
    </row>
    <row r="3764" customFormat="1" s="3">
      <c r="A3764" s="45" t="n"/>
      <c r="B3764" s="46" t="inlineStr">
        <is>
          <t>33091</t>
        </is>
      </c>
      <c r="C3764" s="46">
        <f>LEFT(Tableau1[[#This Row],[Formacode]],3)</f>
        <v/>
      </c>
      <c r="D3764" s="47" t="n">
        <v>38489</v>
      </c>
      <c r="E3764" s="48">
        <f>"RNCP"&amp;D3764</f>
        <v/>
      </c>
      <c r="F3764" s="48" t="inlineStr">
        <is>
          <t>Manager des ressources humaines</t>
        </is>
      </c>
      <c r="G3764" s="49">
        <f>E3764&amp;" - "&amp;F3764</f>
        <v/>
      </c>
      <c r="H3764" s="36" t="inlineStr">
        <is>
          <t>RAS</t>
        </is>
      </c>
      <c r="I3764" s="45" t="inlineStr"/>
      <c r="J3764" s="45" t="inlineStr">
        <is>
          <t>RNCP38489</t>
        </is>
      </c>
      <c r="K3764" s="45" t="inlineStr">
        <is>
          <t>Manager des ressources humaines</t>
        </is>
      </c>
      <c r="L3764" s="45" t="inlineStr">
        <is>
          <t>31/12/2030</t>
        </is>
      </c>
      <c r="M3764" s="45" t="inlineStr"/>
      <c r="N3764" s="50" t="inlineStr">
        <is>
          <t>NON</t>
        </is>
      </c>
      <c r="O3764" s="45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31/12/2030</t>
        </is>
      </c>
      <c r="M3765" s="45" t="inlineStr"/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31/12/2030</t>
        </is>
      </c>
      <c r="M3766" s="45" t="inlineStr"/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31/12/2030</t>
        </is>
      </c>
      <c r="M3767" s="45" t="inlineStr"/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31/12/2030</t>
        </is>
      </c>
      <c r="M3768" s="45" t="inlineStr"/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31/12/2030</t>
        </is>
      </c>
      <c r="M3769" s="45" t="inlineStr"/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31/12/2030</t>
        </is>
      </c>
      <c r="M3770" s="45" t="inlineStr"/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31/12/2030</t>
        </is>
      </c>
      <c r="M3771" s="45" t="inlineStr"/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31/12/2030</t>
        </is>
      </c>
      <c r="M3772" s="45" t="inlineStr"/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31/12/2030</t>
        </is>
      </c>
      <c r="M3773" s="45" t="inlineStr"/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31/12/2030</t>
        </is>
      </c>
      <c r="M3774" s="45" t="inlineStr"/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31/12/2030</t>
        </is>
      </c>
      <c r="M3775" s="45" t="inlineStr"/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31/12/2030</t>
        </is>
      </c>
      <c r="M3776" s="45" t="inlineStr"/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31/12/2030</t>
        </is>
      </c>
      <c r="M3777" s="45" t="inlineStr"/>
      <c r="N3777" s="50" t="inlineStr">
        <is>
          <t>NON</t>
        </is>
      </c>
      <c r="O3777" s="45" t="inlineStr"/>
    </row>
    <row r="3778" customFormat="1" s="3">
      <c r="A3778" s="45" t="n"/>
      <c r="B3778" s="46" t="inlineStr">
        <is>
          <t>33092</t>
        </is>
      </c>
      <c r="C3778" s="46">
        <f>LEFT(Tableau1[[#This Row],[Formacode]],3)</f>
        <v/>
      </c>
      <c r="D3778" s="47" t="n">
        <v>35604</v>
      </c>
      <c r="E3778" s="48">
        <f>"RNCP"&amp;D3778</f>
        <v/>
      </c>
      <c r="F3778" s="48" t="inlineStr">
        <is>
          <t>Manager du développement des ressources humaines</t>
        </is>
      </c>
      <c r="G3778" s="49">
        <f>E3778&amp;" - "&amp;F3778</f>
        <v/>
      </c>
      <c r="H3778" s="36" t="inlineStr">
        <is>
          <t>RAS</t>
        </is>
      </c>
      <c r="I3778" s="45" t="inlineStr"/>
      <c r="J3778" s="45" t="inlineStr">
        <is>
          <t>RNCP35604</t>
        </is>
      </c>
      <c r="K3778" s="45" t="inlineStr">
        <is>
          <t>Manager du développement des ressources humaines</t>
        </is>
      </c>
      <c r="L3778" s="45" t="inlineStr">
        <is>
          <t>31/12/2030</t>
        </is>
      </c>
      <c r="M3778" s="45" t="inlineStr"/>
      <c r="N3778" s="50" t="inlineStr">
        <is>
          <t>NON</t>
        </is>
      </c>
      <c r="O3778" s="45" t="inlineStr"/>
    </row>
    <row r="3779" customFormat="1" s="3">
      <c r="A3779" s="45" t="n"/>
      <c r="B3779" s="46" t="inlineStr">
        <is>
          <t>33092</t>
        </is>
      </c>
      <c r="C3779" s="46">
        <f>LEFT(Tableau1[[#This Row],[Formacode]],3)</f>
        <v/>
      </c>
      <c r="D3779" s="47" t="n">
        <v>35878</v>
      </c>
      <c r="E3779" s="48">
        <f>"RNCP"&amp;D3779</f>
        <v/>
      </c>
      <c r="F3779" s="48" t="inlineStr">
        <is>
          <t>Chargé des ressources humaines</t>
        </is>
      </c>
      <c r="G3779" s="49">
        <f>E3779&amp;" - "&amp;F3779</f>
        <v/>
      </c>
      <c r="H3779" s="36" t="inlineStr">
        <is>
          <t>RAS</t>
        </is>
      </c>
      <c r="I3779" s="45" t="inlineStr"/>
      <c r="J3779" s="45" t="inlineStr">
        <is>
          <t>RNCP35878</t>
        </is>
      </c>
      <c r="K3779" s="45" t="inlineStr">
        <is>
          <t>Chargé des ressources humaines</t>
        </is>
      </c>
      <c r="L3779" s="45" t="inlineStr">
        <is>
          <t>31/12/2030</t>
        </is>
      </c>
      <c r="M3779" s="45" t="inlineStr"/>
      <c r="N3779" s="50" t="inlineStr">
        <is>
          <t>NON</t>
        </is>
      </c>
      <c r="O3779" s="45" t="inlineStr"/>
    </row>
    <row r="3780" customFormat="1" s="3">
      <c r="A3780" s="45" t="n"/>
      <c r="B3780" s="46" t="inlineStr">
        <is>
          <t>33092</t>
        </is>
      </c>
      <c r="C3780" s="46">
        <f>LEFT(Tableau1[[#This Row],[Formacode]],3)</f>
        <v/>
      </c>
      <c r="D3780" s="47" t="n">
        <v>36143</v>
      </c>
      <c r="E3780" s="48">
        <f>"RNCP"&amp;D3780</f>
        <v/>
      </c>
      <c r="F3780" s="48" t="inlineStr">
        <is>
          <t>Chargé des ressources humaines</t>
        </is>
      </c>
      <c r="G3780" s="49">
        <f>E3780&amp;" - "&amp;F3780</f>
        <v/>
      </c>
      <c r="H3780" s="36" t="inlineStr">
        <is>
          <t>RAS</t>
        </is>
      </c>
      <c r="I3780" s="45" t="inlineStr"/>
      <c r="J3780" s="45" t="inlineStr">
        <is>
          <t>RNCP36143</t>
        </is>
      </c>
      <c r="K3780" s="45" t="inlineStr">
        <is>
          <t>Chargé des ressources humaines</t>
        </is>
      </c>
      <c r="L3780" s="45" t="inlineStr">
        <is>
          <t>31/12/2030</t>
        </is>
      </c>
      <c r="M3780" s="45" t="inlineStr"/>
      <c r="N3780" s="50" t="inlineStr">
        <is>
          <t>NON</t>
        </is>
      </c>
      <c r="O3780" s="45" t="inlineStr"/>
    </row>
    <row r="3781" customFormat="1" s="3">
      <c r="A3781" s="45" t="n"/>
      <c r="B3781" s="46" t="inlineStr">
        <is>
          <t>33092</t>
        </is>
      </c>
      <c r="C3781" s="46">
        <f>LEFT(Tableau1[[#This Row],[Formacode]],3)</f>
        <v/>
      </c>
      <c r="D3781" s="47" t="n">
        <v>37851</v>
      </c>
      <c r="E3781" s="48">
        <f>"RNCP"&amp;D3781</f>
        <v/>
      </c>
      <c r="F3781" s="48" t="inlineStr">
        <is>
          <t>Manager des ressources humaines</t>
        </is>
      </c>
      <c r="G3781" s="49">
        <f>E3781&amp;" - "&amp;F3781</f>
        <v/>
      </c>
      <c r="H3781" s="36" t="inlineStr">
        <is>
          <t>RAS</t>
        </is>
      </c>
      <c r="I3781" s="45" t="inlineStr"/>
      <c r="J3781" s="45" t="inlineStr">
        <is>
          <t>RNCP37851</t>
        </is>
      </c>
      <c r="K3781" s="45" t="inlineStr">
        <is>
          <t>Manager des ressources humaines</t>
        </is>
      </c>
      <c r="L3781" s="45" t="inlineStr">
        <is>
          <t>31/12/2030</t>
        </is>
      </c>
      <c r="M3781" s="45" t="inlineStr"/>
      <c r="N3781" s="50" t="inlineStr">
        <is>
          <t>NON</t>
        </is>
      </c>
      <c r="O3781" s="45" t="inlineStr"/>
    </row>
    <row r="3782" customFormat="1" s="3">
      <c r="A3782" s="45" t="n"/>
      <c r="B3782" s="46" t="inlineStr">
        <is>
          <t>33092</t>
        </is>
      </c>
      <c r="C3782" s="46">
        <f>LEFT(Tableau1[[#This Row],[Formacode]],3)</f>
        <v/>
      </c>
      <c r="D3782" s="47" t="n">
        <v>38241</v>
      </c>
      <c r="E3782" s="48">
        <f>"RNCP"&amp;D3782</f>
        <v/>
      </c>
      <c r="F3782" s="48" t="inlineStr">
        <is>
          <t>CQP Chargé de ressources humaines</t>
        </is>
      </c>
      <c r="G3782" s="49">
        <f>E3782&amp;" - "&amp;F3782</f>
        <v/>
      </c>
      <c r="H3782" s="36" t="inlineStr">
        <is>
          <t>RAS</t>
        </is>
      </c>
      <c r="I3782" s="45" t="inlineStr"/>
      <c r="J3782" s="45" t="inlineStr">
        <is>
          <t>RNCP38241</t>
        </is>
      </c>
      <c r="K3782" s="45" t="inlineStr">
        <is>
          <t>CQP Chargé de ressources humaines</t>
        </is>
      </c>
      <c r="L3782" s="45" t="inlineStr">
        <is>
          <t>31/12/2030</t>
        </is>
      </c>
      <c r="M3782" s="45" t="inlineStr"/>
      <c r="N3782" s="50" t="inlineStr">
        <is>
          <t>NON</t>
        </is>
      </c>
      <c r="O3782" s="45" t="inlineStr"/>
    </row>
    <row r="3783" customFormat="1" s="3">
      <c r="A3783" s="45" t="n"/>
      <c r="B3783" s="46" t="inlineStr">
        <is>
          <t>33092</t>
        </is>
      </c>
      <c r="C3783" s="46">
        <f>LEFT(Tableau1[[#This Row],[Formacode]],3)</f>
        <v/>
      </c>
      <c r="D3783" s="47" t="n">
        <v>38460</v>
      </c>
      <c r="E3783" s="48">
        <f>"RNCP"&amp;D3783</f>
        <v/>
      </c>
      <c r="F3783" s="48" t="inlineStr">
        <is>
          <t>Manager en ressources humaines</t>
        </is>
      </c>
      <c r="G3783" s="49">
        <f>E3783&amp;" - "&amp;F3783</f>
        <v/>
      </c>
      <c r="H3783" s="36" t="inlineStr">
        <is>
          <t>RAS</t>
        </is>
      </c>
      <c r="I3783" s="45" t="inlineStr"/>
      <c r="J3783" s="45" t="inlineStr">
        <is>
          <t>RNCP38460</t>
        </is>
      </c>
      <c r="K3783" s="45" t="inlineStr">
        <is>
          <t>Manager en ressources humaines</t>
        </is>
      </c>
      <c r="L3783" s="45" t="inlineStr">
        <is>
          <t>31/12/2030</t>
        </is>
      </c>
      <c r="M3783" s="45" t="inlineStr"/>
      <c r="N3783" s="50" t="inlineStr">
        <is>
          <t>NON</t>
        </is>
      </c>
      <c r="O3783" s="45" t="inlineStr"/>
    </row>
    <row r="3784" customFormat="1" s="3">
      <c r="A3784" s="45" t="n"/>
      <c r="B3784" s="46" t="inlineStr">
        <is>
          <t>33092</t>
        </is>
      </c>
      <c r="C3784" s="46">
        <f>LEFT(Tableau1[[#This Row],[Formacode]],3)</f>
        <v/>
      </c>
      <c r="D3784" s="47" t="n">
        <v>38489</v>
      </c>
      <c r="E3784" s="48">
        <f>"RNCP"&amp;D3784</f>
        <v/>
      </c>
      <c r="F3784" s="48" t="inlineStr">
        <is>
          <t>Manager des ressources humaines</t>
        </is>
      </c>
      <c r="G3784" s="49">
        <f>E3784&amp;" - "&amp;F3784</f>
        <v/>
      </c>
      <c r="H3784" s="36" t="inlineStr">
        <is>
          <t>RAS</t>
        </is>
      </c>
      <c r="I3784" s="45" t="inlineStr"/>
      <c r="J3784" s="45" t="inlineStr">
        <is>
          <t>RNCP38489</t>
        </is>
      </c>
      <c r="K3784" s="45" t="inlineStr">
        <is>
          <t>Manager des ressources humaines</t>
        </is>
      </c>
      <c r="L3784" s="45" t="inlineStr">
        <is>
          <t>31/12/2030</t>
        </is>
      </c>
      <c r="M3784" s="45" t="inlineStr"/>
      <c r="N3784" s="50" t="inlineStr">
        <is>
          <t>NON</t>
        </is>
      </c>
      <c r="O3784" s="45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31/12/2030</t>
        </is>
      </c>
      <c r="M3785" s="45" t="inlineStr"/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31/12/2030</t>
        </is>
      </c>
      <c r="M3786" s="45" t="inlineStr"/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31/12/2030</t>
        </is>
      </c>
      <c r="M3787" s="45" t="inlineStr"/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31/12/2030</t>
        </is>
      </c>
      <c r="M3788" s="45" t="inlineStr"/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31/12/2030</t>
        </is>
      </c>
      <c r="M3789" s="45" t="inlineStr"/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31/12/2030</t>
        </is>
      </c>
      <c r="M3790" s="45" t="inlineStr"/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31/12/2030</t>
        </is>
      </c>
      <c r="M3791" s="45" t="inlineStr"/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31/12/2030</t>
        </is>
      </c>
      <c r="M3792" s="45" t="inlineStr"/>
      <c r="N3792" s="50" t="inlineStr">
        <is>
          <t>NON</t>
        </is>
      </c>
      <c r="O3792" s="45" t="inlineStr"/>
    </row>
    <row r="3793" customFormat="1" s="3">
      <c r="A3793" s="45" t="n"/>
      <c r="B3793" s="46" t="inlineStr">
        <is>
          <t>34024</t>
        </is>
      </c>
      <c r="C3793" s="46">
        <f>LEFT(Tableau1[[#This Row],[Formacode]],3)</f>
        <v/>
      </c>
      <c r="D3793" s="47" t="n">
        <v>35462</v>
      </c>
      <c r="E3793" s="48">
        <f>"RNCP"&amp;D3793</f>
        <v/>
      </c>
      <c r="F3793" s="48" t="inlineStr">
        <is>
          <t>Manager achats et approvisionnement</t>
        </is>
      </c>
      <c r="G3793" s="49">
        <f>E3793&amp;" - "&amp;F3793</f>
        <v/>
      </c>
      <c r="H3793" s="36" t="inlineStr">
        <is>
          <t>RAS</t>
        </is>
      </c>
      <c r="I3793" s="45" t="inlineStr"/>
      <c r="J3793" s="45" t="inlineStr">
        <is>
          <t>RNCP35462</t>
        </is>
      </c>
      <c r="K3793" s="45" t="inlineStr">
        <is>
          <t>Manager achats et approvisionnement</t>
        </is>
      </c>
      <c r="L3793" s="45" t="inlineStr">
        <is>
          <t>31/12/2030</t>
        </is>
      </c>
      <c r="M3793" s="45" t="inlineStr"/>
      <c r="N3793" s="50" t="inlineStr">
        <is>
          <t>NON</t>
        </is>
      </c>
      <c r="O3793" s="45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31/12/2030</t>
        </is>
      </c>
      <c r="M3794" s="45" t="inlineStr"/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 (MS)</t>
        </is>
      </c>
      <c r="L3795" s="45" t="inlineStr">
        <is>
          <t>31/12/2030</t>
        </is>
      </c>
      <c r="M3795" s="45" t="inlineStr"/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31/12/2030</t>
        </is>
      </c>
      <c r="M3796" s="45" t="inlineStr"/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DipViGrM - Programme grande école</t>
        </is>
      </c>
      <c r="L3797" s="45" t="inlineStr">
        <is>
          <t>31/12/2030</t>
        </is>
      </c>
      <c r="M3797" s="45" t="inlineStr"/>
      <c r="N3797" s="50" t="inlineStr">
        <is>
          <t>NON</t>
        </is>
      </c>
      <c r="O3797" s="45" t="inlineStr"/>
    </row>
    <row r="3798" customFormat="1" s="3">
      <c r="A3798" s="45" t="n"/>
      <c r="B3798" s="46" t="inlineStr">
        <is>
          <t>34024</t>
        </is>
      </c>
      <c r="C3798" s="46">
        <f>LEFT(Tableau1[[#This Row],[Formacode]],3)</f>
        <v/>
      </c>
      <c r="D3798" s="47" t="n">
        <v>37988</v>
      </c>
      <c r="E3798" s="48">
        <f>"RNCP"&amp;D3798</f>
        <v/>
      </c>
      <c r="F3798" s="48" t="inlineStr">
        <is>
          <t>Diplôme visé - Diplôme supérieur en marketing, vente et gestion</t>
        </is>
      </c>
      <c r="G3798" s="49">
        <f>E3798&amp;" - "&amp;F3798</f>
        <v/>
      </c>
      <c r="H3798" s="36" t="inlineStr">
        <is>
          <t>RAS</t>
        </is>
      </c>
      <c r="I3798" s="45" t="inlineStr"/>
      <c r="J3798" s="45" t="inlineStr">
        <is>
          <t>RNCP37988</t>
        </is>
      </c>
      <c r="K3798" s="45" t="inlineStr">
        <is>
          <t>Diplôme visé - Diplôme supérieur en marketing, vente et gestion</t>
        </is>
      </c>
      <c r="L3798" s="45" t="inlineStr">
        <is>
          <t>31/12/2030</t>
        </is>
      </c>
      <c r="M3798" s="45" t="inlineStr"/>
      <c r="N3798" s="50" t="inlineStr">
        <is>
          <t>NON</t>
        </is>
      </c>
      <c r="O3798" s="45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BTS - Management commercial opérationnel</t>
        </is>
      </c>
      <c r="L3799" s="45" t="inlineStr">
        <is>
          <t>31/12/2030</t>
        </is>
      </c>
      <c r="M3799" s="45" t="inlineStr"/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31/12/2030</t>
        </is>
      </c>
      <c r="M3800" s="45" t="inlineStr"/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DipViGrM - Diplôme d’études supérieures en marketing, gestion commerciale et management international</t>
        </is>
      </c>
      <c r="L3801" s="45" t="inlineStr">
        <is>
          <t>31/12/2030</t>
        </is>
      </c>
      <c r="M3801" s="45" t="inlineStr"/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31/12/2030</t>
        </is>
      </c>
      <c r="M3802" s="45" t="inlineStr"/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31/12/2030</t>
        </is>
      </c>
      <c r="M3803" s="45" t="inlineStr"/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DipViGrL - Diplôme d’enseignement supérieur en management</t>
        </is>
      </c>
      <c r="L3804" s="45" t="inlineStr">
        <is>
          <t>31/12/2030</t>
        </is>
      </c>
      <c r="M3804" s="45" t="inlineStr"/>
      <c r="N3804" s="50" t="inlineStr">
        <is>
          <t>NON</t>
        </is>
      </c>
      <c r="O3804" s="45" t="inlineStr"/>
    </row>
    <row r="3805" customFormat="1" s="3">
      <c r="A3805" s="45" t="n"/>
      <c r="B3805" s="46" t="inlineStr">
        <is>
          <t>34037</t>
        </is>
      </c>
      <c r="C3805" s="46">
        <f>LEFT(Tableau1[[#This Row],[Formacode]],3)</f>
        <v/>
      </c>
      <c r="D3805" s="47" t="n">
        <v>35304</v>
      </c>
      <c r="E3805" s="48">
        <f>"RNCP"&amp;D3805</f>
        <v/>
      </c>
      <c r="F3805" s="48" t="inlineStr">
        <is>
          <t>TP - Conseiller relation client à distance</t>
        </is>
      </c>
      <c r="G3805" s="49">
        <f>E3805&amp;" - "&amp;F3805</f>
        <v/>
      </c>
      <c r="H3805" s="36" t="inlineStr">
        <is>
          <t>RAS</t>
        </is>
      </c>
      <c r="I3805" s="45" t="inlineStr"/>
      <c r="J3805" s="45" t="inlineStr">
        <is>
          <t>RNCP35304</t>
        </is>
      </c>
      <c r="K3805" s="45" t="inlineStr">
        <is>
          <t>TP - Conseiller relation client à distance</t>
        </is>
      </c>
      <c r="L3805" s="45" t="inlineStr">
        <is>
          <t>31/12/2030</t>
        </is>
      </c>
      <c r="M3805" s="45" t="inlineStr"/>
      <c r="N3805" s="50" t="inlineStr">
        <is>
          <t>NON</t>
        </is>
      </c>
      <c r="O3805" s="45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31/12/2030</t>
        </is>
      </c>
      <c r="M3806" s="45" t="inlineStr"/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31/12/2030</t>
        </is>
      </c>
      <c r="M3807" s="45" t="inlineStr"/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31/12/2030</t>
        </is>
      </c>
      <c r="M3808" s="45" t="inlineStr"/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DipViGrM - Programme grande école</t>
        </is>
      </c>
      <c r="L3809" s="45" t="inlineStr">
        <is>
          <t>31/12/2030</t>
        </is>
      </c>
      <c r="M3809" s="45" t="inlineStr"/>
      <c r="N3809" s="50" t="inlineStr">
        <is>
          <t>NON</t>
        </is>
      </c>
      <c r="O3809" s="45" t="inlineStr"/>
    </row>
    <row r="3810" customFormat="1" s="3">
      <c r="A3810" s="45" t="n"/>
      <c r="B3810" s="46" t="inlineStr">
        <is>
          <t>34037</t>
        </is>
      </c>
      <c r="C3810" s="46">
        <f>LEFT(Tableau1[[#This Row],[Formacode]],3)</f>
        <v/>
      </c>
      <c r="D3810" s="47" t="n">
        <v>37849</v>
      </c>
      <c r="E3810" s="48">
        <f>"RNCP"&amp;D3810</f>
        <v/>
      </c>
      <c r="F3810" s="48" t="inlineStr">
        <is>
          <t>Responsable du développement commercial</t>
        </is>
      </c>
      <c r="G3810" s="49">
        <f>E3810&amp;" - "&amp;F3810</f>
        <v/>
      </c>
      <c r="H3810" s="36" t="inlineStr">
        <is>
          <t>RAS</t>
        </is>
      </c>
      <c r="I3810" s="45" t="inlineStr"/>
      <c r="J3810" s="45" t="inlineStr">
        <is>
          <t>RNCP37849</t>
        </is>
      </c>
      <c r="K3810" s="45" t="inlineStr">
        <is>
          <t>Responsable du développement commercial</t>
        </is>
      </c>
      <c r="L3810" s="45" t="inlineStr">
        <is>
          <t>31/12/2030</t>
        </is>
      </c>
      <c r="M3810" s="45" t="inlineStr"/>
      <c r="N3810" s="50" t="inlineStr">
        <is>
          <t>NON</t>
        </is>
      </c>
      <c r="O3810" s="45" t="inlineStr"/>
    </row>
    <row r="3811" customFormat="1" s="3">
      <c r="A3811" s="45" t="n"/>
      <c r="B3811" s="46" t="inlineStr">
        <is>
          <t>34037</t>
        </is>
      </c>
      <c r="C3811" s="46">
        <f>LEFT(Tableau1[[#This Row],[Formacode]],3)</f>
        <v/>
      </c>
      <c r="D3811" s="47" t="n">
        <v>37988</v>
      </c>
      <c r="E3811" s="48">
        <f>"RNCP"&amp;D3811</f>
        <v/>
      </c>
      <c r="F3811" s="48" t="inlineStr">
        <is>
          <t>Diplôme visé - Diplôme supérieur en marketing, vente et gestion</t>
        </is>
      </c>
      <c r="G3811" s="49">
        <f>E3811&amp;" - "&amp;F3811</f>
        <v/>
      </c>
      <c r="H3811" s="36" t="inlineStr">
        <is>
          <t>RAS</t>
        </is>
      </c>
      <c r="I3811" s="45" t="inlineStr"/>
      <c r="J3811" s="45" t="inlineStr">
        <is>
          <t>RNCP37988</t>
        </is>
      </c>
      <c r="K3811" s="45" t="inlineStr">
        <is>
          <t>Diplôme visé - Diplôme supérieur en marketing, vente et gestion</t>
        </is>
      </c>
      <c r="L3811" s="45" t="inlineStr">
        <is>
          <t>31/12/2030</t>
        </is>
      </c>
      <c r="M3811" s="45" t="inlineStr"/>
      <c r="N3811" s="50" t="inlineStr">
        <is>
          <t>NON</t>
        </is>
      </c>
      <c r="O3811" s="45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BTS - Management commercial opérationnel</t>
        </is>
      </c>
      <c r="L3812" s="45" t="inlineStr">
        <is>
          <t>31/12/2030</t>
        </is>
      </c>
      <c r="M3812" s="45" t="inlineStr"/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Certificat de spécialisation - Assistance, conseil, vente à distance</t>
        </is>
      </c>
      <c r="L3813" s="45" t="inlineStr">
        <is>
          <t>31/12/2030</t>
        </is>
      </c>
      <c r="M3813" s="45" t="inlineStr"/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31/12/2030</t>
        </is>
      </c>
      <c r="M3814" s="45" t="inlineStr"/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TP - Manager d'équipe relation client à distance</t>
        </is>
      </c>
      <c r="L3815" s="45" t="inlineStr">
        <is>
          <t>31/12/2030</t>
        </is>
      </c>
      <c r="M3815" s="45" t="inlineStr"/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TP - Technicien d'après-vente en électroménager et audiovisuel</t>
        </is>
      </c>
      <c r="L3816" s="45" t="inlineStr">
        <is>
          <t>31/12/2030</t>
        </is>
      </c>
      <c r="M3816" s="45" t="inlineStr"/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DipViGrL - Diplôme d’enseignement supérieur en management</t>
        </is>
      </c>
      <c r="L3817" s="45" t="inlineStr">
        <is>
          <t>31/12/2030</t>
        </is>
      </c>
      <c r="M3817" s="45" t="inlineStr"/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31/12/2030</t>
        </is>
      </c>
      <c r="M3818" s="45" t="inlineStr"/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31/12/2030</t>
        </is>
      </c>
      <c r="M3819" s="45" t="inlineStr"/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31/12/2030</t>
        </is>
      </c>
      <c r="M3820" s="45" t="inlineStr"/>
      <c r="N3820" s="50" t="inlineStr">
        <is>
          <t>NON</t>
        </is>
      </c>
      <c r="O3820" s="45" t="inlineStr"/>
    </row>
    <row r="3821" customFormat="1" s="3">
      <c r="A3821" s="45" t="n"/>
      <c r="B3821" s="46" t="inlineStr">
        <is>
          <t>34052</t>
        </is>
      </c>
      <c r="C3821" s="46">
        <f>LEFT(Tableau1[[#This Row],[Formacode]],3)</f>
        <v/>
      </c>
      <c r="D3821" s="47" t="n">
        <v>36119</v>
      </c>
      <c r="E3821" s="48">
        <f>"RNCP"&amp;D3821</f>
        <v/>
      </c>
      <c r="F3821" s="48" t="inlineStr">
        <is>
          <t>Manager du marketing et de la transformation digitale</t>
        </is>
      </c>
      <c r="G3821" s="49">
        <f>E3821&amp;" - "&amp;F3821</f>
        <v/>
      </c>
      <c r="H3821" s="36" t="inlineStr">
        <is>
          <t>RAS</t>
        </is>
      </c>
      <c r="I3821" s="45" t="inlineStr"/>
      <c r="J3821" s="45" t="inlineStr">
        <is>
          <t>RNCP36119</t>
        </is>
      </c>
      <c r="K3821" s="45" t="inlineStr">
        <is>
          <t>Manager du marketing et de la transformation digitale</t>
        </is>
      </c>
      <c r="L3821" s="45" t="inlineStr">
        <is>
          <t>31/12/2030</t>
        </is>
      </c>
      <c r="M3821" s="45" t="inlineStr"/>
      <c r="N3821" s="50" t="inlineStr">
        <is>
          <t>NON</t>
        </is>
      </c>
      <c r="O3821" s="45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DIPLOVIS - Responsable en marketing, commercialisation et gestion</t>
        </is>
      </c>
      <c r="L3822" s="45" t="inlineStr">
        <is>
          <t>31/12/2030</t>
        </is>
      </c>
      <c r="M3822" s="45" t="inlineStr"/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31/12/2030</t>
        </is>
      </c>
      <c r="M3823" s="45" t="inlineStr"/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Brevet de technicien supérieur - Métiers de l’esthétique, de la cosmétique et de la parfumerie</t>
        </is>
      </c>
      <c r="L3824" s="45" t="inlineStr">
        <is>
          <t>31/12/2030</t>
        </is>
      </c>
      <c r="M3824" s="45" t="inlineStr"/>
      <c r="N3824" s="50" t="inlineStr">
        <is>
          <t>NON</t>
        </is>
      </c>
      <c r="O3824" s="45" t="inlineStr"/>
    </row>
    <row r="3825" customFormat="1" s="3">
      <c r="A3825" s="45" t="n"/>
      <c r="B3825" s="46" t="inlineStr">
        <is>
          <t>34052</t>
        </is>
      </c>
      <c r="C3825" s="46">
        <f>LEFT(Tableau1[[#This Row],[Formacode]],3)</f>
        <v/>
      </c>
      <c r="D3825" s="47" t="n">
        <v>37633</v>
      </c>
      <c r="E3825" s="48">
        <f>"RNCP"&amp;D3825</f>
        <v/>
      </c>
      <c r="F3825" s="48" t="inlineStr">
        <is>
          <t>Responsable en développement commercial et marketing</t>
        </is>
      </c>
      <c r="G3825" s="49">
        <f>E3825&amp;" - "&amp;F3825</f>
        <v/>
      </c>
      <c r="H3825" s="36" t="inlineStr">
        <is>
          <t>RAS</t>
        </is>
      </c>
      <c r="I3825" s="45" t="inlineStr"/>
      <c r="J3825" s="45" t="inlineStr">
        <is>
          <t>RNCP37633</t>
        </is>
      </c>
      <c r="K3825" s="45" t="inlineStr">
        <is>
          <t>Responsable en développement commercial et marketing</t>
        </is>
      </c>
      <c r="L3825" s="45" t="inlineStr">
        <is>
          <t>31/12/2030</t>
        </is>
      </c>
      <c r="M3825" s="45" t="inlineStr"/>
      <c r="N3825" s="50" t="inlineStr">
        <is>
          <t>NON</t>
        </is>
      </c>
      <c r="O3825" s="45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31/12/2030</t>
        </is>
      </c>
      <c r="M3826" s="45" t="inlineStr"/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DipViGrM - Programme grande école</t>
        </is>
      </c>
      <c r="L3827" s="45" t="inlineStr">
        <is>
          <t>31/12/2030</t>
        </is>
      </c>
      <c r="M3827" s="45" t="inlineStr"/>
      <c r="N3827" s="50" t="inlineStr">
        <is>
          <t>NON</t>
        </is>
      </c>
      <c r="O3827" s="45" t="inlineStr"/>
    </row>
    <row r="3828" customFormat="1" s="3">
      <c r="A3828" s="45" t="n"/>
      <c r="B3828" s="46" t="inlineStr">
        <is>
          <t>34052</t>
        </is>
      </c>
      <c r="C3828" s="46">
        <f>LEFT(Tableau1[[#This Row],[Formacode]],3)</f>
        <v/>
      </c>
      <c r="D3828" s="47" t="n">
        <v>37776</v>
      </c>
      <c r="E3828" s="48">
        <f>"RNCP"&amp;D3828</f>
        <v/>
      </c>
      <c r="F3828" s="48" t="inlineStr">
        <is>
          <t>Manager du contenu - content manager</t>
        </is>
      </c>
      <c r="G3828" s="49">
        <f>E3828&amp;" - "&amp;F3828</f>
        <v/>
      </c>
      <c r="H3828" s="36" t="inlineStr">
        <is>
          <t>RAS</t>
        </is>
      </c>
      <c r="I3828" s="45" t="inlineStr"/>
      <c r="J3828" s="45" t="inlineStr">
        <is>
          <t>RNCP37776</t>
        </is>
      </c>
      <c r="K3828" s="45" t="inlineStr">
        <is>
          <t>Manager du contenu - content manager</t>
        </is>
      </c>
      <c r="L3828" s="45" t="inlineStr">
        <is>
          <t>31/12/2030</t>
        </is>
      </c>
      <c r="M3828" s="45" t="inlineStr"/>
      <c r="N3828" s="50" t="inlineStr">
        <is>
          <t>NON</t>
        </is>
      </c>
      <c r="O3828" s="45" t="inlineStr"/>
    </row>
    <row r="3829" customFormat="1" s="3">
      <c r="A3829" s="45" t="n"/>
      <c r="B3829" s="46" t="inlineStr">
        <is>
          <t>34052</t>
        </is>
      </c>
      <c r="C3829" s="46">
        <f>LEFT(Tableau1[[#This Row],[Formacode]],3)</f>
        <v/>
      </c>
      <c r="D3829" s="47" t="n">
        <v>37786</v>
      </c>
      <c r="E3829" s="48">
        <f>"RNCP"&amp;D3829</f>
        <v/>
      </c>
      <c r="F3829" s="48" t="inlineStr">
        <is>
          <t>Chargé de marketing et communication</t>
        </is>
      </c>
      <c r="G3829" s="49">
        <f>E3829&amp;" - "&amp;F3829</f>
        <v/>
      </c>
      <c r="H3829" s="36" t="inlineStr">
        <is>
          <t>RAS</t>
        </is>
      </c>
      <c r="I3829" s="45" t="inlineStr"/>
      <c r="J3829" s="45" t="inlineStr">
        <is>
          <t>RNCP37786</t>
        </is>
      </c>
      <c r="K3829" s="45" t="inlineStr">
        <is>
          <t>Chargé de marketing et communication</t>
        </is>
      </c>
      <c r="L3829" s="45" t="inlineStr">
        <is>
          <t>31/12/2030</t>
        </is>
      </c>
      <c r="M3829" s="45" t="inlineStr"/>
      <c r="N3829" s="50" t="inlineStr">
        <is>
          <t>NON</t>
        </is>
      </c>
      <c r="O3829" s="45" t="inlineStr"/>
    </row>
    <row r="3830" customFormat="1" s="3">
      <c r="A3830" s="45" t="n"/>
      <c r="B3830" s="46" t="inlineStr">
        <is>
          <t>34052</t>
        </is>
      </c>
      <c r="C3830" s="46">
        <f>LEFT(Tableau1[[#This Row],[Formacode]],3)</f>
        <v/>
      </c>
      <c r="D3830" s="47" t="n">
        <v>37793</v>
      </c>
      <c r="E3830" s="48">
        <f>"RNCP"&amp;D3830</f>
        <v/>
      </c>
      <c r="F3830" s="48" t="inlineStr">
        <is>
          <t>Manager de la stratégie digitale</t>
        </is>
      </c>
      <c r="G3830" s="49">
        <f>E3830&amp;" - "&amp;F3830</f>
        <v/>
      </c>
      <c r="H3830" s="36" t="inlineStr">
        <is>
          <t>RAS</t>
        </is>
      </c>
      <c r="I3830" s="45" t="inlineStr"/>
      <c r="J3830" s="45" t="inlineStr">
        <is>
          <t>RNCP37793</t>
        </is>
      </c>
      <c r="K3830" s="45" t="inlineStr">
        <is>
          <t>Manager de la stratégie digitale</t>
        </is>
      </c>
      <c r="L3830" s="45" t="inlineStr">
        <is>
          <t>31/12/2030</t>
        </is>
      </c>
      <c r="M3830" s="45" t="inlineStr"/>
      <c r="N3830" s="50" t="inlineStr">
        <is>
          <t>NON</t>
        </is>
      </c>
      <c r="O3830" s="45" t="inlineStr"/>
    </row>
    <row r="3831" customFormat="1" s="3">
      <c r="A3831" s="45" t="n"/>
      <c r="B3831" s="46" t="inlineStr">
        <is>
          <t>34052</t>
        </is>
      </c>
      <c r="C3831" s="46">
        <f>LEFT(Tableau1[[#This Row],[Formacode]],3)</f>
        <v/>
      </c>
      <c r="D3831" s="47" t="n">
        <v>37988</v>
      </c>
      <c r="E3831" s="48">
        <f>"RNCP"&amp;D3831</f>
        <v/>
      </c>
      <c r="F3831" s="48" t="inlineStr">
        <is>
          <t>Diplôme visé - Diplôme supérieur en marketing, vente et gestion</t>
        </is>
      </c>
      <c r="G3831" s="49">
        <f>E3831&amp;" - "&amp;F3831</f>
        <v/>
      </c>
      <c r="H3831" s="36" t="inlineStr">
        <is>
          <t>RAS</t>
        </is>
      </c>
      <c r="I3831" s="45" t="inlineStr"/>
      <c r="J3831" s="45" t="inlineStr">
        <is>
          <t>RNCP37988</t>
        </is>
      </c>
      <c r="K3831" s="45" t="inlineStr">
        <is>
          <t>Diplôme visé - Diplôme supérieur en marketing, vente et gestion</t>
        </is>
      </c>
      <c r="L3831" s="45" t="inlineStr">
        <is>
          <t>31/12/2030</t>
        </is>
      </c>
      <c r="M3831" s="45" t="inlineStr"/>
      <c r="N3831" s="50" t="inlineStr">
        <is>
          <t>NON</t>
        </is>
      </c>
      <c r="O3831" s="45" t="inlineStr"/>
    </row>
    <row r="3832" customFormat="1" s="3">
      <c r="A3832" s="45" t="n"/>
      <c r="B3832" s="46" t="inlineStr">
        <is>
          <t>34052</t>
        </is>
      </c>
      <c r="C3832" s="46">
        <f>LEFT(Tableau1[[#This Row],[Formacode]],3)</f>
        <v/>
      </c>
      <c r="D3832" s="47" t="n">
        <v>38018</v>
      </c>
      <c r="E3832" s="48">
        <f>"RNCP"&amp;D3832</f>
        <v/>
      </c>
      <c r="F3832" s="48" t="inlineStr">
        <is>
          <t>Chef de projet digital</t>
        </is>
      </c>
      <c r="G3832" s="49">
        <f>E3832&amp;" - "&amp;F3832</f>
        <v/>
      </c>
      <c r="H3832" s="36" t="inlineStr">
        <is>
          <t>RAS</t>
        </is>
      </c>
      <c r="I3832" s="45" t="inlineStr"/>
      <c r="J3832" s="45" t="inlineStr">
        <is>
          <t>RNCP38018</t>
        </is>
      </c>
      <c r="K3832" s="45" t="inlineStr">
        <is>
          <t>Chef de projet digital</t>
        </is>
      </c>
      <c r="L3832" s="45" t="inlineStr">
        <is>
          <t>31/12/2030</t>
        </is>
      </c>
      <c r="M3832" s="45" t="inlineStr"/>
      <c r="N3832" s="50" t="inlineStr">
        <is>
          <t>NON</t>
        </is>
      </c>
      <c r="O3832" s="45" t="inlineStr"/>
    </row>
    <row r="3833" customFormat="1" s="3">
      <c r="A3833" s="45" t="n"/>
      <c r="B3833" s="46" t="inlineStr">
        <is>
          <t>34052</t>
        </is>
      </c>
      <c r="C3833" s="46">
        <f>LEFT(Tableau1[[#This Row],[Formacode]],3)</f>
        <v/>
      </c>
      <c r="D3833" s="47" t="n">
        <v>38025</v>
      </c>
      <c r="E3833" s="48">
        <f>"RNCP"&amp;D3833</f>
        <v/>
      </c>
      <c r="F3833" s="48" t="inlineStr">
        <is>
          <t>Chargé de développement commercial et marketing</t>
        </is>
      </c>
      <c r="G3833" s="49">
        <f>E3833&amp;" - "&amp;F3833</f>
        <v/>
      </c>
      <c r="H3833" s="36" t="inlineStr">
        <is>
          <t>RAS</t>
        </is>
      </c>
      <c r="I3833" s="45" t="inlineStr"/>
      <c r="J3833" s="45" t="inlineStr">
        <is>
          <t>RNCP38025</t>
        </is>
      </c>
      <c r="K3833" s="45" t="inlineStr">
        <is>
          <t>Chargé de développement commercial et marketing</t>
        </is>
      </c>
      <c r="L3833" s="45" t="inlineStr">
        <is>
          <t>31/12/2030</t>
        </is>
      </c>
      <c r="M3833" s="45" t="inlineStr"/>
      <c r="N3833" s="50" t="inlineStr">
        <is>
          <t>NON</t>
        </is>
      </c>
      <c r="O3833" s="45" t="inlineStr"/>
    </row>
    <row r="3834" customFormat="1" s="3">
      <c r="A3834" s="45" t="n"/>
      <c r="B3834" s="46" t="inlineStr">
        <is>
          <t>34052</t>
        </is>
      </c>
      <c r="C3834" s="46">
        <f>LEFT(Tableau1[[#This Row],[Formacode]],3)</f>
        <v/>
      </c>
      <c r="D3834" s="47" t="n">
        <v>38131</v>
      </c>
      <c r="E3834" s="48">
        <f>"RNCP"&amp;D3834</f>
        <v/>
      </c>
      <c r="F3834" s="48" t="inlineStr">
        <is>
          <t>Responsable marketing et communication</t>
        </is>
      </c>
      <c r="G3834" s="49">
        <f>E3834&amp;" - "&amp;F3834</f>
        <v/>
      </c>
      <c r="H3834" s="36" t="inlineStr">
        <is>
          <t>RAS</t>
        </is>
      </c>
      <c r="I3834" s="45" t="inlineStr"/>
      <c r="J3834" s="45" t="inlineStr">
        <is>
          <t>RNCP38131</t>
        </is>
      </c>
      <c r="K3834" s="45" t="inlineStr">
        <is>
          <t>Responsable marketing et communication</t>
        </is>
      </c>
      <c r="L3834" s="45" t="inlineStr">
        <is>
          <t>31/12/2030</t>
        </is>
      </c>
      <c r="M3834" s="45" t="inlineStr"/>
      <c r="N3834" s="50" t="inlineStr">
        <is>
          <t>NON</t>
        </is>
      </c>
      <c r="O3834" s="45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BTS - Management commercial opérationnel</t>
        </is>
      </c>
      <c r="L3835" s="45" t="inlineStr">
        <is>
          <t>31/12/2030</t>
        </is>
      </c>
      <c r="M3835" s="45" t="inlineStr"/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BTS - Négociation et digitalisation de la relation client</t>
        </is>
      </c>
      <c r="L3836" s="45" t="inlineStr">
        <is>
          <t>31/12/2030</t>
        </is>
      </c>
      <c r="M3836" s="45" t="inlineStr"/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31/12/2030</t>
        </is>
      </c>
      <c r="M3837" s="45" t="inlineStr"/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31/12/2030</t>
        </is>
      </c>
      <c r="M3838" s="45" t="inlineStr"/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31/12/2030</t>
        </is>
      </c>
      <c r="M3839" s="45" t="inlineStr"/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31/12/2030</t>
        </is>
      </c>
      <c r="M3840" s="45" t="inlineStr"/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31/12/2030</t>
        </is>
      </c>
      <c r="M3841" s="45" t="inlineStr"/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31/12/2030</t>
        </is>
      </c>
      <c r="M3842" s="45" t="inlineStr"/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31/12/2030</t>
        </is>
      </c>
      <c r="M3843" s="45" t="inlineStr"/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31/12/2030</t>
        </is>
      </c>
      <c r="M3844" s="45" t="inlineStr"/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31/12/2030</t>
        </is>
      </c>
      <c r="M3845" s="45" t="inlineStr"/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31/12/2030</t>
        </is>
      </c>
      <c r="M3846" s="45" t="inlineStr"/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31/12/2030</t>
        </is>
      </c>
      <c r="M3847" s="45" t="inlineStr"/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31/12/2030</t>
        </is>
      </c>
      <c r="M3848" s="45" t="inlineStr"/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31/12/2030</t>
        </is>
      </c>
      <c r="M3849" s="45" t="inlineStr"/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DipViGrL - Diplôme d’enseignement supérieure en management des affaires internationales</t>
        </is>
      </c>
      <c r="L3850" s="45" t="inlineStr">
        <is>
          <t>31/12/2030</t>
        </is>
      </c>
      <c r="M3850" s="45" t="inlineStr"/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DipViGrL - Diplôme d’enseignement supérieur en management</t>
        </is>
      </c>
      <c r="L3851" s="45" t="inlineStr">
        <is>
          <t>31/12/2030</t>
        </is>
      </c>
      <c r="M3851" s="45" t="inlineStr"/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31/12/2030</t>
        </is>
      </c>
      <c r="M3852" s="45" t="inlineStr"/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31/12/2030</t>
        </is>
      </c>
      <c r="M3853" s="45" t="inlineStr"/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31/12/2030</t>
        </is>
      </c>
      <c r="M3854" s="45" t="inlineStr"/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31/12/2030</t>
        </is>
      </c>
      <c r="M3855" s="45" t="inlineStr"/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31/12/2030</t>
        </is>
      </c>
      <c r="M3856" s="45" t="inlineStr"/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DipViGrM - EM Normandie - Programme Grande Ecole</t>
        </is>
      </c>
      <c r="L3857" s="45" t="inlineStr">
        <is>
          <t>31/12/2030</t>
        </is>
      </c>
      <c r="M3857" s="45" t="inlineStr"/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31/12/2030</t>
        </is>
      </c>
      <c r="M3858" s="45" t="inlineStr"/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31/12/2030</t>
        </is>
      </c>
      <c r="M3859" s="45" t="inlineStr"/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31/12/2030</t>
        </is>
      </c>
      <c r="M3860" s="45" t="inlineStr"/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31/12/2030</t>
        </is>
      </c>
      <c r="M3861" s="45" t="inlineStr"/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31/12/2030</t>
        </is>
      </c>
      <c r="M3862" s="45" t="inlineStr"/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DipViGrM - Programme grande école</t>
        </is>
      </c>
      <c r="L3863" s="45" t="inlineStr">
        <is>
          <t>31/12/2030</t>
        </is>
      </c>
      <c r="M3863" s="45" t="inlineStr"/>
      <c r="N3863" s="50" t="inlineStr">
        <is>
          <t>NON</t>
        </is>
      </c>
      <c r="O3863" s="45" t="inlineStr"/>
    </row>
    <row r="3864" customFormat="1" s="3">
      <c r="A3864" s="45" t="n"/>
      <c r="B3864" s="46" t="inlineStr">
        <is>
          <t>34056</t>
        </is>
      </c>
      <c r="C3864" s="46">
        <f>LEFT(Tableau1[[#This Row],[Formacode]],3)</f>
        <v/>
      </c>
      <c r="D3864" s="47" t="n">
        <v>37988</v>
      </c>
      <c r="E3864" s="48">
        <f>"RNCP"&amp;D3864</f>
        <v/>
      </c>
      <c r="F3864" s="48" t="inlineStr">
        <is>
          <t>Diplôme visé - Diplôme supérieur en marketing, vente et gestion</t>
        </is>
      </c>
      <c r="G3864" s="49">
        <f>E3864&amp;" - "&amp;F3864</f>
        <v/>
      </c>
      <c r="H3864" s="36" t="inlineStr">
        <is>
          <t>RAS</t>
        </is>
      </c>
      <c r="I3864" s="45" t="inlineStr"/>
      <c r="J3864" s="45" t="inlineStr">
        <is>
          <t>RNCP37988</t>
        </is>
      </c>
      <c r="K3864" s="45" t="inlineStr">
        <is>
          <t>Diplôme visé - Diplôme supérieur en marketing, vente et gestion</t>
        </is>
      </c>
      <c r="L3864" s="45" t="inlineStr">
        <is>
          <t>31/12/2030</t>
        </is>
      </c>
      <c r="M3864" s="45" t="inlineStr"/>
      <c r="N3864" s="50" t="inlineStr">
        <is>
          <t>NON</t>
        </is>
      </c>
      <c r="O3864" s="45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BTS - Management commercial opérationnel</t>
        </is>
      </c>
      <c r="L3865" s="45" t="inlineStr">
        <is>
          <t>31/12/2030</t>
        </is>
      </c>
      <c r="M3865" s="45" t="inlineStr"/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DipViGrL - Diplôme d’enseignement supérieure en management des affaires internationales</t>
        </is>
      </c>
      <c r="L3866" s="45" t="inlineStr">
        <is>
          <t>31/12/2030</t>
        </is>
      </c>
      <c r="M3866" s="45" t="inlineStr"/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DipViGrL - Diplôme d’enseignement supérieur en management</t>
        </is>
      </c>
      <c r="L3867" s="45" t="inlineStr">
        <is>
          <t>31/12/2030</t>
        </is>
      </c>
      <c r="M3867" s="45" t="inlineStr"/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CAP - Equipier polyvalent du commerce</t>
        </is>
      </c>
      <c r="L3868" s="45" t="inlineStr">
        <is>
          <t>31/12/2030</t>
        </is>
      </c>
      <c r="M3868" s="45" t="inlineStr"/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DIPLOVIS - Responsable du marketing et du développement commercial</t>
        </is>
      </c>
      <c r="L3869" s="45" t="inlineStr">
        <is>
          <t>31/12/2030</t>
        </is>
      </c>
      <c r="M3869" s="45" t="inlineStr"/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31/12/2030</t>
        </is>
      </c>
      <c r="M3870" s="45" t="inlineStr"/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31/12/2030</t>
        </is>
      </c>
      <c r="M3871" s="45" t="inlineStr"/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Brevet de technicien supérieur - Communication</t>
        </is>
      </c>
      <c r="L3872" s="45" t="inlineStr">
        <is>
          <t>31/12/2030</t>
        </is>
      </c>
      <c r="M3872" s="45" t="inlineStr"/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31/12/2030</t>
        </is>
      </c>
      <c r="M3873" s="45" t="inlineStr"/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31/12/2030</t>
        </is>
      </c>
      <c r="M3874" s="45" t="inlineStr"/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DipViGrM - Programme grande école</t>
        </is>
      </c>
      <c r="L3875" s="45" t="inlineStr">
        <is>
          <t>31/12/2030</t>
        </is>
      </c>
      <c r="M3875" s="45" t="inlineStr"/>
      <c r="N3875" s="50" t="inlineStr">
        <is>
          <t>NON</t>
        </is>
      </c>
      <c r="O3875" s="45" t="inlineStr"/>
    </row>
    <row r="3876" customFormat="1" s="3">
      <c r="A3876" s="45" t="n"/>
      <c r="B3876" s="46" t="inlineStr">
        <is>
          <t>34074</t>
        </is>
      </c>
      <c r="C3876" s="46">
        <f>LEFT(Tableau1[[#This Row],[Formacode]],3)</f>
        <v/>
      </c>
      <c r="D3876" s="47" t="n">
        <v>37775</v>
      </c>
      <c r="E3876" s="48">
        <f>"RNCP"&amp;D3876</f>
        <v/>
      </c>
      <c r="F3876" s="48" t="inlineStr">
        <is>
          <t>Manager de la communication de marque</t>
        </is>
      </c>
      <c r="G3876" s="49">
        <f>E3876&amp;" - "&amp;F3876</f>
        <v/>
      </c>
      <c r="H3876" s="36" t="inlineStr">
        <is>
          <t>RAS</t>
        </is>
      </c>
      <c r="I3876" s="45" t="inlineStr"/>
      <c r="J3876" s="45" t="inlineStr">
        <is>
          <t>RNCP37775</t>
        </is>
      </c>
      <c r="K3876" s="45" t="inlineStr">
        <is>
          <t>Manager de la communication de marque</t>
        </is>
      </c>
      <c r="L3876" s="45" t="inlineStr">
        <is>
          <t>31/12/2030</t>
        </is>
      </c>
      <c r="M3876" s="45" t="inlineStr"/>
      <c r="N3876" s="50" t="inlineStr">
        <is>
          <t>NON</t>
        </is>
      </c>
      <c r="O3876" s="45" t="inlineStr"/>
    </row>
    <row r="3877" customFormat="1" s="3">
      <c r="A3877" s="45" t="n"/>
      <c r="B3877" s="46" t="inlineStr">
        <is>
          <t>34074</t>
        </is>
      </c>
      <c r="C3877" s="46">
        <f>LEFT(Tableau1[[#This Row],[Formacode]],3)</f>
        <v/>
      </c>
      <c r="D3877" s="47" t="n">
        <v>37988</v>
      </c>
      <c r="E3877" s="48">
        <f>"RNCP"&amp;D3877</f>
        <v/>
      </c>
      <c r="F3877" s="48" t="inlineStr">
        <is>
          <t>Diplôme visé - Diplôme supérieur en marketing, vente et gestion</t>
        </is>
      </c>
      <c r="G3877" s="49">
        <f>E3877&amp;" - "&amp;F3877</f>
        <v/>
      </c>
      <c r="H3877" s="36" t="inlineStr">
        <is>
          <t>RAS</t>
        </is>
      </c>
      <c r="I3877" s="45" t="inlineStr"/>
      <c r="J3877" s="45" t="inlineStr">
        <is>
          <t>RNCP37988</t>
        </is>
      </c>
      <c r="K3877" s="45" t="inlineStr">
        <is>
          <t>Diplôme visé - Diplôme supérieur en marketing, vente et gestion</t>
        </is>
      </c>
      <c r="L3877" s="45" t="inlineStr">
        <is>
          <t>31/12/2030</t>
        </is>
      </c>
      <c r="M3877" s="45" t="inlineStr"/>
      <c r="N3877" s="50" t="inlineStr">
        <is>
          <t>NON</t>
        </is>
      </c>
      <c r="O3877" s="45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BTS - Management commercial opérationnel</t>
        </is>
      </c>
      <c r="L3878" s="45" t="inlineStr">
        <is>
          <t>31/12/2030</t>
        </is>
      </c>
      <c r="M3878" s="45" t="inlineStr"/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31/12/2030</t>
        </is>
      </c>
      <c r="M3879" s="45" t="inlineStr"/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DipViGrL - Diplôme d’enseignement supérieur en management</t>
        </is>
      </c>
      <c r="L3880" s="45" t="inlineStr">
        <is>
          <t>31/12/2030</t>
        </is>
      </c>
      <c r="M3880" s="45" t="inlineStr"/>
      <c r="N3880" s="50" t="inlineStr">
        <is>
          <t>NON</t>
        </is>
      </c>
      <c r="O3880" s="45" t="inlineStr"/>
    </row>
    <row r="3881" customFormat="1" s="3">
      <c r="A3881" s="45" t="n"/>
      <c r="B3881" s="46" t="inlineStr">
        <is>
          <t>34076</t>
        </is>
      </c>
      <c r="C3881" s="46">
        <f>LEFT(Tableau1[[#This Row],[Formacode]],3)</f>
        <v/>
      </c>
      <c r="D3881" s="47" t="n">
        <v>35304</v>
      </c>
      <c r="E3881" s="48">
        <f>"RNCP"&amp;D3881</f>
        <v/>
      </c>
      <c r="F3881" s="48" t="inlineStr">
        <is>
          <t>TP - Conseiller relation client à distance</t>
        </is>
      </c>
      <c r="G3881" s="49">
        <f>E3881&amp;" - "&amp;F3881</f>
        <v/>
      </c>
      <c r="H3881" s="36" t="inlineStr">
        <is>
          <t>RAS</t>
        </is>
      </c>
      <c r="I3881" s="45" t="inlineStr"/>
      <c r="J3881" s="45" t="inlineStr">
        <is>
          <t>RNCP35304</t>
        </is>
      </c>
      <c r="K3881" s="45" t="inlineStr">
        <is>
          <t>TP - Conseiller relation client à distance</t>
        </is>
      </c>
      <c r="L3881" s="45" t="inlineStr">
        <is>
          <t>31/12/2030</t>
        </is>
      </c>
      <c r="M3881" s="45" t="inlineStr"/>
      <c r="N3881" s="50" t="inlineStr">
        <is>
          <t>NON</t>
        </is>
      </c>
      <c r="O3881" s="45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31/12/2030</t>
        </is>
      </c>
      <c r="M3882" s="45" t="inlineStr"/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31/12/2030</t>
        </is>
      </c>
      <c r="M3883" s="45" t="inlineStr"/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31/12/2030</t>
        </is>
      </c>
      <c r="M3884" s="45" t="inlineStr"/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DipViGrM - Programme grande école</t>
        </is>
      </c>
      <c r="L3885" s="45" t="inlineStr">
        <is>
          <t>31/12/2030</t>
        </is>
      </c>
      <c r="M3885" s="45" t="inlineStr"/>
      <c r="N3885" s="50" t="inlineStr">
        <is>
          <t>NON</t>
        </is>
      </c>
      <c r="O3885" s="45" t="inlineStr"/>
    </row>
    <row r="3886" customFormat="1" s="3">
      <c r="A3886" s="45" t="n"/>
      <c r="B3886" s="46" t="inlineStr">
        <is>
          <t>34076</t>
        </is>
      </c>
      <c r="C3886" s="46">
        <f>LEFT(Tableau1[[#This Row],[Formacode]],3)</f>
        <v/>
      </c>
      <c r="D3886" s="47" t="n">
        <v>37988</v>
      </c>
      <c r="E3886" s="48">
        <f>"RNCP"&amp;D3886</f>
        <v/>
      </c>
      <c r="F3886" s="48" t="inlineStr">
        <is>
          <t>Diplôme visé - Diplôme supérieur en marketing, vente et gestion</t>
        </is>
      </c>
      <c r="G3886" s="49">
        <f>E3886&amp;" - "&amp;F3886</f>
        <v/>
      </c>
      <c r="H3886" s="36" t="inlineStr">
        <is>
          <t>RAS</t>
        </is>
      </c>
      <c r="I3886" s="45" t="inlineStr"/>
      <c r="J3886" s="45" t="inlineStr">
        <is>
          <t>RNCP37988</t>
        </is>
      </c>
      <c r="K3886" s="45" t="inlineStr">
        <is>
          <t>Diplôme visé - Diplôme supérieur en marketing, vente et gestion</t>
        </is>
      </c>
      <c r="L3886" s="45" t="inlineStr">
        <is>
          <t>31/12/2030</t>
        </is>
      </c>
      <c r="M3886" s="45" t="inlineStr"/>
      <c r="N3886" s="50" t="inlineStr">
        <is>
          <t>NON</t>
        </is>
      </c>
      <c r="O3886" s="45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BTS - Management commercial opérationnel</t>
        </is>
      </c>
      <c r="L3887" s="45" t="inlineStr">
        <is>
          <t>31/12/2030</t>
        </is>
      </c>
      <c r="M3887" s="45" t="inlineStr"/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BTS - Négociation et digitalisation de la relation client</t>
        </is>
      </c>
      <c r="L3888" s="45" t="inlineStr">
        <is>
          <t>31/12/2030</t>
        </is>
      </c>
      <c r="M3888" s="45" t="inlineStr"/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31/12/2030</t>
        </is>
      </c>
      <c r="M3889" s="45" t="inlineStr"/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31/12/2030</t>
        </is>
      </c>
      <c r="M3890" s="45" t="inlineStr"/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Certificat de spécialisation - Vente-conseil en boucherie</t>
        </is>
      </c>
      <c r="L3891" s="45" t="inlineStr">
        <is>
          <t>31/12/2030</t>
        </is>
      </c>
      <c r="M3891" s="45" t="inlineStr"/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TP - Manager d'équipe relation client à distance</t>
        </is>
      </c>
      <c r="L3892" s="45" t="inlineStr">
        <is>
          <t>31/12/2030</t>
        </is>
      </c>
      <c r="M3892" s="45" t="inlineStr"/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31/12/2030</t>
        </is>
      </c>
      <c r="M3893" s="45" t="inlineStr"/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DIPLOVIS - Gestion et Développement Commercial</t>
        </is>
      </c>
      <c r="L3894" s="45" t="inlineStr">
        <is>
          <t>31/12/2030</t>
        </is>
      </c>
      <c r="M3894" s="45" t="inlineStr"/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31/12/2030</t>
        </is>
      </c>
      <c r="M3895" s="45" t="inlineStr"/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31/12/2030</t>
        </is>
      </c>
      <c r="M3896" s="45" t="inlineStr"/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DipViGrL - Diplôme d’enseignement supérieur en management</t>
        </is>
      </c>
      <c r="L3897" s="45" t="inlineStr">
        <is>
          <t>31/12/2030</t>
        </is>
      </c>
      <c r="M3897" s="45" t="inlineStr"/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31/12/2030</t>
        </is>
      </c>
      <c r="M3898" s="45" t="inlineStr"/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31/12/2030</t>
        </is>
      </c>
      <c r="M3899" s="45" t="inlineStr"/>
      <c r="N3899" s="50" t="inlineStr">
        <is>
          <t>NON</t>
        </is>
      </c>
      <c r="O3899" s="45" t="inlineStr"/>
    </row>
    <row r="3900" customFormat="1" s="3">
      <c r="A3900" s="45" t="n"/>
      <c r="B3900" s="46" t="inlineStr">
        <is>
          <t>34085</t>
        </is>
      </c>
      <c r="C3900" s="46">
        <f>LEFT(Tableau1[[#This Row],[Formacode]],3)</f>
        <v/>
      </c>
      <c r="D3900" s="47" t="n">
        <v>36320</v>
      </c>
      <c r="E3900" s="48">
        <f>"RNCP"&amp;D3900</f>
        <v/>
      </c>
      <c r="F3900" s="48" t="inlineStr">
        <is>
          <t>DIPLOVIS - Ingénieur d'affaires</t>
        </is>
      </c>
      <c r="G3900" s="49">
        <f>E3900&amp;" - "&amp;F3900</f>
        <v/>
      </c>
      <c r="H3900" s="36" t="inlineStr">
        <is>
          <t>RAS</t>
        </is>
      </c>
      <c r="I3900" s="45" t="inlineStr"/>
      <c r="J3900" s="45" t="inlineStr">
        <is>
          <t>RNCP36320</t>
        </is>
      </c>
      <c r="K3900" s="45" t="inlineStr">
        <is>
          <t>DIPLOVIS - Ingénieur d'affaires</t>
        </is>
      </c>
      <c r="L3900" s="45" t="inlineStr">
        <is>
          <t>31/12/2030</t>
        </is>
      </c>
      <c r="M3900" s="45" t="inlineStr"/>
      <c r="N3900" s="50" t="inlineStr">
        <is>
          <t>NON</t>
        </is>
      </c>
      <c r="O3900" s="45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31/12/2030</t>
        </is>
      </c>
      <c r="M3901" s="45" t="inlineStr"/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31/12/2030</t>
        </is>
      </c>
      <c r="M3902" s="45" t="inlineStr"/>
      <c r="N3902" s="50" t="inlineStr">
        <is>
          <t>NON</t>
        </is>
      </c>
      <c r="O3902" s="45" t="inlineStr"/>
    </row>
    <row r="3903" customFormat="1" s="3">
      <c r="A3903" s="45" t="n"/>
      <c r="B3903" s="46" t="inlineStr">
        <is>
          <t>34085</t>
        </is>
      </c>
      <c r="C3903" s="46">
        <f>LEFT(Tableau1[[#This Row],[Formacode]],3)</f>
        <v/>
      </c>
      <c r="D3903" s="47" t="n">
        <v>37633</v>
      </c>
      <c r="E3903" s="48">
        <f>"RNCP"&amp;D3903</f>
        <v/>
      </c>
      <c r="F3903" s="48" t="inlineStr">
        <is>
          <t>Responsable en développement commercial et marketing</t>
        </is>
      </c>
      <c r="G3903" s="49">
        <f>E3903&amp;" - "&amp;F3903</f>
        <v/>
      </c>
      <c r="H3903" s="36" t="inlineStr">
        <is>
          <t>RAS</t>
        </is>
      </c>
      <c r="I3903" s="45" t="inlineStr"/>
      <c r="J3903" s="45" t="inlineStr">
        <is>
          <t>RNCP37633</t>
        </is>
      </c>
      <c r="K3903" s="45" t="inlineStr">
        <is>
          <t>Responsable en développement commercial et marketing</t>
        </is>
      </c>
      <c r="L3903" s="45" t="inlineStr">
        <is>
          <t>31/12/2030</t>
        </is>
      </c>
      <c r="M3903" s="45" t="inlineStr"/>
      <c r="N3903" s="50" t="inlineStr">
        <is>
          <t>NON</t>
        </is>
      </c>
      <c r="O3903" s="45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31/12/2030</t>
        </is>
      </c>
      <c r="M3904" s="45" t="inlineStr"/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DipViGrM - Programme grande école</t>
        </is>
      </c>
      <c r="L3905" s="45" t="inlineStr">
        <is>
          <t>31/12/2030</t>
        </is>
      </c>
      <c r="M3905" s="45" t="inlineStr"/>
      <c r="N3905" s="50" t="inlineStr">
        <is>
          <t>NON</t>
        </is>
      </c>
      <c r="O3905" s="45" t="inlineStr"/>
    </row>
    <row r="3906" customFormat="1" s="3">
      <c r="A3906" s="45" t="n"/>
      <c r="B3906" s="46" t="inlineStr">
        <is>
          <t>34085</t>
        </is>
      </c>
      <c r="C3906" s="46">
        <f>LEFT(Tableau1[[#This Row],[Formacode]],3)</f>
        <v/>
      </c>
      <c r="D3906" s="47" t="n">
        <v>37786</v>
      </c>
      <c r="E3906" s="48">
        <f>"RNCP"&amp;D3906</f>
        <v/>
      </c>
      <c r="F3906" s="48" t="inlineStr">
        <is>
          <t>Chargé de marketing et communication</t>
        </is>
      </c>
      <c r="G3906" s="49">
        <f>E3906&amp;" - "&amp;F3906</f>
        <v/>
      </c>
      <c r="H3906" s="36" t="inlineStr">
        <is>
          <t>RAS</t>
        </is>
      </c>
      <c r="I3906" s="45" t="inlineStr"/>
      <c r="J3906" s="45" t="inlineStr">
        <is>
          <t>RNCP37786</t>
        </is>
      </c>
      <c r="K3906" s="45" t="inlineStr">
        <is>
          <t>Chargé de marketing et communication</t>
        </is>
      </c>
      <c r="L3906" s="45" t="inlineStr">
        <is>
          <t>31/12/2030</t>
        </is>
      </c>
      <c r="M3906" s="45" t="inlineStr"/>
      <c r="N3906" s="50" t="inlineStr">
        <is>
          <t>NON</t>
        </is>
      </c>
      <c r="O3906" s="45" t="inlineStr"/>
    </row>
    <row r="3907" customFormat="1" s="3">
      <c r="A3907" s="45" t="n"/>
      <c r="B3907" s="46" t="inlineStr">
        <is>
          <t>34085</t>
        </is>
      </c>
      <c r="C3907" s="46">
        <f>LEFT(Tableau1[[#This Row],[Formacode]],3)</f>
        <v/>
      </c>
      <c r="D3907" s="47" t="n">
        <v>37988</v>
      </c>
      <c r="E3907" s="48">
        <f>"RNCP"&amp;D3907</f>
        <v/>
      </c>
      <c r="F3907" s="48" t="inlineStr">
        <is>
          <t>Diplôme visé - Diplôme supérieur en marketing, vente et gestion</t>
        </is>
      </c>
      <c r="G3907" s="49">
        <f>E3907&amp;" - "&amp;F3907</f>
        <v/>
      </c>
      <c r="H3907" s="36" t="inlineStr">
        <is>
          <t>RAS</t>
        </is>
      </c>
      <c r="I3907" s="45" t="inlineStr"/>
      <c r="J3907" s="45" t="inlineStr">
        <is>
          <t>RNCP37988</t>
        </is>
      </c>
      <c r="K3907" s="45" t="inlineStr">
        <is>
          <t>Diplôme visé - Diplôme supérieur en marketing, vente et gestion</t>
        </is>
      </c>
      <c r="L3907" s="45" t="inlineStr">
        <is>
          <t>31/12/2030</t>
        </is>
      </c>
      <c r="M3907" s="45" t="inlineStr"/>
      <c r="N3907" s="50" t="inlineStr">
        <is>
          <t>NON</t>
        </is>
      </c>
      <c r="O3907" s="45" t="inlineStr"/>
    </row>
    <row r="3908" customFormat="1" s="3">
      <c r="A3908" s="45" t="n"/>
      <c r="B3908" s="46" t="inlineStr">
        <is>
          <t>34085</t>
        </is>
      </c>
      <c r="C3908" s="46">
        <f>LEFT(Tableau1[[#This Row],[Formacode]],3)</f>
        <v/>
      </c>
      <c r="D3908" s="47" t="n">
        <v>38025</v>
      </c>
      <c r="E3908" s="48">
        <f>"RNCP"&amp;D3908</f>
        <v/>
      </c>
      <c r="F3908" s="48" t="inlineStr">
        <is>
          <t>Chargé de développement commercial et marketing</t>
        </is>
      </c>
      <c r="G3908" s="49">
        <f>E3908&amp;" - "&amp;F3908</f>
        <v/>
      </c>
      <c r="H3908" s="36" t="inlineStr">
        <is>
          <t>RAS</t>
        </is>
      </c>
      <c r="I3908" s="45" t="inlineStr"/>
      <c r="J3908" s="45" t="inlineStr">
        <is>
          <t>RNCP38025</t>
        </is>
      </c>
      <c r="K3908" s="45" t="inlineStr">
        <is>
          <t>Chargé de développement commercial et marketing</t>
        </is>
      </c>
      <c r="L3908" s="45" t="inlineStr">
        <is>
          <t>31/12/2030</t>
        </is>
      </c>
      <c r="M3908" s="45" t="inlineStr"/>
      <c r="N3908" s="50" t="inlineStr">
        <is>
          <t>NON</t>
        </is>
      </c>
      <c r="O3908" s="45" t="inlineStr"/>
    </row>
    <row r="3909" customFormat="1" s="3">
      <c r="A3909" s="45" t="n"/>
      <c r="B3909" s="46" t="inlineStr">
        <is>
          <t>34085</t>
        </is>
      </c>
      <c r="C3909" s="46">
        <f>LEFT(Tableau1[[#This Row],[Formacode]],3)</f>
        <v/>
      </c>
      <c r="D3909" s="47" t="n">
        <v>38123</v>
      </c>
      <c r="E3909" s="48">
        <f>"RNCP"&amp;D3909</f>
        <v/>
      </c>
      <c r="F3909" s="48" t="inlineStr">
        <is>
          <t>Responsable du développement commercial</t>
        </is>
      </c>
      <c r="G3909" s="49">
        <f>E3909&amp;" - "&amp;F3909</f>
        <v/>
      </c>
      <c r="H3909" s="36" t="inlineStr">
        <is>
          <t>RAS</t>
        </is>
      </c>
      <c r="I3909" s="45" t="inlineStr"/>
      <c r="J3909" s="45" t="inlineStr">
        <is>
          <t>RNCP38123</t>
        </is>
      </c>
      <c r="K3909" s="45" t="inlineStr">
        <is>
          <t>Responsable du développement commercial</t>
        </is>
      </c>
      <c r="L3909" s="45" t="inlineStr">
        <is>
          <t>31/12/2030</t>
        </is>
      </c>
      <c r="M3909" s="45" t="inlineStr"/>
      <c r="N3909" s="50" t="inlineStr">
        <is>
          <t>NON</t>
        </is>
      </c>
      <c r="O3909" s="45" t="inlineStr"/>
    </row>
    <row r="3910" customFormat="1" s="3">
      <c r="A3910" s="45" t="n"/>
      <c r="B3910" s="46" t="inlineStr">
        <is>
          <t>34085</t>
        </is>
      </c>
      <c r="C3910" s="46">
        <f>LEFT(Tableau1[[#This Row],[Formacode]],3)</f>
        <v/>
      </c>
      <c r="D3910" s="47" t="n">
        <v>38131</v>
      </c>
      <c r="E3910" s="48">
        <f>"RNCP"&amp;D3910</f>
        <v/>
      </c>
      <c r="F3910" s="48" t="inlineStr">
        <is>
          <t>Responsable marketing et communication</t>
        </is>
      </c>
      <c r="G3910" s="49">
        <f>E3910&amp;" - "&amp;F3910</f>
        <v/>
      </c>
      <c r="H3910" s="36" t="inlineStr">
        <is>
          <t>RAS</t>
        </is>
      </c>
      <c r="I3910" s="45" t="inlineStr"/>
      <c r="J3910" s="45" t="inlineStr">
        <is>
          <t>RNCP38131</t>
        </is>
      </c>
      <c r="K3910" s="45" t="inlineStr">
        <is>
          <t>Responsable marketing et communication</t>
        </is>
      </c>
      <c r="L3910" s="45" t="inlineStr">
        <is>
          <t>31/12/2030</t>
        </is>
      </c>
      <c r="M3910" s="45" t="inlineStr"/>
      <c r="N3910" s="50" t="inlineStr">
        <is>
          <t>NON</t>
        </is>
      </c>
      <c r="O3910" s="45" t="inlineStr"/>
    </row>
    <row r="3911" customFormat="1" s="3">
      <c r="A3911" s="45" t="n"/>
      <c r="B3911" s="46" t="inlineStr">
        <is>
          <t>34085</t>
        </is>
      </c>
      <c r="C3911" s="46">
        <f>LEFT(Tableau1[[#This Row],[Formacode]],3)</f>
        <v/>
      </c>
      <c r="D3911" s="47" t="n">
        <v>38146</v>
      </c>
      <c r="E3911" s="48">
        <f>"RNCP"&amp;D3911</f>
        <v/>
      </c>
      <c r="F3911" s="48" t="inlineStr">
        <is>
          <t>Responsable commercial</t>
        </is>
      </c>
      <c r="G3911" s="49">
        <f>E3911&amp;" - "&amp;F3911</f>
        <v/>
      </c>
      <c r="H3911" s="36" t="inlineStr">
        <is>
          <t>RAS</t>
        </is>
      </c>
      <c r="I3911" s="45" t="inlineStr"/>
      <c r="J3911" s="45" t="inlineStr">
        <is>
          <t>RNCP38146</t>
        </is>
      </c>
      <c r="K3911" s="45" t="inlineStr">
        <is>
          <t>Responsable commercial</t>
        </is>
      </c>
      <c r="L3911" s="45" t="inlineStr">
        <is>
          <t>31/12/2030</t>
        </is>
      </c>
      <c r="M3911" s="45" t="inlineStr"/>
      <c r="N3911" s="50" t="inlineStr">
        <is>
          <t>NON</t>
        </is>
      </c>
      <c r="O3911" s="45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BTS - Management commercial opérationnel</t>
        </is>
      </c>
      <c r="L3912" s="45" t="inlineStr">
        <is>
          <t>31/12/2030</t>
        </is>
      </c>
      <c r="M3912" s="45" t="inlineStr"/>
      <c r="N3912" s="50" t="inlineStr">
        <is>
          <t>NON</t>
        </is>
      </c>
      <c r="O3912" s="45" t="inlineStr"/>
    </row>
    <row r="3913" customFormat="1" s="3">
      <c r="A3913" s="45" t="n"/>
      <c r="B3913" s="46" t="inlineStr">
        <is>
          <t>34085</t>
        </is>
      </c>
      <c r="C3913" s="46">
        <f>LEFT(Tableau1[[#This Row],[Formacode]],3)</f>
        <v/>
      </c>
      <c r="D3913" s="47" t="n">
        <v>38505</v>
      </c>
      <c r="E3913" s="48">
        <f>"RNCP"&amp;D3913</f>
        <v/>
      </c>
      <c r="F3913" s="48" t="inlineStr">
        <is>
          <t>Responsable du développement commercial</t>
        </is>
      </c>
      <c r="G3913" s="49">
        <f>E3913&amp;" - "&amp;F3913</f>
        <v/>
      </c>
      <c r="H3913" s="36" t="inlineStr">
        <is>
          <t>RAS</t>
        </is>
      </c>
      <c r="I3913" s="45" t="inlineStr"/>
      <c r="J3913" s="45" t="inlineStr">
        <is>
          <t>RNCP38505</t>
        </is>
      </c>
      <c r="K3913" s="45" t="inlineStr">
        <is>
          <t>Responsable du développement commercial</t>
        </is>
      </c>
      <c r="L3913" s="45" t="inlineStr">
        <is>
          <t>31/12/2030</t>
        </is>
      </c>
      <c r="M3913" s="45" t="inlineStr"/>
      <c r="N3913" s="50" t="inlineStr">
        <is>
          <t>NON</t>
        </is>
      </c>
      <c r="O3913" s="45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31/12/2030</t>
        </is>
      </c>
      <c r="M3914" s="45" t="inlineStr"/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31/12/2030</t>
        </is>
      </c>
      <c r="M3915" s="45" t="inlineStr"/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31/12/2030</t>
        </is>
      </c>
      <c r="M3916" s="45" t="inlineStr"/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31/12/2030</t>
        </is>
      </c>
      <c r="M3917" s="45" t="inlineStr"/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31/12/2030</t>
        </is>
      </c>
      <c r="M3918" s="45" t="inlineStr"/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DIPLOVIS - Gestion et Développement Commercial</t>
        </is>
      </c>
      <c r="L3919" s="45" t="inlineStr">
        <is>
          <t>31/12/2030</t>
        </is>
      </c>
      <c r="M3919" s="45" t="inlineStr"/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31/12/2030</t>
        </is>
      </c>
      <c r="M3920" s="45" t="inlineStr"/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31/12/2030</t>
        </is>
      </c>
      <c r="M3921" s="45" t="inlineStr"/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31/12/2030</t>
        </is>
      </c>
      <c r="M3922" s="45" t="inlineStr"/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31/12/2030</t>
        </is>
      </c>
      <c r="M3923" s="45" t="inlineStr"/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31/12/2030</t>
        </is>
      </c>
      <c r="M3924" s="45" t="inlineStr"/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31/12/2030</t>
        </is>
      </c>
      <c r="M3925" s="45" t="inlineStr"/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31/12/2030</t>
        </is>
      </c>
      <c r="M3926" s="45" t="inlineStr"/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31/12/2030</t>
        </is>
      </c>
      <c r="M3927" s="45" t="inlineStr"/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31/12/2030</t>
        </is>
      </c>
      <c r="M3928" s="45" t="inlineStr"/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31/12/2030</t>
        </is>
      </c>
      <c r="M3929" s="45" t="inlineStr"/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DipViGrL - Diplôme d’enseignement supérieur en management</t>
        </is>
      </c>
      <c r="L3930" s="45" t="inlineStr">
        <is>
          <t>31/12/2030</t>
        </is>
      </c>
      <c r="M3930" s="45" t="inlineStr"/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31/12/2030</t>
        </is>
      </c>
      <c r="M3931" s="45" t="inlineStr"/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31/12/2030</t>
        </is>
      </c>
      <c r="M3932" s="45" t="inlineStr"/>
      <c r="N3932" s="50" t="inlineStr">
        <is>
          <t>NON</t>
        </is>
      </c>
      <c r="O3932" s="45" t="inlineStr"/>
    </row>
    <row r="3933" customFormat="1" s="3">
      <c r="A3933" s="45" t="n"/>
      <c r="B3933" s="46" t="inlineStr">
        <is>
          <t>34232</t>
        </is>
      </c>
      <c r="C3933" s="46">
        <f>LEFT(Tableau1[[#This Row],[Formacode]],3)</f>
        <v/>
      </c>
      <c r="D3933" s="47" t="n">
        <v>35800</v>
      </c>
      <c r="E3933" s="48">
        <f>"RNCP"&amp;D3933</f>
        <v/>
      </c>
      <c r="F3933" s="48" t="inlineStr">
        <is>
          <t>Brevet de technicien supérieur - Commerce international</t>
        </is>
      </c>
      <c r="G3933" s="49">
        <f>E3933&amp;" - "&amp;F3933</f>
        <v/>
      </c>
      <c r="H3933" s="36" t="inlineStr">
        <is>
          <t>RAS</t>
        </is>
      </c>
      <c r="I3933" s="45" t="inlineStr"/>
      <c r="J3933" s="45" t="inlineStr">
        <is>
          <t>RNCP35800</t>
        </is>
      </c>
      <c r="K3933" s="45" t="inlineStr">
        <is>
          <t>Brevet de technicien supérieur - Commerce international</t>
        </is>
      </c>
      <c r="L3933" s="45" t="inlineStr">
        <is>
          <t>31/12/2030</t>
        </is>
      </c>
      <c r="M3933" s="45" t="inlineStr"/>
      <c r="N3933" s="50" t="inlineStr">
        <is>
          <t>NON</t>
        </is>
      </c>
      <c r="O3933" s="45" t="inlineStr"/>
    </row>
    <row r="3934" customFormat="1" s="3">
      <c r="A3934" s="45" t="n"/>
      <c r="B3934" s="46" t="inlineStr">
        <is>
          <t>34232</t>
        </is>
      </c>
      <c r="C3934" s="46">
        <f>LEFT(Tableau1[[#This Row],[Formacode]],3)</f>
        <v/>
      </c>
      <c r="D3934" s="47" t="n">
        <v>36320</v>
      </c>
      <c r="E3934" s="48">
        <f>"RNCP"&amp;D3934</f>
        <v/>
      </c>
      <c r="F3934" s="48" t="inlineStr">
        <is>
          <t>DIPLOVIS - Ingénieur d'affaires</t>
        </is>
      </c>
      <c r="G3934" s="49">
        <f>E3934&amp;" - "&amp;F3934</f>
        <v/>
      </c>
      <c r="H3934" s="36" t="inlineStr">
        <is>
          <t>RAS</t>
        </is>
      </c>
      <c r="I3934" s="45" t="inlineStr"/>
      <c r="J3934" s="45" t="inlineStr">
        <is>
          <t>RNCP36320</t>
        </is>
      </c>
      <c r="K3934" s="45" t="inlineStr">
        <is>
          <t>DIPLOVIS - Ingénieur d'affaires</t>
        </is>
      </c>
      <c r="L3934" s="45" t="inlineStr">
        <is>
          <t>31/12/2030</t>
        </is>
      </c>
      <c r="M3934" s="45" t="inlineStr"/>
      <c r="N3934" s="50" t="inlineStr">
        <is>
          <t>NON</t>
        </is>
      </c>
      <c r="O3934" s="45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DIPLOVIS - Diplôme d’Etudes Spécialisées en Management International</t>
        </is>
      </c>
      <c r="L3935" s="45" t="inlineStr">
        <is>
          <t>31/12/2030</t>
        </is>
      </c>
      <c r="M3935" s="45" t="inlineStr"/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31/12/2030</t>
        </is>
      </c>
      <c r="M3936" s="45" t="inlineStr"/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DipViGrM - Diplôme d’études supérieures en marketing, gestion commerciale et management international</t>
        </is>
      </c>
      <c r="L3937" s="45" t="inlineStr">
        <is>
          <t>31/12/2030</t>
        </is>
      </c>
      <c r="M3937" s="45" t="inlineStr"/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31/12/2030</t>
        </is>
      </c>
      <c r="M3938" s="45" t="inlineStr"/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31/12/2030</t>
        </is>
      </c>
      <c r="M3939" s="45" t="inlineStr"/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31/12/2030</t>
        </is>
      </c>
      <c r="M3940" s="45" t="inlineStr"/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DipViGrL - Diplôme d’enseignement supérieure en management des affaires internationales</t>
        </is>
      </c>
      <c r="L3941" s="45" t="inlineStr">
        <is>
          <t>31/12/2030</t>
        </is>
      </c>
      <c r="M3941" s="45" t="inlineStr"/>
      <c r="N3941" s="50" t="inlineStr">
        <is>
          <t>NON</t>
        </is>
      </c>
      <c r="O3941" s="45" t="inlineStr"/>
    </row>
    <row r="3942" customFormat="1" s="3">
      <c r="A3942" s="45" t="n"/>
      <c r="B3942" s="46" t="inlineStr">
        <is>
          <t>34236</t>
        </is>
      </c>
      <c r="C3942" s="46">
        <f>LEFT(Tableau1[[#This Row],[Formacode]],3)</f>
        <v/>
      </c>
      <c r="D3942" s="47" t="n">
        <v>35800</v>
      </c>
      <c r="E3942" s="48">
        <f>"RNCP"&amp;D3942</f>
        <v/>
      </c>
      <c r="F3942" s="48" t="inlineStr">
        <is>
          <t>Brevet de technicien supérieur - Commerce international</t>
        </is>
      </c>
      <c r="G3942" s="49">
        <f>E3942&amp;" - "&amp;F3942</f>
        <v/>
      </c>
      <c r="H3942" s="36" t="inlineStr">
        <is>
          <t>RAS</t>
        </is>
      </c>
      <c r="I3942" s="45" t="inlineStr"/>
      <c r="J3942" s="45" t="inlineStr">
        <is>
          <t>RNCP35800</t>
        </is>
      </c>
      <c r="K3942" s="45" t="inlineStr">
        <is>
          <t>Brevet de technicien supérieur - Commerce international</t>
        </is>
      </c>
      <c r="L3942" s="45" t="inlineStr">
        <is>
          <t>31/12/2030</t>
        </is>
      </c>
      <c r="M3942" s="45" t="inlineStr"/>
      <c r="N3942" s="50" t="inlineStr">
        <is>
          <t>NON</t>
        </is>
      </c>
      <c r="O3942" s="45" t="inlineStr"/>
    </row>
    <row r="3943" customFormat="1" s="3">
      <c r="A3943" s="45" t="n"/>
      <c r="B3943" s="46" t="inlineStr">
        <is>
          <t>34236</t>
        </is>
      </c>
      <c r="C3943" s="46">
        <f>LEFT(Tableau1[[#This Row],[Formacode]],3)</f>
        <v/>
      </c>
      <c r="D3943" s="47" t="n">
        <v>36320</v>
      </c>
      <c r="E3943" s="48">
        <f>"RNCP"&amp;D3943</f>
        <v/>
      </c>
      <c r="F3943" s="48" t="inlineStr">
        <is>
          <t>DIPLOVIS - Ingénieur d'affaires</t>
        </is>
      </c>
      <c r="G3943" s="49">
        <f>E3943&amp;" - "&amp;F3943</f>
        <v/>
      </c>
      <c r="H3943" s="36" t="inlineStr">
        <is>
          <t>RAS</t>
        </is>
      </c>
      <c r="I3943" s="45" t="inlineStr"/>
      <c r="J3943" s="45" t="inlineStr">
        <is>
          <t>RNCP36320</t>
        </is>
      </c>
      <c r="K3943" s="45" t="inlineStr">
        <is>
          <t>DIPLOVIS - Ingénieur d'affaires</t>
        </is>
      </c>
      <c r="L3943" s="45" t="inlineStr">
        <is>
          <t>31/12/2030</t>
        </is>
      </c>
      <c r="M3943" s="45" t="inlineStr"/>
      <c r="N3943" s="50" t="inlineStr">
        <is>
          <t>NON</t>
        </is>
      </c>
      <c r="O3943" s="45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DIPLOVIS - Diplôme d’Etudes Spécialisées en Management International</t>
        </is>
      </c>
      <c r="L3944" s="45" t="inlineStr">
        <is>
          <t>31/12/2030</t>
        </is>
      </c>
      <c r="M3944" s="45" t="inlineStr"/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31/12/2030</t>
        </is>
      </c>
      <c r="M3945" s="45" t="inlineStr"/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DipViGrM - Diplôme d’études supérieures en marketing, gestion commerciale et management international</t>
        </is>
      </c>
      <c r="L3946" s="45" t="inlineStr">
        <is>
          <t>31/12/2030</t>
        </is>
      </c>
      <c r="M3946" s="45" t="inlineStr"/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31/12/2030</t>
        </is>
      </c>
      <c r="M3947" s="45" t="inlineStr"/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31/12/2030</t>
        </is>
      </c>
      <c r="M3948" s="45" t="inlineStr"/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31/12/2030</t>
        </is>
      </c>
      <c r="M3949" s="45" t="inlineStr"/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DipViGrL - Diplôme d’enseignement supérieure en management des affaires internationales</t>
        </is>
      </c>
      <c r="L3950" s="45" t="inlineStr">
        <is>
          <t>31/12/2030</t>
        </is>
      </c>
      <c r="M3950" s="45" t="inlineStr"/>
      <c r="N3950" s="50" t="inlineStr">
        <is>
          <t>NON</t>
        </is>
      </c>
      <c r="O3950" s="45" t="inlineStr"/>
    </row>
    <row r="3951" customFormat="1" s="3">
      <c r="A3951" s="45" t="n"/>
      <c r="B3951" s="46" t="inlineStr">
        <is>
          <t>34240</t>
        </is>
      </c>
      <c r="C3951" s="46">
        <f>LEFT(Tableau1[[#This Row],[Formacode]],3)</f>
        <v/>
      </c>
      <c r="D3951" s="47" t="n">
        <v>35800</v>
      </c>
      <c r="E3951" s="48">
        <f>"RNCP"&amp;D3951</f>
        <v/>
      </c>
      <c r="F3951" s="48" t="inlineStr">
        <is>
          <t>Brevet de technicien supérieur - Commerce international</t>
        </is>
      </c>
      <c r="G3951" s="49">
        <f>E3951&amp;" - "&amp;F3951</f>
        <v/>
      </c>
      <c r="H3951" s="36" t="inlineStr">
        <is>
          <t>RAS</t>
        </is>
      </c>
      <c r="I3951" s="45" t="inlineStr"/>
      <c r="J3951" s="45" t="inlineStr">
        <is>
          <t>RNCP35800</t>
        </is>
      </c>
      <c r="K3951" s="45" t="inlineStr">
        <is>
          <t>Brevet de technicien supérieur - Commerce international</t>
        </is>
      </c>
      <c r="L3951" s="45" t="inlineStr">
        <is>
          <t>31/12/2030</t>
        </is>
      </c>
      <c r="M3951" s="45" t="inlineStr"/>
      <c r="N3951" s="50" t="inlineStr">
        <is>
          <t>NON</t>
        </is>
      </c>
      <c r="O3951" s="45" t="inlineStr"/>
    </row>
    <row r="3952" customFormat="1" s="3">
      <c r="A3952" s="45" t="n"/>
      <c r="B3952" s="46" t="inlineStr">
        <is>
          <t>34240</t>
        </is>
      </c>
      <c r="C3952" s="46">
        <f>LEFT(Tableau1[[#This Row],[Formacode]],3)</f>
        <v/>
      </c>
      <c r="D3952" s="47" t="n">
        <v>36320</v>
      </c>
      <c r="E3952" s="48">
        <f>"RNCP"&amp;D3952</f>
        <v/>
      </c>
      <c r="F3952" s="48" t="inlineStr">
        <is>
          <t>DIPLOVIS - Ingénieur d'affaires</t>
        </is>
      </c>
      <c r="G3952" s="49">
        <f>E3952&amp;" - "&amp;F3952</f>
        <v/>
      </c>
      <c r="H3952" s="36" t="inlineStr">
        <is>
          <t>RAS</t>
        </is>
      </c>
      <c r="I3952" s="45" t="inlineStr"/>
      <c r="J3952" s="45" t="inlineStr">
        <is>
          <t>RNCP36320</t>
        </is>
      </c>
      <c r="K3952" s="45" t="inlineStr">
        <is>
          <t>DIPLOVIS - Ingénieur d'affaires</t>
        </is>
      </c>
      <c r="L3952" s="45" t="inlineStr">
        <is>
          <t>31/12/2030</t>
        </is>
      </c>
      <c r="M3952" s="45" t="inlineStr"/>
      <c r="N3952" s="50" t="inlineStr">
        <is>
          <t>NON</t>
        </is>
      </c>
      <c r="O3952" s="45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31/12/2030</t>
        </is>
      </c>
      <c r="M3953" s="45" t="inlineStr"/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31/12/2030</t>
        </is>
      </c>
      <c r="M3954" s="45" t="inlineStr"/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31/12/2030</t>
        </is>
      </c>
      <c r="M3955" s="45" t="inlineStr"/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DIPLOVIS - Diplôme d’Etudes Spécialisées en Management International</t>
        </is>
      </c>
      <c r="L3956" s="45" t="inlineStr">
        <is>
          <t>31/12/2030</t>
        </is>
      </c>
      <c r="M3956" s="45" t="inlineStr"/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31/12/2030</t>
        </is>
      </c>
      <c r="M3957" s="45" t="inlineStr"/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DipViGrM - Diplôme d’études supérieures en marketing, gestion commerciale et management international</t>
        </is>
      </c>
      <c r="L3958" s="45" t="inlineStr">
        <is>
          <t>31/12/2030</t>
        </is>
      </c>
      <c r="M3958" s="45" t="inlineStr"/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31/12/2030</t>
        </is>
      </c>
      <c r="M3959" s="45" t="inlineStr"/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31/12/2030</t>
        </is>
      </c>
      <c r="M3960" s="45" t="inlineStr"/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31/12/2030</t>
        </is>
      </c>
      <c r="M3961" s="45" t="inlineStr"/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31/12/2030</t>
        </is>
      </c>
      <c r="M3962" s="45" t="inlineStr"/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31/12/2030</t>
        </is>
      </c>
      <c r="M3963" s="45" t="inlineStr"/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DipViGrL - Diplôme d’enseignement supérieure en management des affaires internationales</t>
        </is>
      </c>
      <c r="L3964" s="45" t="inlineStr">
        <is>
          <t>31/12/2030</t>
        </is>
      </c>
      <c r="M3964" s="45" t="inlineStr"/>
      <c r="N3964" s="50" t="inlineStr">
        <is>
          <t>NON</t>
        </is>
      </c>
      <c r="O3964" s="45" t="inlineStr"/>
    </row>
    <row r="3965" customFormat="1" s="3">
      <c r="A3965" s="45" t="n"/>
      <c r="B3965" s="46" t="inlineStr">
        <is>
          <t>34271</t>
        </is>
      </c>
      <c r="C3965" s="46">
        <f>LEFT(Tableau1[[#This Row],[Formacode]],3)</f>
        <v/>
      </c>
      <c r="D3965" s="47" t="n">
        <v>35800</v>
      </c>
      <c r="E3965" s="48">
        <f>"RNCP"&amp;D3965</f>
        <v/>
      </c>
      <c r="F3965" s="48" t="inlineStr">
        <is>
          <t>Brevet de technicien supérieur - Commerce international</t>
        </is>
      </c>
      <c r="G3965" s="49">
        <f>E3965&amp;" - "&amp;F3965</f>
        <v/>
      </c>
      <c r="H3965" s="36" t="inlineStr">
        <is>
          <t>RAS</t>
        </is>
      </c>
      <c r="I3965" s="45" t="inlineStr"/>
      <c r="J3965" s="45" t="inlineStr">
        <is>
          <t>RNCP35800</t>
        </is>
      </c>
      <c r="K3965" s="45" t="inlineStr">
        <is>
          <t>Brevet de technicien supérieur - Commerce international</t>
        </is>
      </c>
      <c r="L3965" s="45" t="inlineStr">
        <is>
          <t>31/12/2030</t>
        </is>
      </c>
      <c r="M3965" s="45" t="inlineStr"/>
      <c r="N3965" s="50" t="inlineStr">
        <is>
          <t>NON</t>
        </is>
      </c>
      <c r="O3965" s="45" t="inlineStr"/>
    </row>
    <row r="3966" customFormat="1" s="3">
      <c r="A3966" s="45" t="n"/>
      <c r="B3966" s="46" t="inlineStr">
        <is>
          <t>34271</t>
        </is>
      </c>
      <c r="C3966" s="46">
        <f>LEFT(Tableau1[[#This Row],[Formacode]],3)</f>
        <v/>
      </c>
      <c r="D3966" s="47" t="n">
        <v>36320</v>
      </c>
      <c r="E3966" s="48">
        <f>"RNCP"&amp;D3966</f>
        <v/>
      </c>
      <c r="F3966" s="48" t="inlineStr">
        <is>
          <t>DIPLOVIS - Ingénieur d'affaires</t>
        </is>
      </c>
      <c r="G3966" s="49">
        <f>E3966&amp;" - "&amp;F3966</f>
        <v/>
      </c>
      <c r="H3966" s="36" t="inlineStr">
        <is>
          <t>RAS</t>
        </is>
      </c>
      <c r="I3966" s="45" t="inlineStr"/>
      <c r="J3966" s="45" t="inlineStr">
        <is>
          <t>RNCP36320</t>
        </is>
      </c>
      <c r="K3966" s="45" t="inlineStr">
        <is>
          <t>DIPLOVIS - Ingénieur d'affaires</t>
        </is>
      </c>
      <c r="L3966" s="45" t="inlineStr">
        <is>
          <t>31/12/2030</t>
        </is>
      </c>
      <c r="M3966" s="45" t="inlineStr"/>
      <c r="N3966" s="50" t="inlineStr">
        <is>
          <t>NON</t>
        </is>
      </c>
      <c r="O3966" s="45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DIPLOVIS - Diplôme d’Etudes Spécialisées en Management International</t>
        </is>
      </c>
      <c r="L3967" s="45" t="inlineStr">
        <is>
          <t>31/12/2030</t>
        </is>
      </c>
      <c r="M3967" s="45" t="inlineStr"/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31/12/2030</t>
        </is>
      </c>
      <c r="M3968" s="45" t="inlineStr"/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DipViGrM - Diplôme d’études supérieures en marketing, gestion commerciale et management international</t>
        </is>
      </c>
      <c r="L3969" s="45" t="inlineStr">
        <is>
          <t>31/12/2030</t>
        </is>
      </c>
      <c r="M3969" s="45" t="inlineStr"/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31/12/2030</t>
        </is>
      </c>
      <c r="M3970" s="45" t="inlineStr"/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31/12/2030</t>
        </is>
      </c>
      <c r="M3971" s="45" t="inlineStr"/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31/12/2030</t>
        </is>
      </c>
      <c r="M3972" s="45" t="inlineStr"/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DipViGrL - Diplôme d’enseignement supérieure en management des affaires internationales</t>
        </is>
      </c>
      <c r="L3973" s="45" t="inlineStr">
        <is>
          <t>31/12/2030</t>
        </is>
      </c>
      <c r="M3973" s="45" t="inlineStr"/>
      <c r="N3973" s="50" t="inlineStr">
        <is>
          <t>NON</t>
        </is>
      </c>
      <c r="O3973" s="45" t="inlineStr"/>
    </row>
    <row r="3974" customFormat="1" s="3">
      <c r="A3974" s="45" t="n"/>
      <c r="B3974" s="46" t="inlineStr">
        <is>
          <t>34285</t>
        </is>
      </c>
      <c r="C3974" s="46">
        <f>LEFT(Tableau1[[#This Row],[Formacode]],3)</f>
        <v/>
      </c>
      <c r="D3974" s="47" t="n">
        <v>35462</v>
      </c>
      <c r="E3974" s="48">
        <f>"RNCP"&amp;D3974</f>
        <v/>
      </c>
      <c r="F3974" s="48" t="inlineStr">
        <is>
          <t>Manager achats et approvisionnement</t>
        </is>
      </c>
      <c r="G3974" s="49">
        <f>E3974&amp;" - "&amp;F3974</f>
        <v/>
      </c>
      <c r="H3974" s="36" t="inlineStr">
        <is>
          <t>RAS</t>
        </is>
      </c>
      <c r="I3974" s="45" t="inlineStr"/>
      <c r="J3974" s="45" t="inlineStr">
        <is>
          <t>RNCP35462</t>
        </is>
      </c>
      <c r="K3974" s="45" t="inlineStr">
        <is>
          <t>Manager achats et approvisionnement</t>
        </is>
      </c>
      <c r="L3974" s="45" t="inlineStr">
        <is>
          <t>31/12/2030</t>
        </is>
      </c>
      <c r="M3974" s="45" t="inlineStr"/>
      <c r="N3974" s="50" t="inlineStr">
        <is>
          <t>NON</t>
        </is>
      </c>
      <c r="O3974" s="45" t="inlineStr"/>
    </row>
    <row r="3975" customFormat="1" s="3">
      <c r="A3975" s="45" t="n"/>
      <c r="B3975" s="46" t="inlineStr">
        <is>
          <t>34285</t>
        </is>
      </c>
      <c r="C3975" s="46">
        <f>LEFT(Tableau1[[#This Row],[Formacode]],3)</f>
        <v/>
      </c>
      <c r="D3975" s="47" t="n">
        <v>35800</v>
      </c>
      <c r="E3975" s="48">
        <f>"RNCP"&amp;D3975</f>
        <v/>
      </c>
      <c r="F3975" s="48" t="inlineStr">
        <is>
          <t>Brevet de technicien supérieur - Commerce international</t>
        </is>
      </c>
      <c r="G3975" s="49">
        <f>E3975&amp;" - "&amp;F3975</f>
        <v/>
      </c>
      <c r="H3975" s="36" t="inlineStr">
        <is>
          <t>RAS</t>
        </is>
      </c>
      <c r="I3975" s="45" t="inlineStr"/>
      <c r="J3975" s="45" t="inlineStr">
        <is>
          <t>RNCP35800</t>
        </is>
      </c>
      <c r="K3975" s="45" t="inlineStr">
        <is>
          <t>Brevet de technicien supérieur - Commerce international</t>
        </is>
      </c>
      <c r="L3975" s="45" t="inlineStr">
        <is>
          <t>31/12/2030</t>
        </is>
      </c>
      <c r="M3975" s="45" t="inlineStr"/>
      <c r="N3975" s="50" t="inlineStr">
        <is>
          <t>NON</t>
        </is>
      </c>
      <c r="O3975" s="45" t="inlineStr"/>
    </row>
    <row r="3976" customFormat="1" s="3">
      <c r="A3976" s="45" t="n"/>
      <c r="B3976" s="46" t="inlineStr">
        <is>
          <t>34285</t>
        </is>
      </c>
      <c r="C3976" s="46">
        <f>LEFT(Tableau1[[#This Row],[Formacode]],3)</f>
        <v/>
      </c>
      <c r="D3976" s="47" t="n">
        <v>36320</v>
      </c>
      <c r="E3976" s="48">
        <f>"RNCP"&amp;D3976</f>
        <v/>
      </c>
      <c r="F3976" s="48" t="inlineStr">
        <is>
          <t>DIPLOVIS - Ingénieur d'affaires</t>
        </is>
      </c>
      <c r="G3976" s="49">
        <f>E3976&amp;" - "&amp;F3976</f>
        <v/>
      </c>
      <c r="H3976" s="36" t="inlineStr">
        <is>
          <t>RAS</t>
        </is>
      </c>
      <c r="I3976" s="45" t="inlineStr"/>
      <c r="J3976" s="45" t="inlineStr">
        <is>
          <t>RNCP36320</t>
        </is>
      </c>
      <c r="K3976" s="45" t="inlineStr">
        <is>
          <t>DIPLOVIS - Ingénieur d'affaires</t>
        </is>
      </c>
      <c r="L3976" s="45" t="inlineStr">
        <is>
          <t>31/12/2030</t>
        </is>
      </c>
      <c r="M3976" s="45" t="inlineStr"/>
      <c r="N3976" s="50" t="inlineStr">
        <is>
          <t>NON</t>
        </is>
      </c>
      <c r="O3976" s="45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TP - Assistant import-export</t>
        </is>
      </c>
      <c r="L3977" s="45" t="inlineStr">
        <is>
          <t>31/12/2030</t>
        </is>
      </c>
      <c r="M3977" s="45" t="inlineStr"/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 (MS)</t>
        </is>
      </c>
      <c r="L3978" s="45" t="inlineStr">
        <is>
          <t>31/12/2030</t>
        </is>
      </c>
      <c r="M3978" s="45" t="inlineStr"/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31/12/2030</t>
        </is>
      </c>
      <c r="M3979" s="45" t="inlineStr"/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DIPLOVIS - Diplôme d’Etudes Spécialisées en Management International</t>
        </is>
      </c>
      <c r="L3980" s="45" t="inlineStr">
        <is>
          <t>31/12/2030</t>
        </is>
      </c>
      <c r="M3980" s="45" t="inlineStr"/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31/12/2030</t>
        </is>
      </c>
      <c r="M3981" s="45" t="inlineStr"/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DipViGrM - Diplôme d’études supérieures en marketing, gestion commerciale et management international</t>
        </is>
      </c>
      <c r="L3982" s="45" t="inlineStr">
        <is>
          <t>31/12/2030</t>
        </is>
      </c>
      <c r="M3982" s="45" t="inlineStr"/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31/12/2030</t>
        </is>
      </c>
      <c r="M3983" s="45" t="inlineStr"/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31/12/2030</t>
        </is>
      </c>
      <c r="M3984" s="45" t="inlineStr"/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31/12/2030</t>
        </is>
      </c>
      <c r="M3985" s="45" t="inlineStr"/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31/12/2030</t>
        </is>
      </c>
      <c r="M3986" s="45" t="inlineStr"/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DipViGrL - Diplôme d’enseignement supérieure en management des affaires internationales</t>
        </is>
      </c>
      <c r="L3987" s="45" t="inlineStr">
        <is>
          <t>31/12/2030</t>
        </is>
      </c>
      <c r="M3987" s="45" t="inlineStr"/>
      <c r="N3987" s="50" t="inlineStr">
        <is>
          <t>NON</t>
        </is>
      </c>
      <c r="O3987" s="45" t="inlineStr"/>
    </row>
    <row r="3988" customFormat="1" s="3">
      <c r="A3988" s="45" t="n"/>
      <c r="B3988" s="46" t="inlineStr">
        <is>
          <t>34287</t>
        </is>
      </c>
      <c r="C3988" s="46">
        <f>LEFT(Tableau1[[#This Row],[Formacode]],3)</f>
        <v/>
      </c>
      <c r="D3988" s="47" t="n">
        <v>35800</v>
      </c>
      <c r="E3988" s="48">
        <f>"RNCP"&amp;D3988</f>
        <v/>
      </c>
      <c r="F3988" s="48" t="inlineStr">
        <is>
          <t>Brevet de technicien supérieur - Commerce international</t>
        </is>
      </c>
      <c r="G3988" s="49">
        <f>E3988&amp;" - "&amp;F3988</f>
        <v/>
      </c>
      <c r="H3988" s="36" t="inlineStr">
        <is>
          <t>RAS</t>
        </is>
      </c>
      <c r="I3988" s="45" t="inlineStr"/>
      <c r="J3988" s="45" t="inlineStr">
        <is>
          <t>RNCP35800</t>
        </is>
      </c>
      <c r="K3988" s="45" t="inlineStr">
        <is>
          <t>Brevet de technicien supérieur - Commerce international</t>
        </is>
      </c>
      <c r="L3988" s="45" t="inlineStr">
        <is>
          <t>31/12/2030</t>
        </is>
      </c>
      <c r="M3988" s="45" t="inlineStr"/>
      <c r="N3988" s="50" t="inlineStr">
        <is>
          <t>NON</t>
        </is>
      </c>
      <c r="O3988" s="45" t="inlineStr"/>
    </row>
    <row r="3989" customFormat="1" s="3">
      <c r="A3989" s="45" t="n"/>
      <c r="B3989" s="46" t="inlineStr">
        <is>
          <t>34287</t>
        </is>
      </c>
      <c r="C3989" s="46">
        <f>LEFT(Tableau1[[#This Row],[Formacode]],3)</f>
        <v/>
      </c>
      <c r="D3989" s="47" t="n">
        <v>36320</v>
      </c>
      <c r="E3989" s="48">
        <f>"RNCP"&amp;D3989</f>
        <v/>
      </c>
      <c r="F3989" s="48" t="inlineStr">
        <is>
          <t>DIPLOVIS - Ingénieur d'affaires</t>
        </is>
      </c>
      <c r="G3989" s="49">
        <f>E3989&amp;" - "&amp;F3989</f>
        <v/>
      </c>
      <c r="H3989" s="36" t="inlineStr">
        <is>
          <t>RAS</t>
        </is>
      </c>
      <c r="I3989" s="45" t="inlineStr"/>
      <c r="J3989" s="45" t="inlineStr">
        <is>
          <t>RNCP36320</t>
        </is>
      </c>
      <c r="K3989" s="45" t="inlineStr">
        <is>
          <t>DIPLOVIS - Ingénieur d'affaires</t>
        </is>
      </c>
      <c r="L3989" s="45" t="inlineStr">
        <is>
          <t>31/12/2030</t>
        </is>
      </c>
      <c r="M3989" s="45" t="inlineStr"/>
      <c r="N3989" s="50" t="inlineStr">
        <is>
          <t>NON</t>
        </is>
      </c>
      <c r="O3989" s="45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BTS - Gestion des transports et logistique associée</t>
        </is>
      </c>
      <c r="L3990" s="45" t="inlineStr">
        <is>
          <t>31/12/2030</t>
        </is>
      </c>
      <c r="M3990" s="45" t="inlineStr"/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31/12/2030</t>
        </is>
      </c>
      <c r="M3991" s="45" t="inlineStr"/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DIPLOVIS - Diplôme d’Etudes Spécialisées en Management International</t>
        </is>
      </c>
      <c r="L3992" s="45" t="inlineStr">
        <is>
          <t>31/12/2030</t>
        </is>
      </c>
      <c r="M3992" s="45" t="inlineStr"/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31/12/2030</t>
        </is>
      </c>
      <c r="M3993" s="45" t="inlineStr"/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DipViGrM - Diplôme d’études supérieures en marketing, gestion commerciale et management international</t>
        </is>
      </c>
      <c r="L3994" s="45" t="inlineStr">
        <is>
          <t>31/12/2030</t>
        </is>
      </c>
      <c r="M3994" s="45" t="inlineStr"/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31/12/2030</t>
        </is>
      </c>
      <c r="M3995" s="45" t="inlineStr"/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31/12/2030</t>
        </is>
      </c>
      <c r="M3996" s="45" t="inlineStr"/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31/12/2030</t>
        </is>
      </c>
      <c r="M3997" s="45" t="inlineStr"/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DipViGrL - Diplôme d’enseignement supérieure en management des affaires internationales</t>
        </is>
      </c>
      <c r="L3998" s="45" t="inlineStr">
        <is>
          <t>31/12/2030</t>
        </is>
      </c>
      <c r="M3998" s="45" t="inlineStr"/>
      <c r="N3998" s="50" t="inlineStr">
        <is>
          <t>NON</t>
        </is>
      </c>
      <c r="O3998" s="45" t="inlineStr"/>
    </row>
    <row r="3999" customFormat="1" s="3">
      <c r="A3999" s="45" t="n"/>
      <c r="B3999" s="46" t="inlineStr">
        <is>
          <t>34566</t>
        </is>
      </c>
      <c r="C3999" s="46">
        <f>LEFT(Tableau1[[#This Row],[Formacode]],3)</f>
        <v/>
      </c>
      <c r="D3999" s="47" t="n">
        <v>35185</v>
      </c>
      <c r="E3999" s="48">
        <f>"RNCP"&amp;D3999</f>
        <v/>
      </c>
      <c r="F3999" s="48" t="inlineStr">
        <is>
          <t>BAC PRO - Technicien conseil vente en alimentation (produits alimentaires et boissons)</t>
        </is>
      </c>
      <c r="G3999" s="49">
        <f>E3999&amp;" - "&amp;F3999</f>
        <v/>
      </c>
      <c r="H3999" s="36" t="inlineStr">
        <is>
          <t>RAS</t>
        </is>
      </c>
      <c r="I3999" s="45" t="inlineStr"/>
      <c r="J3999" s="45" t="inlineStr">
        <is>
          <t>RNCP35185</t>
        </is>
      </c>
      <c r="K3999" s="45" t="inlineStr">
        <is>
          <t>BAC PRO - Technicien conseil vente en alimentation (produits alimentaires et boissons)</t>
        </is>
      </c>
      <c r="L3999" s="45" t="inlineStr">
        <is>
          <t>31/12/2030</t>
        </is>
      </c>
      <c r="M3999" s="45" t="inlineStr"/>
      <c r="N3999" s="50" t="inlineStr">
        <is>
          <t>NON</t>
        </is>
      </c>
      <c r="O3999" s="45" t="inlineStr"/>
    </row>
    <row r="4000" customFormat="1" s="3">
      <c r="A4000" s="45" t="n"/>
      <c r="B4000" s="46" t="inlineStr">
        <is>
          <t>34566</t>
        </is>
      </c>
      <c r="C4000" s="46">
        <f>LEFT(Tableau1[[#This Row],[Formacode]],3)</f>
        <v/>
      </c>
      <c r="D4000" s="47" t="n">
        <v>35233</v>
      </c>
      <c r="E4000" s="48">
        <f>"RNCP"&amp;D4000</f>
        <v/>
      </c>
      <c r="F4000" s="48" t="inlineStr">
        <is>
          <t>TP - Assistant manager d’unité marchande</t>
        </is>
      </c>
      <c r="G4000" s="49">
        <f>E4000&amp;" - "&amp;F4000</f>
        <v/>
      </c>
      <c r="H4000" s="36" t="inlineStr">
        <is>
          <t>RAS</t>
        </is>
      </c>
      <c r="I4000" s="45" t="inlineStr"/>
      <c r="J4000" s="45" t="inlineStr">
        <is>
          <t>RNCP35233</t>
        </is>
      </c>
      <c r="K4000" s="45" t="inlineStr">
        <is>
          <t>TP - Assistant manager d’unité marchande</t>
        </is>
      </c>
      <c r="L4000" s="45" t="inlineStr">
        <is>
          <t>31/12/2030</t>
        </is>
      </c>
      <c r="M4000" s="45" t="inlineStr"/>
      <c r="N4000" s="50" t="inlineStr">
        <is>
          <t>NON</t>
        </is>
      </c>
      <c r="O4000" s="45" t="inlineStr"/>
    </row>
    <row r="4001" customFormat="1" s="3">
      <c r="A4001" s="45" t="n"/>
      <c r="B4001" s="46" t="inlineStr">
        <is>
          <t>34566</t>
        </is>
      </c>
      <c r="C4001" s="46">
        <f>LEFT(Tableau1[[#This Row],[Formacode]],3)</f>
        <v/>
      </c>
      <c r="D4001" s="47" t="n">
        <v>35304</v>
      </c>
      <c r="E4001" s="48">
        <f>"RNCP"&amp;D4001</f>
        <v/>
      </c>
      <c r="F4001" s="48" t="inlineStr">
        <is>
          <t>TP - Conseiller relation client à distance</t>
        </is>
      </c>
      <c r="G4001" s="49">
        <f>E4001&amp;" - "&amp;F4001</f>
        <v/>
      </c>
      <c r="H4001" s="36" t="inlineStr">
        <is>
          <t>RAS</t>
        </is>
      </c>
      <c r="I4001" s="45" t="inlineStr"/>
      <c r="J4001" s="45" t="inlineStr">
        <is>
          <t>RNCP35304</t>
        </is>
      </c>
      <c r="K4001" s="45" t="inlineStr">
        <is>
          <t>TP - Conseiller relation client à distance</t>
        </is>
      </c>
      <c r="L4001" s="45" t="inlineStr">
        <is>
          <t>31/12/2030</t>
        </is>
      </c>
      <c r="M4001" s="45" t="inlineStr"/>
      <c r="N4001" s="50" t="inlineStr">
        <is>
          <t>NON</t>
        </is>
      </c>
      <c r="O4001" s="45" t="inlineStr"/>
    </row>
    <row r="4002" customFormat="1" s="3">
      <c r="A4002" s="45" t="n"/>
      <c r="B4002" s="46" t="inlineStr">
        <is>
          <t>34566</t>
        </is>
      </c>
      <c r="C4002" s="46">
        <f>LEFT(Tableau1[[#This Row],[Formacode]],3)</f>
        <v/>
      </c>
      <c r="D4002" s="47" t="n">
        <v>35863</v>
      </c>
      <c r="E4002" s="48">
        <f>"RNCP"&amp;D4002</f>
        <v/>
      </c>
      <c r="F4002" s="48" t="inlineStr">
        <is>
          <t>Sommelier-conseil, caviste</t>
        </is>
      </c>
      <c r="G4002" s="49">
        <f>E4002&amp;" - "&amp;F4002</f>
        <v/>
      </c>
      <c r="H4002" s="36" t="inlineStr">
        <is>
          <t>RAS</t>
        </is>
      </c>
      <c r="I4002" s="45" t="inlineStr"/>
      <c r="J4002" s="45" t="inlineStr">
        <is>
          <t>RNCP35863</t>
        </is>
      </c>
      <c r="K4002" s="45" t="inlineStr">
        <is>
          <t>Sommelier-conseil, caviste</t>
        </is>
      </c>
      <c r="L4002" s="45" t="inlineStr">
        <is>
          <t>31/12/2030</t>
        </is>
      </c>
      <c r="M4002" s="45" t="inlineStr"/>
      <c r="N4002" s="50" t="inlineStr">
        <is>
          <t>NON</t>
        </is>
      </c>
      <c r="O4002" s="45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BTSA - Technico-commercial</t>
        </is>
      </c>
      <c r="L4003" s="45" t="inlineStr">
        <is>
          <t>31/12/2030</t>
        </is>
      </c>
      <c r="M4003" s="45" t="inlineStr"/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Brevet professionnel - Fleuriste</t>
        </is>
      </c>
      <c r="L4004" s="45" t="inlineStr">
        <is>
          <t>31/12/2030</t>
        </is>
      </c>
      <c r="M4004" s="45" t="inlineStr"/>
      <c r="N4004" s="50" t="inlineStr">
        <is>
          <t>NON</t>
        </is>
      </c>
      <c r="O4004" s="45" t="inlineStr"/>
    </row>
    <row r="4005" customFormat="1" s="3">
      <c r="A4005" s="45" t="n"/>
      <c r="B4005" s="46" t="inlineStr">
        <is>
          <t>34566</t>
        </is>
      </c>
      <c r="C4005" s="46">
        <f>LEFT(Tableau1[[#This Row],[Formacode]],3)</f>
        <v/>
      </c>
      <c r="D4005" s="47" t="n">
        <v>36119</v>
      </c>
      <c r="E4005" s="48">
        <f>"RNCP"&amp;D4005</f>
        <v/>
      </c>
      <c r="F4005" s="48" t="inlineStr">
        <is>
          <t>Manager du marketing et de la transformation digitale</t>
        </is>
      </c>
      <c r="G4005" s="49">
        <f>E4005&amp;" - "&amp;F4005</f>
        <v/>
      </c>
      <c r="H4005" s="36" t="inlineStr">
        <is>
          <t>RAS</t>
        </is>
      </c>
      <c r="I4005" s="45" t="inlineStr"/>
      <c r="J4005" s="45" t="inlineStr">
        <is>
          <t>RNCP36119</t>
        </is>
      </c>
      <c r="K4005" s="45" t="inlineStr">
        <is>
          <t>Manager du marketing et de la transformation digitale</t>
        </is>
      </c>
      <c r="L4005" s="45" t="inlineStr">
        <is>
          <t>31/12/2030</t>
        </is>
      </c>
      <c r="M4005" s="45" t="inlineStr"/>
      <c r="N4005" s="50" t="inlineStr">
        <is>
          <t>NON</t>
        </is>
      </c>
      <c r="O4005" s="45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DIPLOVIS - Responsable en marketing, commercialisation et gestion</t>
        </is>
      </c>
      <c r="L4006" s="45" t="inlineStr">
        <is>
          <t>31/12/2030</t>
        </is>
      </c>
      <c r="M4006" s="45" t="inlineStr"/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31/12/2030</t>
        </is>
      </c>
      <c r="M4007" s="45" t="inlineStr"/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TP - Conseiller de vente</t>
        </is>
      </c>
      <c r="L4008" s="45" t="inlineStr">
        <is>
          <t>31/12/2030</t>
        </is>
      </c>
      <c r="M4008" s="45" t="inlineStr"/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TP - Employé commercial</t>
        </is>
      </c>
      <c r="L4009" s="45" t="inlineStr">
        <is>
          <t>31/12/2030</t>
        </is>
      </c>
      <c r="M4009" s="45" t="inlineStr"/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CS - Vendeur-conseil en alimentation</t>
        </is>
      </c>
      <c r="L4010" s="45" t="inlineStr">
        <is>
          <t>31/12/2030</t>
        </is>
      </c>
      <c r="M4010" s="45" t="inlineStr"/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31/12/2030</t>
        </is>
      </c>
      <c r="M4011" s="45" t="inlineStr"/>
      <c r="N4011" s="50" t="inlineStr">
        <is>
          <t>NON</t>
        </is>
      </c>
      <c r="O4011" s="45" t="inlineStr"/>
    </row>
    <row r="4012" customFormat="1" s="3">
      <c r="A4012" s="45" t="n"/>
      <c r="B4012" s="46" t="inlineStr">
        <is>
          <t>34566</t>
        </is>
      </c>
      <c r="C4012" s="46">
        <f>LEFT(Tableau1[[#This Row],[Formacode]],3)</f>
        <v/>
      </c>
      <c r="D4012" s="47" t="n">
        <v>37310</v>
      </c>
      <c r="E4012" s="48">
        <f>"RNCP"&amp;D4012</f>
        <v/>
      </c>
      <c r="F4012" s="48" t="inlineStr">
        <is>
          <t>BP - Boucher</t>
        </is>
      </c>
      <c r="G4012" s="49">
        <f>E4012&amp;" - "&amp;F4012</f>
        <v/>
      </c>
      <c r="H4012" s="36" t="inlineStr">
        <is>
          <t>RAS</t>
        </is>
      </c>
      <c r="I4012" s="45" t="inlineStr"/>
      <c r="J4012" s="45" t="inlineStr">
        <is>
          <t>RNCP37310</t>
        </is>
      </c>
      <c r="K4012" s="45" t="inlineStr">
        <is>
          <t>BP - Boucher</t>
        </is>
      </c>
      <c r="L4012" s="45" t="inlineStr">
        <is>
          <t>31/12/2030</t>
        </is>
      </c>
      <c r="M4012" s="45" t="inlineStr"/>
      <c r="N4012" s="50" t="inlineStr">
        <is>
          <t>NON</t>
        </is>
      </c>
      <c r="O4012" s="45" t="inlineStr"/>
    </row>
    <row r="4013" customFormat="1" s="3">
      <c r="A4013" s="45" t="n"/>
      <c r="B4013" s="46" t="inlineStr">
        <is>
          <t>34566</t>
        </is>
      </c>
      <c r="C4013" s="46">
        <f>LEFT(Tableau1[[#This Row],[Formacode]],3)</f>
        <v/>
      </c>
      <c r="D4013" s="47" t="n">
        <v>37383</v>
      </c>
      <c r="E4013" s="48">
        <f>"RNCP"&amp;D4013</f>
        <v/>
      </c>
      <c r="F4013" s="48" t="inlineStr">
        <is>
          <t>CAP - Poissonnier- écailler</t>
        </is>
      </c>
      <c r="G4013" s="49">
        <f>E4013&amp;" - "&amp;F4013</f>
        <v/>
      </c>
      <c r="H4013" s="36" t="inlineStr">
        <is>
          <t>RAS</t>
        </is>
      </c>
      <c r="I4013" s="45" t="inlineStr"/>
      <c r="J4013" s="45" t="inlineStr">
        <is>
          <t>RNCP37383</t>
        </is>
      </c>
      <c r="K4013" s="45" t="inlineStr">
        <is>
          <t>CAP - Poissonnier- écailler</t>
        </is>
      </c>
      <c r="L4013" s="45" t="inlineStr">
        <is>
          <t>31/12/2030</t>
        </is>
      </c>
      <c r="M4013" s="45" t="inlineStr"/>
      <c r="N4013" s="50" t="inlineStr">
        <is>
          <t>NON</t>
        </is>
      </c>
      <c r="O4013" s="45" t="inlineStr"/>
    </row>
    <row r="4014" customFormat="1" s="3">
      <c r="A4014" s="45" t="n"/>
      <c r="B4014" s="46" t="inlineStr">
        <is>
          <t>34566</t>
        </is>
      </c>
      <c r="C4014" s="46">
        <f>LEFT(Tableau1[[#This Row],[Formacode]],3)</f>
        <v/>
      </c>
      <c r="D4014" s="47" t="n">
        <v>37410</v>
      </c>
      <c r="E4014" s="48">
        <f>"RNCP"&amp;D4014</f>
        <v/>
      </c>
      <c r="F4014" s="48" t="inlineStr">
        <is>
          <t>CQP Vendeur en fournitures industrielles</t>
        </is>
      </c>
      <c r="G4014" s="49">
        <f>E4014&amp;" - "&amp;F4014</f>
        <v/>
      </c>
      <c r="H4014" s="36" t="inlineStr">
        <is>
          <t>RAS</t>
        </is>
      </c>
      <c r="I4014" s="45" t="inlineStr"/>
      <c r="J4014" s="45" t="inlineStr">
        <is>
          <t>RNCP37410</t>
        </is>
      </c>
      <c r="K4014" s="45" t="inlineStr">
        <is>
          <t>CQP Vendeur en fournitures industrielles</t>
        </is>
      </c>
      <c r="L4014" s="45" t="inlineStr">
        <is>
          <t>31/12/2030</t>
        </is>
      </c>
      <c r="M4014" s="45" t="inlineStr"/>
      <c r="N4014" s="50" t="inlineStr">
        <is>
          <t>NON</t>
        </is>
      </c>
      <c r="O4014" s="45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CAP - Crémier fromager</t>
        </is>
      </c>
      <c r="L4015" s="45" t="inlineStr">
        <is>
          <t>31/12/2030</t>
        </is>
      </c>
      <c r="M4015" s="45" t="inlineStr"/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BAC PRO - Boucher-charcutier-traiteur</t>
        </is>
      </c>
      <c r="L4016" s="45" t="inlineStr">
        <is>
          <t>31/12/2030</t>
        </is>
      </c>
      <c r="M4016" s="45" t="inlineStr"/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Certificat d'aptitude professionnelle - Primeur</t>
        </is>
      </c>
      <c r="L4017" s="45" t="inlineStr">
        <is>
          <t>31/12/2030</t>
        </is>
      </c>
      <c r="M4017" s="45" t="inlineStr"/>
      <c r="N4017" s="50" t="inlineStr">
        <is>
          <t>NON</t>
        </is>
      </c>
      <c r="O4017" s="45" t="inlineStr"/>
    </row>
    <row r="4018" customFormat="1" s="3">
      <c r="A4018" s="45" t="n"/>
      <c r="B4018" s="46" t="inlineStr">
        <is>
          <t>34566</t>
        </is>
      </c>
      <c r="C4018" s="46">
        <f>LEFT(Tableau1[[#This Row],[Formacode]],3)</f>
        <v/>
      </c>
      <c r="D4018" s="47" t="n">
        <v>37635</v>
      </c>
      <c r="E4018" s="48">
        <f>"RNCP"&amp;D4018</f>
        <v/>
      </c>
      <c r="F4018" s="48" t="inlineStr">
        <is>
          <t>Manager de commerce et de centre de profit</t>
        </is>
      </c>
      <c r="G4018" s="49">
        <f>E4018&amp;" - "&amp;F4018</f>
        <v/>
      </c>
      <c r="H4018" s="36" t="inlineStr">
        <is>
          <t>RAS</t>
        </is>
      </c>
      <c r="I4018" s="45" t="inlineStr"/>
      <c r="J4018" s="45" t="inlineStr">
        <is>
          <t>RNCP37635</t>
        </is>
      </c>
      <c r="K4018" s="45" t="inlineStr">
        <is>
          <t>Manager de commerce et de centre de profit</t>
        </is>
      </c>
      <c r="L4018" s="45" t="inlineStr">
        <is>
          <t>31/12/2030</t>
        </is>
      </c>
      <c r="M4018" s="45" t="inlineStr"/>
      <c r="N4018" s="50" t="inlineStr">
        <is>
          <t>NON</t>
        </is>
      </c>
      <c r="O4018" s="45" t="inlineStr"/>
    </row>
    <row r="4019" customFormat="1" s="3">
      <c r="A4019" s="45" t="n"/>
      <c r="B4019" s="46" t="inlineStr">
        <is>
          <t>34566</t>
        </is>
      </c>
      <c r="C4019" s="46">
        <f>LEFT(Tableau1[[#This Row],[Formacode]],3)</f>
        <v/>
      </c>
      <c r="D4019" s="47" t="n">
        <v>37787</v>
      </c>
      <c r="E4019" s="48">
        <f>"RNCP"&amp;D4019</f>
        <v/>
      </c>
      <c r="F4019" s="48" t="inlineStr">
        <is>
          <t>Responsable commerce retail</t>
        </is>
      </c>
      <c r="G4019" s="49">
        <f>E4019&amp;" - "&amp;F4019</f>
        <v/>
      </c>
      <c r="H4019" s="36" t="inlineStr">
        <is>
          <t>RAS</t>
        </is>
      </c>
      <c r="I4019" s="45" t="inlineStr"/>
      <c r="J4019" s="45" t="inlineStr">
        <is>
          <t>RNCP37787</t>
        </is>
      </c>
      <c r="K4019" s="45" t="inlineStr">
        <is>
          <t>Responsable commerce retail</t>
        </is>
      </c>
      <c r="L4019" s="45" t="inlineStr">
        <is>
          <t>31/12/2030</t>
        </is>
      </c>
      <c r="M4019" s="45" t="inlineStr"/>
      <c r="N4019" s="50" t="inlineStr">
        <is>
          <t>NON</t>
        </is>
      </c>
      <c r="O4019" s="45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BAC PRO - Boulanger-pâtissier</t>
        </is>
      </c>
      <c r="L4020" s="45" t="inlineStr">
        <is>
          <t>31/12/2030</t>
        </is>
      </c>
      <c r="M4020" s="45" t="inlineStr"/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BAC PRO - Poissonnier - écailler - traiteur</t>
        </is>
      </c>
      <c r="L4021" s="45" t="inlineStr">
        <is>
          <t>31/12/2030</t>
        </is>
      </c>
      <c r="M4021" s="45" t="inlineStr"/>
      <c r="N4021" s="50" t="inlineStr">
        <is>
          <t>NON</t>
        </is>
      </c>
      <c r="O4021" s="45" t="inlineStr"/>
    </row>
    <row r="4022" customFormat="1" s="3">
      <c r="A4022" s="45" t="n"/>
      <c r="B4022" s="46" t="inlineStr">
        <is>
          <t>34566</t>
        </is>
      </c>
      <c r="C4022" s="46">
        <f>LEFT(Tableau1[[#This Row],[Formacode]],3)</f>
        <v/>
      </c>
      <c r="D4022" s="47" t="n">
        <v>38025</v>
      </c>
      <c r="E4022" s="48">
        <f>"RNCP"&amp;D4022</f>
        <v/>
      </c>
      <c r="F4022" s="48" t="inlineStr">
        <is>
          <t>Chargé de développement commercial et marketing</t>
        </is>
      </c>
      <c r="G4022" s="49">
        <f>E4022&amp;" - "&amp;F4022</f>
        <v/>
      </c>
      <c r="H4022" s="36" t="inlineStr">
        <is>
          <t>RAS</t>
        </is>
      </c>
      <c r="I4022" s="45" t="inlineStr"/>
      <c r="J4022" s="45" t="inlineStr">
        <is>
          <t>RNCP38025</t>
        </is>
      </c>
      <c r="K4022" s="45" t="inlineStr">
        <is>
          <t>Chargé de développement commercial et marketing</t>
        </is>
      </c>
      <c r="L4022" s="45" t="inlineStr">
        <is>
          <t>31/12/2030</t>
        </is>
      </c>
      <c r="M4022" s="45" t="inlineStr"/>
      <c r="N4022" s="50" t="inlineStr">
        <is>
          <t>NON</t>
        </is>
      </c>
      <c r="O4022" s="45" t="inlineStr"/>
    </row>
    <row r="4023" customFormat="1" s="3">
      <c r="A4023" s="45" t="n"/>
      <c r="B4023" s="46" t="inlineStr">
        <is>
          <t>34566</t>
        </is>
      </c>
      <c r="C4023" s="46">
        <f>LEFT(Tableau1[[#This Row],[Formacode]],3)</f>
        <v/>
      </c>
      <c r="D4023" s="47" t="n">
        <v>38123</v>
      </c>
      <c r="E4023" s="48">
        <f>"RNCP"&amp;D4023</f>
        <v/>
      </c>
      <c r="F4023" s="48" t="inlineStr">
        <is>
          <t>Responsable du développement commercial</t>
        </is>
      </c>
      <c r="G4023" s="49">
        <f>E4023&amp;" - "&amp;F4023</f>
        <v/>
      </c>
      <c r="H4023" s="36" t="inlineStr">
        <is>
          <t>RAS</t>
        </is>
      </c>
      <c r="I4023" s="45" t="inlineStr"/>
      <c r="J4023" s="45" t="inlineStr">
        <is>
          <t>RNCP38123</t>
        </is>
      </c>
      <c r="K4023" s="45" t="inlineStr">
        <is>
          <t>Responsable du développement commercial</t>
        </is>
      </c>
      <c r="L4023" s="45" t="inlineStr">
        <is>
          <t>31/12/2030</t>
        </is>
      </c>
      <c r="M4023" s="45" t="inlineStr"/>
      <c r="N4023" s="50" t="inlineStr">
        <is>
          <t>NON</t>
        </is>
      </c>
      <c r="O4023" s="45" t="inlineStr"/>
    </row>
    <row r="4024" customFormat="1" s="3">
      <c r="A4024" s="45" t="n"/>
      <c r="B4024" s="46" t="inlineStr">
        <is>
          <t>34566</t>
        </is>
      </c>
      <c r="C4024" s="46">
        <f>LEFT(Tableau1[[#This Row],[Formacode]],3)</f>
        <v/>
      </c>
      <c r="D4024" s="47" t="n">
        <v>38247</v>
      </c>
      <c r="E4024" s="48">
        <f>"RNCP"&amp;D4024</f>
        <v/>
      </c>
      <c r="F4024" s="48" t="inlineStr">
        <is>
          <t>CQP Employé de magasin</t>
        </is>
      </c>
      <c r="G4024" s="49">
        <f>E4024&amp;" - "&amp;F4024</f>
        <v/>
      </c>
      <c r="H4024" s="36" t="inlineStr">
        <is>
          <t>RAS</t>
        </is>
      </c>
      <c r="I4024" s="45" t="inlineStr"/>
      <c r="J4024" s="45" t="inlineStr">
        <is>
          <t>RNCP38247</t>
        </is>
      </c>
      <c r="K4024" s="45" t="inlineStr">
        <is>
          <t>CQP Employé de magasin</t>
        </is>
      </c>
      <c r="L4024" s="45" t="inlineStr">
        <is>
          <t>31/12/2030</t>
        </is>
      </c>
      <c r="M4024" s="45" t="inlineStr"/>
      <c r="N4024" s="50" t="inlineStr">
        <is>
          <t>NON</t>
        </is>
      </c>
      <c r="O4024" s="45" t="inlineStr"/>
    </row>
    <row r="4025" customFormat="1" s="3">
      <c r="A4025" s="45" t="n"/>
      <c r="B4025" s="46" t="inlineStr">
        <is>
          <t>34566</t>
        </is>
      </c>
      <c r="C4025" s="46">
        <f>LEFT(Tableau1[[#This Row],[Formacode]],3)</f>
        <v/>
      </c>
      <c r="D4025" s="47" t="n">
        <v>38280</v>
      </c>
      <c r="E4025" s="48">
        <f>"RNCP"&amp;D4025</f>
        <v/>
      </c>
      <c r="F4025" s="48" t="inlineStr">
        <is>
          <t>Visuel merchandiser</t>
        </is>
      </c>
      <c r="G4025" s="49">
        <f>E4025&amp;" - "&amp;F4025</f>
        <v/>
      </c>
      <c r="H4025" s="36" t="inlineStr">
        <is>
          <t>RAS</t>
        </is>
      </c>
      <c r="I4025" s="45" t="inlineStr"/>
      <c r="J4025" s="45" t="inlineStr">
        <is>
          <t>RNCP38280</t>
        </is>
      </c>
      <c r="K4025" s="45" t="inlineStr">
        <is>
          <t>Visuel merchandiser</t>
        </is>
      </c>
      <c r="L4025" s="45" t="inlineStr">
        <is>
          <t>31/12/2030</t>
        </is>
      </c>
      <c r="M4025" s="45" t="inlineStr"/>
      <c r="N4025" s="50" t="inlineStr">
        <is>
          <t>NON</t>
        </is>
      </c>
      <c r="O4025" s="45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CAPA - Services aux personnes et vente en espace rural</t>
        </is>
      </c>
      <c r="L4026" s="45" t="inlineStr">
        <is>
          <t>31/12/2030</t>
        </is>
      </c>
      <c r="M4026" s="45" t="inlineStr"/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BAC PRO - Métiers du commerce et de la vente</t>
        </is>
      </c>
      <c r="L4027" s="45" t="inlineStr">
        <is>
          <t>31/12/2030</t>
        </is>
      </c>
      <c r="M4027" s="45" t="inlineStr"/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Certificat d'aptitude professionnelle - Fleuriste</t>
        </is>
      </c>
      <c r="L4028" s="45" t="inlineStr">
        <is>
          <t>31/12/2030</t>
        </is>
      </c>
      <c r="M4028" s="45" t="inlineStr"/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Certificat de spécialisation - Assistance, conseil, vente à distance</t>
        </is>
      </c>
      <c r="L4029" s="45" t="inlineStr">
        <is>
          <t>31/12/2030</t>
        </is>
      </c>
      <c r="M4029" s="45" t="inlineStr"/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Certificat de spécialisation - Vendeur conseil en produits techniques pour l'habitat</t>
        </is>
      </c>
      <c r="L4030" s="45" t="inlineStr">
        <is>
          <t>31/12/2030</t>
        </is>
      </c>
      <c r="M4030" s="45" t="inlineStr"/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31/12/2030</t>
        </is>
      </c>
      <c r="M4031" s="45" t="inlineStr"/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Certificat de spécialisation - Vente-conseil en boucherie</t>
        </is>
      </c>
      <c r="L4032" s="45" t="inlineStr">
        <is>
          <t>31/12/2030</t>
        </is>
      </c>
      <c r="M4032" s="45" t="inlineStr"/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TP - Manager d'équipe relation client à distance</t>
        </is>
      </c>
      <c r="L4033" s="45" t="inlineStr">
        <is>
          <t>31/12/2030</t>
        </is>
      </c>
      <c r="M4033" s="45" t="inlineStr"/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TP - Responsable d'établissement marchand</t>
        </is>
      </c>
      <c r="L4034" s="45" t="inlineStr">
        <is>
          <t>31/12/2030</t>
        </is>
      </c>
      <c r="M4034" s="45" t="inlineStr"/>
      <c r="N4034" s="50" t="inlineStr">
        <is>
          <t>NON</t>
        </is>
      </c>
      <c r="O4034" s="45" t="inlineStr"/>
    </row>
    <row r="4035" customFormat="1" s="3">
      <c r="A4035" s="45" t="n"/>
      <c r="B4035" s="46" t="inlineStr">
        <is>
          <t>34566</t>
        </is>
      </c>
      <c r="C4035" s="46">
        <f>LEFT(Tableau1[[#This Row],[Formacode]],3)</f>
        <v/>
      </c>
      <c r="D4035" s="47" t="n">
        <v>38676</v>
      </c>
      <c r="E4035" s="48">
        <f>"RNCP"&amp;D4035</f>
        <v/>
      </c>
      <c r="F4035" s="48" t="inlineStr">
        <is>
          <t>TP - Manager d'unité marchande</t>
        </is>
      </c>
      <c r="G4035" s="49">
        <f>E4035&amp;" - "&amp;F4035</f>
        <v/>
      </c>
      <c r="H4035" s="36" t="inlineStr">
        <is>
          <t>RAS</t>
        </is>
      </c>
      <c r="I4035" s="45" t="inlineStr"/>
      <c r="J4035" s="45" t="inlineStr">
        <is>
          <t>RNCP38676</t>
        </is>
      </c>
      <c r="K4035" s="45" t="inlineStr">
        <is>
          <t>TP - Manager d'unité marchande</t>
        </is>
      </c>
      <c r="L4035" s="45" t="inlineStr">
        <is>
          <t>31/12/2030</t>
        </is>
      </c>
      <c r="M4035" s="45" t="inlineStr"/>
      <c r="N4035" s="50" t="inlineStr">
        <is>
          <t>NON</t>
        </is>
      </c>
      <c r="O4035" s="45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31/12/2030</t>
        </is>
      </c>
      <c r="M4036" s="45" t="inlineStr"/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CAP - Fleuriste de mode</t>
        </is>
      </c>
      <c r="L4037" s="45" t="inlineStr">
        <is>
          <t>31/12/2030</t>
        </is>
      </c>
      <c r="M4037" s="45" t="inlineStr"/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31/12/2030</t>
        </is>
      </c>
      <c r="M4038" s="45" t="inlineStr"/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31/12/2030</t>
        </is>
      </c>
      <c r="M4039" s="45" t="inlineStr"/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31/12/2030</t>
        </is>
      </c>
      <c r="M4040" s="45" t="inlineStr"/>
      <c r="N4040" s="50" t="inlineStr">
        <is>
          <t>NON</t>
        </is>
      </c>
      <c r="O4040" s="45" t="inlineStr"/>
    </row>
    <row r="4041" customFormat="1" s="3">
      <c r="A4041" s="45" t="n"/>
      <c r="B4041" s="46" t="inlineStr">
        <is>
          <t>34566</t>
        </is>
      </c>
      <c r="C4041" s="46">
        <f>LEFT(Tableau1[[#This Row],[Formacode]],3)</f>
        <v/>
      </c>
      <c r="D4041" s="47" t="n">
        <v>39395</v>
      </c>
      <c r="E4041" s="48">
        <f>"RNCP"&amp;D4041</f>
        <v/>
      </c>
      <c r="F4041" s="48" t="inlineStr">
        <is>
          <t>Responsable d'agence et de commerce</t>
        </is>
      </c>
      <c r="G4041" s="49">
        <f>E4041&amp;" - "&amp;F4041</f>
        <v/>
      </c>
      <c r="H4041" s="36" t="inlineStr">
        <is>
          <t>RAS</t>
        </is>
      </c>
      <c r="I4041" s="45" t="inlineStr"/>
      <c r="J4041" s="45" t="inlineStr">
        <is>
          <t>RNCP39395</t>
        </is>
      </c>
      <c r="K4041" s="45" t="inlineStr">
        <is>
          <t>Responsable d'agence et de commerce</t>
        </is>
      </c>
      <c r="L4041" s="45" t="inlineStr">
        <is>
          <t>31/12/2030</t>
        </is>
      </c>
      <c r="M4041" s="45" t="inlineStr"/>
      <c r="N4041" s="50" t="inlineStr">
        <is>
          <t>NON</t>
        </is>
      </c>
      <c r="O4041" s="45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DipViGrM - Diplôme d’études supérieures en marketing, gestion commerciale et management international</t>
        </is>
      </c>
      <c r="L4042" s="45" t="inlineStr">
        <is>
          <t>31/12/2030</t>
        </is>
      </c>
      <c r="M4042" s="45" t="inlineStr"/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CS - Conduite de productions en agriculture biologique et commercialisation</t>
        </is>
      </c>
      <c r="L4043" s="45" t="inlineStr">
        <is>
          <t>31/12/2030</t>
        </is>
      </c>
      <c r="M4043" s="45" t="inlineStr"/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31/12/2030</t>
        </is>
      </c>
      <c r="M4044" s="45" t="inlineStr"/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31/12/2030</t>
        </is>
      </c>
      <c r="M4045" s="45" t="inlineStr"/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31/12/2030</t>
        </is>
      </c>
      <c r="M4046" s="45" t="inlineStr"/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DipViGrL - Diplôme d’enseignement supérieur en management</t>
        </is>
      </c>
      <c r="L4047" s="45" t="inlineStr">
        <is>
          <t>31/12/2030</t>
        </is>
      </c>
      <c r="M4047" s="45" t="inlineStr"/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31/12/2030</t>
        </is>
      </c>
      <c r="M4048" s="45" t="inlineStr"/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CAP - Equipier polyvalent du commerce</t>
        </is>
      </c>
      <c r="L4049" s="45" t="inlineStr">
        <is>
          <t>31/12/2030</t>
        </is>
      </c>
      <c r="M4049" s="45" t="inlineStr"/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BAC PRO - Technicien conseil vente univers jardinerie</t>
        </is>
      </c>
      <c r="L4050" s="45" t="inlineStr">
        <is>
          <t>31/12/2030</t>
        </is>
      </c>
      <c r="M4050" s="45" t="inlineStr"/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31/12/2030</t>
        </is>
      </c>
      <c r="M4051" s="45" t="inlineStr"/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31/12/2030</t>
        </is>
      </c>
      <c r="M4052" s="45" t="inlineStr"/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31/12/2030</t>
        </is>
      </c>
      <c r="M4053" s="45" t="inlineStr"/>
      <c r="N4053" s="50" t="inlineStr">
        <is>
          <t>NON</t>
        </is>
      </c>
      <c r="O4053" s="45" t="inlineStr"/>
    </row>
    <row r="4054" customFormat="1" s="3">
      <c r="A4054" s="45" t="n"/>
      <c r="B4054" s="46" t="inlineStr">
        <is>
          <t>34573</t>
        </is>
      </c>
      <c r="C4054" s="46">
        <f>LEFT(Tableau1[[#This Row],[Formacode]],3)</f>
        <v/>
      </c>
      <c r="D4054" s="47" t="n">
        <v>35800</v>
      </c>
      <c r="E4054" s="48">
        <f>"RNCP"&amp;D4054</f>
        <v/>
      </c>
      <c r="F4054" s="48" t="inlineStr">
        <is>
          <t>Brevet de technicien supérieur - Commerce international</t>
        </is>
      </c>
      <c r="G4054" s="49">
        <f>E4054&amp;" - "&amp;F4054</f>
        <v/>
      </c>
      <c r="H4054" s="36" t="inlineStr">
        <is>
          <t>RAS</t>
        </is>
      </c>
      <c r="I4054" s="45" t="inlineStr"/>
      <c r="J4054" s="45" t="inlineStr">
        <is>
          <t>RNCP35800</t>
        </is>
      </c>
      <c r="K4054" s="45" t="inlineStr">
        <is>
          <t>Brevet de technicien supérieur - Commerce international</t>
        </is>
      </c>
      <c r="L4054" s="45" t="inlineStr">
        <is>
          <t>31/12/2030</t>
        </is>
      </c>
      <c r="M4054" s="45" t="inlineStr"/>
      <c r="N4054" s="50" t="inlineStr">
        <is>
          <t>NON</t>
        </is>
      </c>
      <c r="O4054" s="45" t="inlineStr"/>
    </row>
    <row r="4055" customFormat="1" s="3">
      <c r="A4055" s="45" t="n"/>
      <c r="B4055" s="46" t="inlineStr">
        <is>
          <t>34573</t>
        </is>
      </c>
      <c r="C4055" s="46">
        <f>LEFT(Tableau1[[#This Row],[Formacode]],3)</f>
        <v/>
      </c>
      <c r="D4055" s="47" t="n">
        <v>35801</v>
      </c>
      <c r="E4055" s="48">
        <f>"RNCP"&amp;D4055</f>
        <v/>
      </c>
      <c r="F4055" s="48" t="inlineStr">
        <is>
          <t>Brevet de technicien supérieur - Conseil et commercialisation de solutions techniques</t>
        </is>
      </c>
      <c r="G4055" s="49">
        <f>E4055&amp;" - "&amp;F4055</f>
        <v/>
      </c>
      <c r="H4055" s="36" t="inlineStr">
        <is>
          <t>RAS</t>
        </is>
      </c>
      <c r="I4055" s="45" t="inlineStr"/>
      <c r="J4055" s="45" t="inlineStr">
        <is>
          <t>RNCP35801</t>
        </is>
      </c>
      <c r="K4055" s="45" t="inlineStr">
        <is>
          <t>Brevet de technicien supérieur - Conseil et commercialisation de solutions techniques</t>
        </is>
      </c>
      <c r="L4055" s="45" t="inlineStr">
        <is>
          <t>31/12/2030</t>
        </is>
      </c>
      <c r="M4055" s="45" t="inlineStr"/>
      <c r="N4055" s="50" t="inlineStr">
        <is>
          <t>NON</t>
        </is>
      </c>
      <c r="O4055" s="45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BTSA - Technico-commercial</t>
        </is>
      </c>
      <c r="L4056" s="45" t="inlineStr">
        <is>
          <t>31/12/2030</t>
        </is>
      </c>
      <c r="M4056" s="45" t="inlineStr"/>
      <c r="N4056" s="50" t="inlineStr">
        <is>
          <t>NON</t>
        </is>
      </c>
      <c r="O4056" s="45" t="inlineStr"/>
    </row>
    <row r="4057" customFormat="1" s="3">
      <c r="A4057" s="45" t="n"/>
      <c r="B4057" s="46" t="inlineStr">
        <is>
          <t>34573</t>
        </is>
      </c>
      <c r="C4057" s="46">
        <f>LEFT(Tableau1[[#This Row],[Formacode]],3)</f>
        <v/>
      </c>
      <c r="D4057" s="47" t="n">
        <v>36320</v>
      </c>
      <c r="E4057" s="48">
        <f>"RNCP"&amp;D4057</f>
        <v/>
      </c>
      <c r="F4057" s="48" t="inlineStr">
        <is>
          <t>DIPLOVIS - Ingénieur d'affaires</t>
        </is>
      </c>
      <c r="G4057" s="49">
        <f>E4057&amp;" - "&amp;F4057</f>
        <v/>
      </c>
      <c r="H4057" s="36" t="inlineStr">
        <is>
          <t>RAS</t>
        </is>
      </c>
      <c r="I4057" s="45" t="inlineStr"/>
      <c r="J4057" s="45" t="inlineStr">
        <is>
          <t>RNCP36320</t>
        </is>
      </c>
      <c r="K4057" s="45" t="inlineStr">
        <is>
          <t>DIPLOVIS - Ingénieur d'affaires</t>
        </is>
      </c>
      <c r="L4057" s="45" t="inlineStr">
        <is>
          <t>31/12/2030</t>
        </is>
      </c>
      <c r="M4057" s="45" t="inlineStr"/>
      <c r="N4057" s="50" t="inlineStr">
        <is>
          <t>NON</t>
        </is>
      </c>
      <c r="O4057" s="45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31/12/2030</t>
        </is>
      </c>
      <c r="M4058" s="45" t="inlineStr"/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DIPLOVIS - Responsable en marketing, commercialisation et gestion</t>
        </is>
      </c>
      <c r="L4059" s="45" t="inlineStr">
        <is>
          <t>31/12/2030</t>
        </is>
      </c>
      <c r="M4059" s="45" t="inlineStr"/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31/12/2030</t>
        </is>
      </c>
      <c r="M4060" s="45" t="inlineStr"/>
      <c r="N4060" s="50" t="inlineStr">
        <is>
          <t>NON</t>
        </is>
      </c>
      <c r="O4060" s="45" t="inlineStr"/>
    </row>
    <row r="4061" customFormat="1" s="3">
      <c r="A4061" s="45" t="n"/>
      <c r="B4061" s="46" t="inlineStr">
        <is>
          <t>34573</t>
        </is>
      </c>
      <c r="C4061" s="46">
        <f>LEFT(Tableau1[[#This Row],[Formacode]],3)</f>
        <v/>
      </c>
      <c r="D4061" s="47" t="n">
        <v>37410</v>
      </c>
      <c r="E4061" s="48">
        <f>"RNCP"&amp;D4061</f>
        <v/>
      </c>
      <c r="F4061" s="48" t="inlineStr">
        <is>
          <t>CQP Vendeur en fournitures industrielles</t>
        </is>
      </c>
      <c r="G4061" s="49">
        <f>E4061&amp;" - "&amp;F4061</f>
        <v/>
      </c>
      <c r="H4061" s="36" t="inlineStr">
        <is>
          <t>RAS</t>
        </is>
      </c>
      <c r="I4061" s="45" t="inlineStr"/>
      <c r="J4061" s="45" t="inlineStr">
        <is>
          <t>RNCP37410</t>
        </is>
      </c>
      <c r="K4061" s="45" t="inlineStr">
        <is>
          <t>CQP Vendeur en fournitures industrielles</t>
        </is>
      </c>
      <c r="L4061" s="45" t="inlineStr">
        <is>
          <t>31/12/2030</t>
        </is>
      </c>
      <c r="M4061" s="45" t="inlineStr"/>
      <c r="N4061" s="50" t="inlineStr">
        <is>
          <t>NON</t>
        </is>
      </c>
      <c r="O4061" s="45" t="inlineStr"/>
    </row>
    <row r="4062" customFormat="1" s="3">
      <c r="A4062" s="45" t="n"/>
      <c r="B4062" s="46" t="inlineStr">
        <is>
          <t>34573</t>
        </is>
      </c>
      <c r="C4062" s="46">
        <f>LEFT(Tableau1[[#This Row],[Formacode]],3)</f>
        <v/>
      </c>
      <c r="D4062" s="47" t="n">
        <v>37635</v>
      </c>
      <c r="E4062" s="48">
        <f>"RNCP"&amp;D4062</f>
        <v/>
      </c>
      <c r="F4062" s="48" t="inlineStr">
        <is>
          <t>Manager de commerce et de centre de profit</t>
        </is>
      </c>
      <c r="G4062" s="49">
        <f>E4062&amp;" - "&amp;F4062</f>
        <v/>
      </c>
      <c r="H4062" s="36" t="inlineStr">
        <is>
          <t>RAS</t>
        </is>
      </c>
      <c r="I4062" s="45" t="inlineStr"/>
      <c r="J4062" s="45" t="inlineStr">
        <is>
          <t>RNCP37635</t>
        </is>
      </c>
      <c r="K4062" s="45" t="inlineStr">
        <is>
          <t>Manager de commerce et de centre de profit</t>
        </is>
      </c>
      <c r="L4062" s="45" t="inlineStr">
        <is>
          <t>31/12/2030</t>
        </is>
      </c>
      <c r="M4062" s="45" t="inlineStr"/>
      <c r="N4062" s="50" t="inlineStr">
        <is>
          <t>NON</t>
        </is>
      </c>
      <c r="O4062" s="45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TP - Conseiller commercial</t>
        </is>
      </c>
      <c r="L4063" s="45" t="inlineStr">
        <is>
          <t>31/12/2030</t>
        </is>
      </c>
      <c r="M4063" s="45" t="inlineStr"/>
      <c r="N4063" s="50" t="inlineStr">
        <is>
          <t>NON</t>
        </is>
      </c>
      <c r="O4063" s="45" t="inlineStr"/>
    </row>
    <row r="4064" customFormat="1" s="3">
      <c r="A4064" s="45" t="n"/>
      <c r="B4064" s="46" t="inlineStr">
        <is>
          <t>34573</t>
        </is>
      </c>
      <c r="C4064" s="46">
        <f>LEFT(Tableau1[[#This Row],[Formacode]],3)</f>
        <v/>
      </c>
      <c r="D4064" s="47" t="n">
        <v>37787</v>
      </c>
      <c r="E4064" s="48">
        <f>"RNCP"&amp;D4064</f>
        <v/>
      </c>
      <c r="F4064" s="48" t="inlineStr">
        <is>
          <t>Responsable commerce retail</t>
        </is>
      </c>
      <c r="G4064" s="49">
        <f>E4064&amp;" - "&amp;F4064</f>
        <v/>
      </c>
      <c r="H4064" s="36" t="inlineStr">
        <is>
          <t>RAS</t>
        </is>
      </c>
      <c r="I4064" s="45" t="inlineStr"/>
      <c r="J4064" s="45" t="inlineStr">
        <is>
          <t>RNCP37787</t>
        </is>
      </c>
      <c r="K4064" s="45" t="inlineStr">
        <is>
          <t>Responsable commerce retail</t>
        </is>
      </c>
      <c r="L4064" s="45" t="inlineStr">
        <is>
          <t>31/12/2030</t>
        </is>
      </c>
      <c r="M4064" s="45" t="inlineStr"/>
      <c r="N4064" s="50" t="inlineStr">
        <is>
          <t>NON</t>
        </is>
      </c>
      <c r="O4064" s="45" t="inlineStr"/>
    </row>
    <row r="4065" customFormat="1" s="3">
      <c r="A4065" s="45" t="n"/>
      <c r="B4065" s="46" t="inlineStr">
        <is>
          <t>34573</t>
        </is>
      </c>
      <c r="C4065" s="46">
        <f>LEFT(Tableau1[[#This Row],[Formacode]],3)</f>
        <v/>
      </c>
      <c r="D4065" s="47" t="n">
        <v>37849</v>
      </c>
      <c r="E4065" s="48">
        <f>"RNCP"&amp;D4065</f>
        <v/>
      </c>
      <c r="F4065" s="48" t="inlineStr">
        <is>
          <t>Responsable du développement commercial</t>
        </is>
      </c>
      <c r="G4065" s="49">
        <f>E4065&amp;" - "&amp;F4065</f>
        <v/>
      </c>
      <c r="H4065" s="36" t="inlineStr">
        <is>
          <t>RAS</t>
        </is>
      </c>
      <c r="I4065" s="45" t="inlineStr"/>
      <c r="J4065" s="45" t="inlineStr">
        <is>
          <t>RNCP37849</t>
        </is>
      </c>
      <c r="K4065" s="45" t="inlineStr">
        <is>
          <t>Responsable du développement commercial</t>
        </is>
      </c>
      <c r="L4065" s="45" t="inlineStr">
        <is>
          <t>31/12/2030</t>
        </is>
      </c>
      <c r="M4065" s="45" t="inlineStr"/>
      <c r="N4065" s="50" t="inlineStr">
        <is>
          <t>NON</t>
        </is>
      </c>
      <c r="O4065" s="45" t="inlineStr"/>
    </row>
    <row r="4066" customFormat="1" s="3">
      <c r="A4066" s="45" t="n"/>
      <c r="B4066" s="46" t="inlineStr">
        <is>
          <t>34573</t>
        </is>
      </c>
      <c r="C4066" s="46">
        <f>LEFT(Tableau1[[#This Row],[Formacode]],3)</f>
        <v/>
      </c>
      <c r="D4066" s="47" t="n">
        <v>38123</v>
      </c>
      <c r="E4066" s="48">
        <f>"RNCP"&amp;D4066</f>
        <v/>
      </c>
      <c r="F4066" s="48" t="inlineStr">
        <is>
          <t>Responsable du développement commercial</t>
        </is>
      </c>
      <c r="G4066" s="49">
        <f>E4066&amp;" - "&amp;F4066</f>
        <v/>
      </c>
      <c r="H4066" s="36" t="inlineStr">
        <is>
          <t>RAS</t>
        </is>
      </c>
      <c r="I4066" s="45" t="inlineStr"/>
      <c r="J4066" s="45" t="inlineStr">
        <is>
          <t>RNCP38123</t>
        </is>
      </c>
      <c r="K4066" s="45" t="inlineStr">
        <is>
          <t>Responsable du développement commercial</t>
        </is>
      </c>
      <c r="L4066" s="45" t="inlineStr">
        <is>
          <t>31/12/2030</t>
        </is>
      </c>
      <c r="M4066" s="45" t="inlineStr"/>
      <c r="N4066" s="50" t="inlineStr">
        <is>
          <t>NON</t>
        </is>
      </c>
      <c r="O4066" s="45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31/12/2030</t>
        </is>
      </c>
      <c r="M4067" s="45" t="inlineStr"/>
      <c r="N4067" s="50" t="inlineStr">
        <is>
          <t>NON</t>
        </is>
      </c>
      <c r="O4067" s="45" t="inlineStr"/>
    </row>
    <row r="4068" customFormat="1" s="3">
      <c r="A4068" s="45" t="n"/>
      <c r="B4068" s="46" t="inlineStr">
        <is>
          <t>34573</t>
        </is>
      </c>
      <c r="C4068" s="46">
        <f>LEFT(Tableau1[[#This Row],[Formacode]],3)</f>
        <v/>
      </c>
      <c r="D4068" s="47" t="n">
        <v>38146</v>
      </c>
      <c r="E4068" s="48">
        <f>"RNCP"&amp;D4068</f>
        <v/>
      </c>
      <c r="F4068" s="48" t="inlineStr">
        <is>
          <t>Responsable commercial</t>
        </is>
      </c>
      <c r="G4068" s="49">
        <f>E4068&amp;" - "&amp;F4068</f>
        <v/>
      </c>
      <c r="H4068" s="36" t="inlineStr">
        <is>
          <t>RAS</t>
        </is>
      </c>
      <c r="I4068" s="45" t="inlineStr"/>
      <c r="J4068" s="45" t="inlineStr">
        <is>
          <t>RNCP38146</t>
        </is>
      </c>
      <c r="K4068" s="45" t="inlineStr">
        <is>
          <t>Responsable commercial</t>
        </is>
      </c>
      <c r="L4068" s="45" t="inlineStr">
        <is>
          <t>31/12/2030</t>
        </is>
      </c>
      <c r="M4068" s="45" t="inlineStr"/>
      <c r="N4068" s="50" t="inlineStr">
        <is>
          <t>NON</t>
        </is>
      </c>
      <c r="O4068" s="45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BTS - Négociation et digitalisation de la relation client</t>
        </is>
      </c>
      <c r="L4069" s="45" t="inlineStr">
        <is>
          <t>31/12/2030</t>
        </is>
      </c>
      <c r="M4069" s="45" t="inlineStr"/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BAC PRO - Métiers du commerce et de la vente</t>
        </is>
      </c>
      <c r="L4070" s="45" t="inlineStr">
        <is>
          <t>31/12/2030</t>
        </is>
      </c>
      <c r="M4070" s="45" t="inlineStr"/>
      <c r="N4070" s="50" t="inlineStr">
        <is>
          <t>NON</t>
        </is>
      </c>
      <c r="O4070" s="45" t="inlineStr"/>
    </row>
    <row r="4071" customFormat="1" s="3">
      <c r="A4071" s="45" t="n"/>
      <c r="B4071" s="46" t="inlineStr">
        <is>
          <t>34573</t>
        </is>
      </c>
      <c r="C4071" s="46">
        <f>LEFT(Tableau1[[#This Row],[Formacode]],3)</f>
        <v/>
      </c>
      <c r="D4071" s="47" t="n">
        <v>38505</v>
      </c>
      <c r="E4071" s="48">
        <f>"RNCP"&amp;D4071</f>
        <v/>
      </c>
      <c r="F4071" s="48" t="inlineStr">
        <is>
          <t>Responsable du développement commercial</t>
        </is>
      </c>
      <c r="G4071" s="49">
        <f>E4071&amp;" - "&amp;F4071</f>
        <v/>
      </c>
      <c r="H4071" s="36" t="inlineStr">
        <is>
          <t>RAS</t>
        </is>
      </c>
      <c r="I4071" s="45" t="inlineStr"/>
      <c r="J4071" s="45" t="inlineStr">
        <is>
          <t>RNCP38505</t>
        </is>
      </c>
      <c r="K4071" s="45" t="inlineStr">
        <is>
          <t>Responsable du développement commercial</t>
        </is>
      </c>
      <c r="L4071" s="45" t="inlineStr">
        <is>
          <t>31/12/2030</t>
        </is>
      </c>
      <c r="M4071" s="45" t="inlineStr"/>
      <c r="N4071" s="50" t="inlineStr">
        <is>
          <t>NON</t>
        </is>
      </c>
      <c r="O4071" s="45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31/12/2030</t>
        </is>
      </c>
      <c r="M4072" s="45" t="inlineStr"/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31/12/2030</t>
        </is>
      </c>
      <c r="M4073" s="45" t="inlineStr"/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31/12/2030</t>
        </is>
      </c>
      <c r="M4074" s="45" t="inlineStr"/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31/12/2030</t>
        </is>
      </c>
      <c r="M4075" s="45" t="inlineStr"/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31/12/2030</t>
        </is>
      </c>
      <c r="M4076" s="45" t="inlineStr"/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TP - Négociateur technico-commercial</t>
        </is>
      </c>
      <c r="L4077" s="45" t="inlineStr">
        <is>
          <t>31/12/2030</t>
        </is>
      </c>
      <c r="M4077" s="45" t="inlineStr"/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31/12/2030</t>
        </is>
      </c>
      <c r="M4078" s="45" t="inlineStr"/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31/12/2030</t>
        </is>
      </c>
      <c r="M4079" s="45" t="inlineStr"/>
      <c r="N4079" s="50" t="inlineStr">
        <is>
          <t>NON</t>
        </is>
      </c>
      <c r="O4079" s="45" t="inlineStr"/>
    </row>
    <row r="4080" customFormat="1" s="3">
      <c r="A4080" s="45" t="n"/>
      <c r="B4080" s="46" t="inlineStr">
        <is>
          <t>34573</t>
        </is>
      </c>
      <c r="C4080" s="46">
        <f>LEFT(Tableau1[[#This Row],[Formacode]],3)</f>
        <v/>
      </c>
      <c r="D4080" s="47" t="n">
        <v>39395</v>
      </c>
      <c r="E4080" s="48">
        <f>"RNCP"&amp;D4080</f>
        <v/>
      </c>
      <c r="F4080" s="48" t="inlineStr">
        <is>
          <t>Responsable d'agence et de commerce</t>
        </is>
      </c>
      <c r="G4080" s="49">
        <f>E4080&amp;" - "&amp;F4080</f>
        <v/>
      </c>
      <c r="H4080" s="36" t="inlineStr">
        <is>
          <t>RAS</t>
        </is>
      </c>
      <c r="I4080" s="45" t="inlineStr"/>
      <c r="J4080" s="45" t="inlineStr">
        <is>
          <t>RNCP39395</t>
        </is>
      </c>
      <c r="K4080" s="45" t="inlineStr">
        <is>
          <t>Responsable d'agence et de commerce</t>
        </is>
      </c>
      <c r="L4080" s="45" t="inlineStr">
        <is>
          <t>31/12/2030</t>
        </is>
      </c>
      <c r="M4080" s="45" t="inlineStr"/>
      <c r="N4080" s="50" t="inlineStr">
        <is>
          <t>NON</t>
        </is>
      </c>
      <c r="O4080" s="45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DipViGrM - Diplôme d’études supérieures en marketing, gestion commerciale et management international</t>
        </is>
      </c>
      <c r="L4081" s="45" t="inlineStr">
        <is>
          <t>31/12/2030</t>
        </is>
      </c>
      <c r="M4081" s="45" t="inlineStr"/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31/12/2030</t>
        </is>
      </c>
      <c r="M4082" s="45" t="inlineStr"/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31/12/2030</t>
        </is>
      </c>
      <c r="M4083" s="45" t="inlineStr"/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31/12/2030</t>
        </is>
      </c>
      <c r="M4084" s="45" t="inlineStr"/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31/12/2030</t>
        </is>
      </c>
      <c r="M4085" s="45" t="inlineStr"/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31/12/2030</t>
        </is>
      </c>
      <c r="M4086" s="45" t="inlineStr"/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31/12/2030</t>
        </is>
      </c>
      <c r="M4087" s="45" t="inlineStr"/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31/12/2030</t>
        </is>
      </c>
      <c r="M4088" s="45" t="inlineStr"/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31/12/2030</t>
        </is>
      </c>
      <c r="M4089" s="45" t="inlineStr"/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DipViGrL - Diplôme d’enseignement supérieur en management</t>
        </is>
      </c>
      <c r="L4090" s="45" t="inlineStr">
        <is>
          <t>31/12/2030</t>
        </is>
      </c>
      <c r="M4090" s="45" t="inlineStr"/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31/12/2030</t>
        </is>
      </c>
      <c r="M4091" s="45" t="inlineStr"/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31/12/2030</t>
        </is>
      </c>
      <c r="M4092" s="45" t="inlineStr"/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31/12/2030</t>
        </is>
      </c>
      <c r="M4093" s="45" t="inlineStr"/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31/12/2030</t>
        </is>
      </c>
      <c r="M4094" s="45" t="inlineStr"/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31/12/2030</t>
        </is>
      </c>
      <c r="M4095" s="45" t="inlineStr"/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31/12/2030</t>
        </is>
      </c>
      <c r="M4096" s="45" t="inlineStr"/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DIPLOVIS - Responsable en marketing, commercialisation et gestion</t>
        </is>
      </c>
      <c r="L4097" s="45" t="inlineStr">
        <is>
          <t>31/12/2030</t>
        </is>
      </c>
      <c r="M4097" s="45" t="inlineStr"/>
      <c r="N4097" s="50" t="inlineStr">
        <is>
          <t>NON</t>
        </is>
      </c>
      <c r="O4097" s="45" t="inlineStr"/>
    </row>
    <row r="4098" customFormat="1" s="3">
      <c r="A4098" s="45" t="n"/>
      <c r="B4098" s="46" t="inlineStr">
        <is>
          <t>34574</t>
        </is>
      </c>
      <c r="C4098" s="46">
        <f>LEFT(Tableau1[[#This Row],[Formacode]],3)</f>
        <v/>
      </c>
      <c r="D4098" s="47" t="n">
        <v>37635</v>
      </c>
      <c r="E4098" s="48">
        <f>"RNCP"&amp;D4098</f>
        <v/>
      </c>
      <c r="F4098" s="48" t="inlineStr">
        <is>
          <t>Manager de commerce et de centre de profit</t>
        </is>
      </c>
      <c r="G4098" s="49">
        <f>E4098&amp;" - "&amp;F4098</f>
        <v/>
      </c>
      <c r="H4098" s="36" t="inlineStr">
        <is>
          <t>RAS</t>
        </is>
      </c>
      <c r="I4098" s="45" t="inlineStr"/>
      <c r="J4098" s="45" t="inlineStr">
        <is>
          <t>RNCP37635</t>
        </is>
      </c>
      <c r="K4098" s="45" t="inlineStr">
        <is>
          <t>Manager de commerce et de centre de profit</t>
        </is>
      </c>
      <c r="L4098" s="45" t="inlineStr">
        <is>
          <t>31/12/2030</t>
        </is>
      </c>
      <c r="M4098" s="45" t="inlineStr"/>
      <c r="N4098" s="50" t="inlineStr">
        <is>
          <t>NON</t>
        </is>
      </c>
      <c r="O4098" s="45" t="inlineStr"/>
    </row>
    <row r="4099" customFormat="1" s="3">
      <c r="A4099" s="45" t="n"/>
      <c r="B4099" s="46" t="inlineStr">
        <is>
          <t>34574</t>
        </is>
      </c>
      <c r="C4099" s="46">
        <f>LEFT(Tableau1[[#This Row],[Formacode]],3)</f>
        <v/>
      </c>
      <c r="D4099" s="47" t="n">
        <v>38123</v>
      </c>
      <c r="E4099" s="48">
        <f>"RNCP"&amp;D4099</f>
        <v/>
      </c>
      <c r="F4099" s="48" t="inlineStr">
        <is>
          <t>Responsable du développement commercial</t>
        </is>
      </c>
      <c r="G4099" s="49">
        <f>E4099&amp;" - "&amp;F4099</f>
        <v/>
      </c>
      <c r="H4099" s="36" t="inlineStr">
        <is>
          <t>RAS</t>
        </is>
      </c>
      <c r="I4099" s="45" t="inlineStr"/>
      <c r="J4099" s="45" t="inlineStr">
        <is>
          <t>RNCP38123</t>
        </is>
      </c>
      <c r="K4099" s="45" t="inlineStr">
        <is>
          <t>Responsable du développement commercial</t>
        </is>
      </c>
      <c r="L4099" s="45" t="inlineStr">
        <is>
          <t>31/12/2030</t>
        </is>
      </c>
      <c r="M4099" s="45" t="inlineStr"/>
      <c r="N4099" s="50" t="inlineStr">
        <is>
          <t>NON</t>
        </is>
      </c>
      <c r="O4099" s="45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31/12/2030</t>
        </is>
      </c>
      <c r="M4100" s="45" t="inlineStr"/>
      <c r="N4100" s="50" t="inlineStr">
        <is>
          <t>NON</t>
        </is>
      </c>
      <c r="O4100" s="45" t="inlineStr"/>
    </row>
    <row r="4101" customFormat="1" s="3">
      <c r="A4101" s="45" t="n"/>
      <c r="B4101" s="46" t="inlineStr">
        <is>
          <t>34574</t>
        </is>
      </c>
      <c r="C4101" s="46">
        <f>LEFT(Tableau1[[#This Row],[Formacode]],3)</f>
        <v/>
      </c>
      <c r="D4101" s="47" t="n">
        <v>39395</v>
      </c>
      <c r="E4101" s="48">
        <f>"RNCP"&amp;D4101</f>
        <v/>
      </c>
      <c r="F4101" s="48" t="inlineStr">
        <is>
          <t>Responsable d'agence et de commerce</t>
        </is>
      </c>
      <c r="G4101" s="49">
        <f>E4101&amp;" - "&amp;F4101</f>
        <v/>
      </c>
      <c r="H4101" s="36" t="inlineStr">
        <is>
          <t>RAS</t>
        </is>
      </c>
      <c r="I4101" s="45" t="inlineStr"/>
      <c r="J4101" s="45" t="inlineStr">
        <is>
          <t>RNCP39395</t>
        </is>
      </c>
      <c r="K4101" s="45" t="inlineStr">
        <is>
          <t>Responsable d'agence et de commerce</t>
        </is>
      </c>
      <c r="L4101" s="45" t="inlineStr">
        <is>
          <t>31/12/2030</t>
        </is>
      </c>
      <c r="M4101" s="45" t="inlineStr"/>
      <c r="N4101" s="50" t="inlineStr">
        <is>
          <t>NON</t>
        </is>
      </c>
      <c r="O4101" s="45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DipViGrM - Diplôme d’études supérieures en marketing, gestion commerciale et management international</t>
        </is>
      </c>
      <c r="L4102" s="45" t="inlineStr">
        <is>
          <t>31/12/2030</t>
        </is>
      </c>
      <c r="M4102" s="45" t="inlineStr"/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31/12/2030</t>
        </is>
      </c>
      <c r="M4103" s="45" t="inlineStr"/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31/12/2030</t>
        </is>
      </c>
      <c r="M4104" s="45" t="inlineStr"/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DipViGrL - Diplôme d’enseignement supérieur en management</t>
        </is>
      </c>
      <c r="L4105" s="45" t="inlineStr">
        <is>
          <t>31/12/2030</t>
        </is>
      </c>
      <c r="M4105" s="45" t="inlineStr"/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31/12/2030</t>
        </is>
      </c>
      <c r="M4106" s="45" t="inlineStr"/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31/12/2030</t>
        </is>
      </c>
      <c r="M4107" s="45" t="inlineStr"/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31/12/2030</t>
        </is>
      </c>
      <c r="M4108" s="45" t="inlineStr"/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31/12/2030</t>
        </is>
      </c>
      <c r="M4109" s="45" t="inlineStr"/>
      <c r="N4109" s="50" t="inlineStr">
        <is>
          <t>NON</t>
        </is>
      </c>
      <c r="O4109" s="45" t="inlineStr"/>
    </row>
    <row r="4110" customFormat="1" s="3">
      <c r="A4110" s="45" t="n"/>
      <c r="B4110" s="46" t="inlineStr">
        <is>
          <t>35035</t>
        </is>
      </c>
      <c r="C4110" s="46">
        <f>LEFT(Tableau1[[#This Row],[Formacode]],3)</f>
        <v/>
      </c>
      <c r="D4110" s="47" t="n">
        <v>36804</v>
      </c>
      <c r="E4110" s="48">
        <f>"RNCP"&amp;D4110</f>
        <v/>
      </c>
      <c r="F4110" s="48" t="inlineStr">
        <is>
          <t>Titre professionnel - Secrétaire assistant</t>
        </is>
      </c>
      <c r="G4110" s="49">
        <f>E4110&amp;" - "&amp;F4110</f>
        <v/>
      </c>
      <c r="H4110" s="36" t="inlineStr">
        <is>
          <t>RAS</t>
        </is>
      </c>
      <c r="I4110" s="45" t="inlineStr"/>
      <c r="J4110" s="45" t="inlineStr">
        <is>
          <t>RNCP36804</t>
        </is>
      </c>
      <c r="K4110" s="45" t="inlineStr">
        <is>
          <t>Titre professionnel - Secrétaire assistant</t>
        </is>
      </c>
      <c r="L4110" s="45" t="inlineStr">
        <is>
          <t>31/12/2030</t>
        </is>
      </c>
      <c r="M4110" s="45" t="inlineStr"/>
      <c r="N4110" s="50" t="inlineStr">
        <is>
          <t>NON</t>
        </is>
      </c>
      <c r="O4110" s="45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TP - Assistant import-export</t>
        </is>
      </c>
      <c r="L4111" s="45" t="inlineStr">
        <is>
          <t>31/12/2030</t>
        </is>
      </c>
      <c r="M4111" s="45" t="inlineStr"/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TP - Comptable assistant</t>
        </is>
      </c>
      <c r="L4112" s="45" t="inlineStr">
        <is>
          <t>31/12/2030</t>
        </is>
      </c>
      <c r="M4112" s="45" t="inlineStr"/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TP - Secrétaire comptable</t>
        </is>
      </c>
      <c r="L4113" s="45" t="inlineStr">
        <is>
          <t>31/12/2030</t>
        </is>
      </c>
      <c r="M4113" s="45" t="inlineStr"/>
      <c r="N4113" s="50" t="inlineStr">
        <is>
          <t>NON</t>
        </is>
      </c>
      <c r="O4113" s="45" t="inlineStr"/>
    </row>
    <row r="4114" customFormat="1" s="3">
      <c r="A4114" s="45" t="n"/>
      <c r="B4114" s="46" t="inlineStr">
        <is>
          <t>35035</t>
        </is>
      </c>
      <c r="C4114" s="46">
        <f>LEFT(Tableau1[[#This Row],[Formacode]],3)</f>
        <v/>
      </c>
      <c r="D4114" s="47" t="n">
        <v>37345</v>
      </c>
      <c r="E4114" s="48">
        <f>"RNCP"&amp;D4114</f>
        <v/>
      </c>
      <c r="F4114" s="48" t="inlineStr">
        <is>
          <t>Assistant de direction</t>
        </is>
      </c>
      <c r="G4114" s="49">
        <f>E4114&amp;" - "&amp;F4114</f>
        <v/>
      </c>
      <c r="H4114" s="36" t="inlineStr">
        <is>
          <t>RAS</t>
        </is>
      </c>
      <c r="I4114" s="45" t="inlineStr"/>
      <c r="J4114" s="45" t="inlineStr">
        <is>
          <t>RNCP37345</t>
        </is>
      </c>
      <c r="K4114" s="45" t="inlineStr">
        <is>
          <t>Assistant de direction</t>
        </is>
      </c>
      <c r="L4114" s="45" t="inlineStr">
        <is>
          <t>31/12/2030</t>
        </is>
      </c>
      <c r="M4114" s="45" t="inlineStr"/>
      <c r="N4114" s="50" t="inlineStr">
        <is>
          <t>NON</t>
        </is>
      </c>
      <c r="O4114" s="45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BTS - Assistance technique d'ingénieur</t>
        </is>
      </c>
      <c r="L4115" s="45" t="inlineStr">
        <is>
          <t>31/12/2030</t>
        </is>
      </c>
      <c r="M4115" s="45" t="inlineStr"/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BTS - Gestion de la PME</t>
        </is>
      </c>
      <c r="L4116" s="45" t="inlineStr">
        <is>
          <t>31/12/2030</t>
        </is>
      </c>
      <c r="M4116" s="45" t="inlineStr"/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31/12/2030</t>
        </is>
      </c>
      <c r="M4117" s="45" t="inlineStr"/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31/12/2030</t>
        </is>
      </c>
      <c r="M4118" s="45" t="inlineStr"/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TP - Assistant de direction</t>
        </is>
      </c>
      <c r="L4119" s="45" t="inlineStr">
        <is>
          <t>31/12/2030</t>
        </is>
      </c>
      <c r="M4119" s="45" t="inlineStr"/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31/12/2030</t>
        </is>
      </c>
      <c r="M4120" s="45" t="inlineStr"/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31/12/2030</t>
        </is>
      </c>
      <c r="M4121" s="45" t="inlineStr"/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BAC PRO - Assistance à la gestion des organisations et de leurs activités</t>
        </is>
      </c>
      <c r="L4122" s="45" t="inlineStr">
        <is>
          <t>31/12/2030</t>
        </is>
      </c>
      <c r="M4122" s="45" t="inlineStr"/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TP - Secrétaire assistant médico-administratif</t>
        </is>
      </c>
      <c r="L4123" s="45" t="inlineStr">
        <is>
          <t>31/12/2030</t>
        </is>
      </c>
      <c r="M4123" s="45" t="inlineStr"/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31/12/2030</t>
        </is>
      </c>
      <c r="M4124" s="45" t="inlineStr"/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TP - Assistant immobilier</t>
        </is>
      </c>
      <c r="L4125" s="45" t="inlineStr">
        <is>
          <t>31/12/2030</t>
        </is>
      </c>
      <c r="M4125" s="45" t="inlineStr"/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TP - Chargé d'accueil et de gestion administrative</t>
        </is>
      </c>
      <c r="L4126" s="45" t="inlineStr">
        <is>
          <t>31/12/2030</t>
        </is>
      </c>
      <c r="M4126" s="45" t="inlineStr"/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TP - Assistant commercial</t>
        </is>
      </c>
      <c r="L4127" s="45" t="inlineStr">
        <is>
          <t>31/12/2030</t>
        </is>
      </c>
      <c r="M4127" s="45" t="inlineStr"/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31/12/2030</t>
        </is>
      </c>
      <c r="M4128" s="45" t="inlineStr"/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TP - Assistant ressources humaines</t>
        </is>
      </c>
      <c r="L4129" s="45" t="inlineStr">
        <is>
          <t>31/12/2030</t>
        </is>
      </c>
      <c r="M4129" s="45" t="inlineStr"/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31/12/2030</t>
        </is>
      </c>
      <c r="M4130" s="45" t="inlineStr"/>
      <c r="N4130" s="50" t="inlineStr">
        <is>
          <t>NON</t>
        </is>
      </c>
      <c r="O4130" s="45" t="inlineStr"/>
    </row>
    <row r="4131" customFormat="1" s="3">
      <c r="A4131" s="45" t="n"/>
      <c r="B4131" s="46" t="inlineStr">
        <is>
          <t>35052</t>
        </is>
      </c>
      <c r="C4131" s="46">
        <f>LEFT(Tableau1[[#This Row],[Formacode]],3)</f>
        <v/>
      </c>
      <c r="D4131" s="47" t="n">
        <v>36803</v>
      </c>
      <c r="E4131" s="48">
        <f>"RNCP"&amp;D4131</f>
        <v/>
      </c>
      <c r="F4131" s="48" t="inlineStr">
        <is>
          <t>Titre professionnel - Employé administratif et d'accueil</t>
        </is>
      </c>
      <c r="G4131" s="49">
        <f>E4131&amp;" - "&amp;F4131</f>
        <v/>
      </c>
      <c r="H4131" s="36" t="inlineStr">
        <is>
          <t>RAS</t>
        </is>
      </c>
      <c r="I4131" s="45" t="inlineStr"/>
      <c r="J4131" s="45" t="inlineStr">
        <is>
          <t>RNCP36803</t>
        </is>
      </c>
      <c r="K4131" s="45" t="inlineStr">
        <is>
          <t>Titre professionnel - Employé administratif et d'accueil</t>
        </is>
      </c>
      <c r="L4131" s="45" t="inlineStr">
        <is>
          <t>31/12/2030</t>
        </is>
      </c>
      <c r="M4131" s="45" t="inlineStr"/>
      <c r="N4131" s="50" t="inlineStr">
        <is>
          <t>NON</t>
        </is>
      </c>
      <c r="O4131" s="45" t="inlineStr"/>
    </row>
    <row r="4132" customFormat="1" s="3">
      <c r="A4132" s="45" t="n"/>
      <c r="B4132" s="46" t="inlineStr">
        <is>
          <t>35052</t>
        </is>
      </c>
      <c r="C4132" s="46">
        <f>LEFT(Tableau1[[#This Row],[Formacode]],3)</f>
        <v/>
      </c>
      <c r="D4132" s="47" t="n">
        <v>38225</v>
      </c>
      <c r="E4132" s="48">
        <f>"RNCP"&amp;D4132</f>
        <v/>
      </c>
      <c r="F4132" s="48" t="inlineStr">
        <is>
          <t>Certificat de spécialisation - Accueil dans les transports</t>
        </is>
      </c>
      <c r="G4132" s="49">
        <f>E4132&amp;" - "&amp;F4132</f>
        <v/>
      </c>
      <c r="H4132" s="36" t="inlineStr">
        <is>
          <t>RAS</t>
        </is>
      </c>
      <c r="I4132" s="45" t="inlineStr"/>
      <c r="J4132" s="45" t="inlineStr">
        <is>
          <t>RNCP38225</t>
        </is>
      </c>
      <c r="K4132" s="45" t="inlineStr">
        <is>
          <t>Certificat de spécialisation - Accueil dans les transports</t>
        </is>
      </c>
      <c r="L4132" s="45" t="inlineStr">
        <is>
          <t>31/12/2030</t>
        </is>
      </c>
      <c r="M4132" s="45" t="inlineStr"/>
      <c r="N4132" s="50" t="inlineStr">
        <is>
          <t>NON</t>
        </is>
      </c>
      <c r="O4132" s="45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BAC PRO - Métiers de l'accueil</t>
        </is>
      </c>
      <c r="L4133" s="45" t="inlineStr">
        <is>
          <t>31/12/2030</t>
        </is>
      </c>
      <c r="M4133" s="45" t="inlineStr"/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TP - Chargé d'accueil et de gestion administrative</t>
        </is>
      </c>
      <c r="L4134" s="45" t="inlineStr">
        <is>
          <t>31/12/2030</t>
        </is>
      </c>
      <c r="M4134" s="45" t="inlineStr"/>
      <c r="N4134" s="50" t="inlineStr">
        <is>
          <t>NON</t>
        </is>
      </c>
      <c r="O4134" s="45" t="inlineStr"/>
    </row>
    <row r="4135" customFormat="1" s="3">
      <c r="A4135" s="45" t="n"/>
      <c r="B4135" s="46" t="inlineStr">
        <is>
          <t>35071</t>
        </is>
      </c>
      <c r="C4135" s="46">
        <f>LEFT(Tableau1[[#This Row],[Formacode]],3)</f>
        <v/>
      </c>
      <c r="D4135" s="47" t="n">
        <v>36803</v>
      </c>
      <c r="E4135" s="48">
        <f>"RNCP"&amp;D4135</f>
        <v/>
      </c>
      <c r="F4135" s="48" t="inlineStr">
        <is>
          <t>Titre professionnel - Employé administratif et d'accueil</t>
        </is>
      </c>
      <c r="G4135" s="49">
        <f>E4135&amp;" - "&amp;F4135</f>
        <v/>
      </c>
      <c r="H4135" s="36" t="inlineStr">
        <is>
          <t>RAS</t>
        </is>
      </c>
      <c r="I4135" s="45" t="inlineStr"/>
      <c r="J4135" s="45" t="inlineStr">
        <is>
          <t>RNCP36803</t>
        </is>
      </c>
      <c r="K4135" s="45" t="inlineStr">
        <is>
          <t>Titre professionnel - Employé administratif et d'accueil</t>
        </is>
      </c>
      <c r="L4135" s="45" t="inlineStr">
        <is>
          <t>31/12/2030</t>
        </is>
      </c>
      <c r="M4135" s="45" t="inlineStr"/>
      <c r="N4135" s="50" t="inlineStr">
        <is>
          <t>NON</t>
        </is>
      </c>
      <c r="O4135" s="45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TP - Chargé d'accueil et de gestion administrative</t>
        </is>
      </c>
      <c r="L4136" s="45" t="inlineStr">
        <is>
          <t>31/12/2030</t>
        </is>
      </c>
      <c r="M4136" s="45" t="inlineStr"/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31/12/2030</t>
        </is>
      </c>
      <c r="M4137" s="45" t="inlineStr"/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31/12/2030</t>
        </is>
      </c>
      <c r="M4138" s="45" t="inlineStr"/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31/12/2030</t>
        </is>
      </c>
      <c r="M4139" s="45" t="inlineStr"/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31/12/2030</t>
        </is>
      </c>
      <c r="M4140" s="45" t="inlineStr"/>
      <c r="N4140" s="50" t="inlineStr">
        <is>
          <t>NON</t>
        </is>
      </c>
      <c r="O4140" s="45" t="inlineStr"/>
    </row>
    <row r="4141" customFormat="1" s="3">
      <c r="A4141" s="45" t="n"/>
      <c r="B4141" s="46" t="inlineStr">
        <is>
          <t>41036</t>
        </is>
      </c>
      <c r="C4141" s="46">
        <f>LEFT(Tableau1[[#This Row],[Formacode]],3)</f>
        <v/>
      </c>
      <c r="D4141" s="47" t="n">
        <v>36012</v>
      </c>
      <c r="E4141" s="48">
        <f>"RNCP"&amp;D4141</f>
        <v/>
      </c>
      <c r="F4141" s="48" t="inlineStr">
        <is>
          <t>Manager de l'assurance</t>
        </is>
      </c>
      <c r="G4141" s="49">
        <f>E4141&amp;" - "&amp;F4141</f>
        <v/>
      </c>
      <c r="H4141" s="36" t="inlineStr">
        <is>
          <t>RAS</t>
        </is>
      </c>
      <c r="I4141" s="45" t="inlineStr"/>
      <c r="J4141" s="45" t="inlineStr">
        <is>
          <t>RNCP36012</t>
        </is>
      </c>
      <c r="K4141" s="45" t="inlineStr">
        <is>
          <t>Manager de l'assurance</t>
        </is>
      </c>
      <c r="L4141" s="45" t="inlineStr">
        <is>
          <t>31/12/2030</t>
        </is>
      </c>
      <c r="M4141" s="45" t="inlineStr"/>
      <c r="N4141" s="50" t="inlineStr">
        <is>
          <t>NON</t>
        </is>
      </c>
      <c r="O4141" s="45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31/12/2030</t>
        </is>
      </c>
      <c r="M4142" s="45" t="inlineStr"/>
      <c r="N4142" s="50" t="inlineStr">
        <is>
          <t>NON</t>
        </is>
      </c>
      <c r="O4142" s="45" t="inlineStr"/>
    </row>
    <row r="4143" customFormat="1" s="3">
      <c r="A4143" s="45" t="n"/>
      <c r="B4143" s="46" t="inlineStr">
        <is>
          <t>41036</t>
        </is>
      </c>
      <c r="C4143" s="46">
        <f>LEFT(Tableau1[[#This Row],[Formacode]],3)</f>
        <v/>
      </c>
      <c r="D4143" s="47" t="n">
        <v>37349</v>
      </c>
      <c r="E4143" s="48">
        <f>"RNCP"&amp;D4143</f>
        <v/>
      </c>
      <c r="F4143" s="48" t="inlineStr">
        <is>
          <t>Manager des risques et de l'assurance de l'entreprise</t>
        </is>
      </c>
      <c r="G4143" s="49">
        <f>E4143&amp;" - "&amp;F4143</f>
        <v/>
      </c>
      <c r="H4143" s="36" t="inlineStr">
        <is>
          <t>RAS</t>
        </is>
      </c>
      <c r="I4143" s="45" t="inlineStr"/>
      <c r="J4143" s="45" t="inlineStr">
        <is>
          <t>RNCP37349</t>
        </is>
      </c>
      <c r="K4143" s="45" t="inlineStr">
        <is>
          <t>Manager des risques et de l'assurance de l'entreprise</t>
        </is>
      </c>
      <c r="L4143" s="45" t="inlineStr">
        <is>
          <t>31/12/2030</t>
        </is>
      </c>
      <c r="M4143" s="45" t="inlineStr"/>
      <c r="N4143" s="50" t="inlineStr">
        <is>
          <t>NON</t>
        </is>
      </c>
      <c r="O4143" s="45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BTS - Assurance</t>
        </is>
      </c>
      <c r="L4144" s="45" t="inlineStr">
        <is>
          <t>31/12/2030</t>
        </is>
      </c>
      <c r="M4144" s="45" t="inlineStr"/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31/12/2030</t>
        </is>
      </c>
      <c r="M4145" s="45" t="inlineStr"/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31/12/2030</t>
        </is>
      </c>
      <c r="M4146" s="45" t="inlineStr"/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31/12/2030</t>
        </is>
      </c>
      <c r="M4147" s="45" t="inlineStr"/>
      <c r="N4147" s="50" t="inlineStr">
        <is>
          <t>NON</t>
        </is>
      </c>
      <c r="O4147" s="45" t="inlineStr"/>
    </row>
    <row r="4148" customFormat="1" s="3">
      <c r="A4148" s="45" t="n"/>
      <c r="B4148" s="46" t="inlineStr">
        <is>
          <t>41062</t>
        </is>
      </c>
      <c r="C4148" s="46">
        <f>LEFT(Tableau1[[#This Row],[Formacode]],3)</f>
        <v/>
      </c>
      <c r="D4148" s="47" t="n">
        <v>36074</v>
      </c>
      <c r="E4148" s="48">
        <f>"RNCP"&amp;D4148</f>
        <v/>
      </c>
      <c r="F4148" s="48" t="inlineStr">
        <is>
          <t>Expert conseil en gestion de patrimoine</t>
        </is>
      </c>
      <c r="G4148" s="49">
        <f>E4148&amp;" - "&amp;F4148</f>
        <v/>
      </c>
      <c r="H4148" s="36" t="inlineStr">
        <is>
          <t>RAS</t>
        </is>
      </c>
      <c r="I4148" s="45" t="inlineStr"/>
      <c r="J4148" s="45" t="inlineStr">
        <is>
          <t>RNCP36074</t>
        </is>
      </c>
      <c r="K4148" s="45" t="inlineStr">
        <is>
          <t>Expert conseil en gestion de patrimoine</t>
        </is>
      </c>
      <c r="L4148" s="45" t="inlineStr">
        <is>
          <t>31/12/2030</t>
        </is>
      </c>
      <c r="M4148" s="45" t="inlineStr"/>
      <c r="N4148" s="50" t="inlineStr">
        <is>
          <t>NON</t>
        </is>
      </c>
      <c r="O4148" s="45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31/12/2030</t>
        </is>
      </c>
      <c r="M4149" s="45" t="inlineStr"/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31/12/2030</t>
        </is>
      </c>
      <c r="M4150" s="45" t="inlineStr"/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BTS - Banque</t>
        </is>
      </c>
      <c r="L4151" s="45" t="inlineStr">
        <is>
          <t>31/12/2030</t>
        </is>
      </c>
      <c r="M4151" s="45" t="inlineStr"/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31/12/2030</t>
        </is>
      </c>
      <c r="M4152" s="45" t="inlineStr"/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31/12/2030</t>
        </is>
      </c>
      <c r="M4153" s="45" t="inlineStr"/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31/12/2030</t>
        </is>
      </c>
      <c r="M4154" s="45" t="inlineStr"/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DipViGrM - Diplôme d’études supérieures en marketing, gestion commerciale et management international</t>
        </is>
      </c>
      <c r="L4155" s="45" t="inlineStr">
        <is>
          <t>31/12/2030</t>
        </is>
      </c>
      <c r="M4155" s="45" t="inlineStr"/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31/12/2030</t>
        </is>
      </c>
      <c r="M4156" s="45" t="inlineStr"/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31/12/2030</t>
        </is>
      </c>
      <c r="M4157" s="45" t="inlineStr"/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31/12/2030</t>
        </is>
      </c>
      <c r="M4158" s="45" t="inlineStr"/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31/12/2030</t>
        </is>
      </c>
      <c r="M4159" s="45" t="inlineStr"/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31/12/2030</t>
        </is>
      </c>
      <c r="M4160" s="45" t="inlineStr"/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31/12/2030</t>
        </is>
      </c>
      <c r="M4161" s="45" t="inlineStr"/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31/12/2030</t>
        </is>
      </c>
      <c r="M4162" s="45" t="inlineStr"/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31/12/2030</t>
        </is>
      </c>
      <c r="M4163" s="45" t="inlineStr"/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31/12/2030</t>
        </is>
      </c>
      <c r="M4164" s="45" t="inlineStr"/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31/12/2030</t>
        </is>
      </c>
      <c r="M4165" s="45" t="inlineStr"/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31/12/2030</t>
        </is>
      </c>
      <c r="M4166" s="45" t="inlineStr"/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31/12/2030</t>
        </is>
      </c>
      <c r="M4167" s="45" t="inlineStr"/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31/12/2030</t>
        </is>
      </c>
      <c r="M4168" s="45" t="inlineStr"/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CAP - Valorisation des matières et propreté des espaces urbains</t>
        </is>
      </c>
      <c r="L4169" s="45" t="inlineStr">
        <is>
          <t>31/12/2030</t>
        </is>
      </c>
      <c r="M4169" s="45" t="inlineStr"/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BAC PRO - Maintenance environnementale et propreté des espaces urbains</t>
        </is>
      </c>
      <c r="L4170" s="45" t="inlineStr">
        <is>
          <t>31/12/2030</t>
        </is>
      </c>
      <c r="M4170" s="45" t="inlineStr"/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31/12/2030</t>
        </is>
      </c>
      <c r="M4171" s="45" t="inlineStr"/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31/12/2030</t>
        </is>
      </c>
      <c r="M4172" s="45" t="inlineStr"/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Certificat de spécialisation - Organisateur de réceptions</t>
        </is>
      </c>
      <c r="L4173" s="45" t="inlineStr">
        <is>
          <t>31/12/2030</t>
        </is>
      </c>
      <c r="M4173" s="45" t="inlineStr"/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31/12/2030</t>
        </is>
      </c>
      <c r="M4174" s="45" t="inlineStr"/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BP - Educateur canin</t>
        </is>
      </c>
      <c r="L4175" s="45" t="inlineStr">
        <is>
          <t>31/12/2030</t>
        </is>
      </c>
      <c r="M4175" s="45" t="inlineStr"/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31/12/2030</t>
        </is>
      </c>
      <c r="M4176" s="45" t="inlineStr"/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BAC PRO - Technicien conseil vente en animalerie</t>
        </is>
      </c>
      <c r="L4177" s="45" t="inlineStr">
        <is>
          <t>31/12/2030</t>
        </is>
      </c>
      <c r="M4177" s="45" t="inlineStr"/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BAC PRO - Conduite d'activités d'élevage et d'hébergement dans le secteur canin-félin</t>
        </is>
      </c>
      <c r="L4178" s="45" t="inlineStr">
        <is>
          <t>31/12/2030</t>
        </is>
      </c>
      <c r="M4178" s="45" t="inlineStr"/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31/12/2030</t>
        </is>
      </c>
      <c r="M4179" s="45" t="inlineStr"/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31/12/2030</t>
        </is>
      </c>
      <c r="M4180" s="45" t="inlineStr"/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31/12/2030</t>
        </is>
      </c>
      <c r="M4181" s="45" t="inlineStr"/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31/12/2030</t>
        </is>
      </c>
      <c r="M4182" s="45" t="inlineStr"/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Baccalauréat professionnel - Esthétique Cosmétique Parfumerie</t>
        </is>
      </c>
      <c r="L4183" s="45" t="inlineStr">
        <is>
          <t>31/12/2030</t>
        </is>
      </c>
      <c r="M4183" s="45" t="inlineStr"/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Brevet de technicien supérieur - Métiers de l’esthétique, de la cosmétique et de la parfumerie</t>
        </is>
      </c>
      <c r="L4184" s="45" t="inlineStr">
        <is>
          <t>31/12/2030</t>
        </is>
      </c>
      <c r="M4184" s="45" t="inlineStr"/>
      <c r="N4184" s="50" t="inlineStr">
        <is>
          <t>NON</t>
        </is>
      </c>
      <c r="O4184" s="45" t="inlineStr"/>
    </row>
    <row r="4185" customFormat="1" s="3">
      <c r="A4185" s="45" t="n"/>
      <c r="B4185" s="46" t="inlineStr">
        <is>
          <t>42032</t>
        </is>
      </c>
      <c r="C4185" s="46">
        <f>LEFT(Tableau1[[#This Row],[Formacode]],3)</f>
        <v/>
      </c>
      <c r="D4185" s="47" t="n">
        <v>37528</v>
      </c>
      <c r="E4185" s="48">
        <f>"RNCP"&amp;D4185</f>
        <v/>
      </c>
      <c r="F4185" s="48" t="inlineStr">
        <is>
          <t>Coiffeur (BM)</t>
        </is>
      </c>
      <c r="G4185" s="49">
        <f>E4185&amp;" - "&amp;F4185</f>
        <v/>
      </c>
      <c r="H4185" s="36" t="inlineStr">
        <is>
          <t>RAS</t>
        </is>
      </c>
      <c r="I4185" s="45" t="inlineStr"/>
      <c r="J4185" s="45" t="inlineStr">
        <is>
          <t>RNCP37528</t>
        </is>
      </c>
      <c r="K4185" s="45" t="inlineStr">
        <is>
          <t>Coiffeur (BM)</t>
        </is>
      </c>
      <c r="L4185" s="45" t="inlineStr">
        <is>
          <t>31/12/2030</t>
        </is>
      </c>
      <c r="M4185" s="45" t="inlineStr"/>
      <c r="N4185" s="50" t="inlineStr">
        <is>
          <t>NON</t>
        </is>
      </c>
      <c r="O4185" s="45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31/12/2030</t>
        </is>
      </c>
      <c r="M4186" s="45" t="inlineStr"/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Brevet de technicien supérieur - Métiers de la coiffure</t>
        </is>
      </c>
      <c r="L4187" s="45" t="inlineStr">
        <is>
          <t>31/12/2030</t>
        </is>
      </c>
      <c r="M4187" s="45" t="inlineStr"/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BP - Coiffure</t>
        </is>
      </c>
      <c r="L4188" s="45" t="inlineStr">
        <is>
          <t>31/12/2030</t>
        </is>
      </c>
      <c r="M4188" s="45" t="inlineStr"/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Certificat de spécialisation - Coiffure coupe couleur</t>
        </is>
      </c>
      <c r="L4189" s="45" t="inlineStr">
        <is>
          <t>31/12/2030</t>
        </is>
      </c>
      <c r="M4189" s="45" t="inlineStr"/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Baccalauréat professionnel - Perruquier posticheur</t>
        </is>
      </c>
      <c r="L4190" s="45" t="inlineStr">
        <is>
          <t>31/12/2030</t>
        </is>
      </c>
      <c r="M4190" s="45" t="inlineStr"/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31/12/2030</t>
        </is>
      </c>
      <c r="M4191" s="45" t="inlineStr"/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Certificat d'aptitude professionnelle - Esthétique Cosmétique Parfumerie</t>
        </is>
      </c>
      <c r="L4192" s="45" t="inlineStr">
        <is>
          <t>31/12/2030</t>
        </is>
      </c>
      <c r="M4192" s="45" t="inlineStr"/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Certificat d'aptitude professionnelle - Métiers de la coiffure</t>
        </is>
      </c>
      <c r="L4193" s="45" t="inlineStr">
        <is>
          <t>31/12/2030</t>
        </is>
      </c>
      <c r="M4193" s="45" t="inlineStr"/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Brevet professionnel - Esthétique Cosmétique Parfumerie</t>
        </is>
      </c>
      <c r="L4194" s="45" t="inlineStr">
        <is>
          <t>31/12/2030</t>
        </is>
      </c>
      <c r="M4194" s="45" t="inlineStr"/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31/12/2030</t>
        </is>
      </c>
      <c r="M4195" s="45" t="inlineStr"/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31/12/2030</t>
        </is>
      </c>
      <c r="M4196" s="45" t="inlineStr"/>
      <c r="N4196" s="50" t="inlineStr">
        <is>
          <t>NON</t>
        </is>
      </c>
      <c r="O4196" s="45" t="inlineStr"/>
    </row>
    <row r="4197" ht="28.8" customFormat="1" customHeight="1" s="3">
      <c r="A4197" s="45" t="n"/>
      <c r="B4197" s="46" t="inlineStr">
        <is>
          <t>42056</t>
        </is>
      </c>
      <c r="C4197" s="46">
        <f>LEFT(Tableau1[[#This Row],[Formacode]],3)</f>
        <v/>
      </c>
      <c r="D4197" s="47" t="n">
        <v>35513</v>
      </c>
      <c r="E4197" s="48">
        <f>"RNCP"&amp;D4197</f>
        <v/>
      </c>
      <c r="F4197" s="48" t="inlineStr">
        <is>
          <t>BUT - Carrières Sociales : Coordination et Gestion des Établissements et Services Sanitaires et Sociaux</t>
        </is>
      </c>
      <c r="G4197" s="49">
        <f>E4197&amp;" - "&amp;F4197</f>
        <v/>
      </c>
      <c r="H4197" s="36" t="inlineStr">
        <is>
          <t>RAS</t>
        </is>
      </c>
      <c r="I4197" s="45" t="inlineStr"/>
      <c r="J4197" s="45" t="inlineStr">
        <is>
          <t>RNCP35513</t>
        </is>
      </c>
      <c r="K4197" s="45" t="inlineStr">
        <is>
          <t>BUT - Carrières Sociales : Coordination et Gestion des Établissements et Services Sanitaires et Sociaux</t>
        </is>
      </c>
      <c r="L4197" s="45" t="inlineStr">
        <is>
          <t>31/12/2030</t>
        </is>
      </c>
      <c r="M4197" s="45" t="inlineStr"/>
      <c r="N4197" s="50" t="inlineStr">
        <is>
          <t>NON</t>
        </is>
      </c>
      <c r="O4197" s="45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31/12/2030</t>
        </is>
      </c>
      <c r="M4198" s="45" t="inlineStr"/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TP - Assistant de vie aux familles</t>
        </is>
      </c>
      <c r="L4199" s="45" t="inlineStr">
        <is>
          <t>31/12/2030</t>
        </is>
      </c>
      <c r="M4199" s="45" t="inlineStr"/>
      <c r="N4199" s="50" t="inlineStr">
        <is>
          <t>NON</t>
        </is>
      </c>
      <c r="O4199" s="45" t="inlineStr"/>
    </row>
    <row r="4200" customFormat="1" s="3">
      <c r="A4200" s="45" t="n"/>
      <c r="B4200" s="46" t="inlineStr">
        <is>
          <t>42056</t>
        </is>
      </c>
      <c r="C4200" s="46">
        <f>LEFT(Tableau1[[#This Row],[Formacode]],3)</f>
        <v/>
      </c>
      <c r="D4200" s="47" t="n">
        <v>37780</v>
      </c>
      <c r="E4200" s="48">
        <f>"RNCP"&amp;D4200</f>
        <v/>
      </c>
      <c r="F4200" s="48" t="inlineStr">
        <is>
          <t>Assistant de vie dépendance</t>
        </is>
      </c>
      <c r="G4200" s="49">
        <f>E4200&amp;" - "&amp;F4200</f>
        <v/>
      </c>
      <c r="H4200" s="36" t="inlineStr">
        <is>
          <t>RAS</t>
        </is>
      </c>
      <c r="I4200" s="45" t="inlineStr"/>
      <c r="J4200" s="45" t="inlineStr">
        <is>
          <t>RNCP37780</t>
        </is>
      </c>
      <c r="K4200" s="45" t="inlineStr">
        <is>
          <t>Assistant de vie dépendance</t>
        </is>
      </c>
      <c r="L4200" s="45" t="inlineStr">
        <is>
          <t>31/12/2030</t>
        </is>
      </c>
      <c r="M4200" s="45" t="inlineStr"/>
      <c r="N4200" s="50" t="inlineStr">
        <is>
          <t>NON</t>
        </is>
      </c>
      <c r="O4200" s="45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CAPA - Services aux personnes et vente en espace rural</t>
        </is>
      </c>
      <c r="L4201" s="45" t="inlineStr">
        <is>
          <t>31/12/2030</t>
        </is>
      </c>
      <c r="M4201" s="45" t="inlineStr"/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TP - Responsable-coordonnateur services au domicile</t>
        </is>
      </c>
      <c r="L4202" s="45" t="inlineStr">
        <is>
          <t>31/12/2030</t>
        </is>
      </c>
      <c r="M4202" s="45" t="inlineStr"/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31/12/2030</t>
        </is>
      </c>
      <c r="M4203" s="45" t="inlineStr"/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31/12/2030</t>
        </is>
      </c>
      <c r="M4204" s="45" t="inlineStr"/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Certificat d'aptitude professionnelle - Agent accompagnant au grand âge</t>
        </is>
      </c>
      <c r="L4205" s="45" t="inlineStr">
        <is>
          <t>31/12/2030</t>
        </is>
      </c>
      <c r="M4205" s="45" t="inlineStr"/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TP - Agent de propreté et d'hygiène</t>
        </is>
      </c>
      <c r="L4206" s="45" t="inlineStr">
        <is>
          <t>31/12/2030</t>
        </is>
      </c>
      <c r="M4206" s="45" t="inlineStr"/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TP - Agent de service médico-social</t>
        </is>
      </c>
      <c r="L4207" s="45" t="inlineStr">
        <is>
          <t>31/12/2030</t>
        </is>
      </c>
      <c r="M4207" s="45" t="inlineStr"/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31/12/2030</t>
        </is>
      </c>
      <c r="M4208" s="45" t="inlineStr"/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31/12/2030</t>
        </is>
      </c>
      <c r="M4209" s="45" t="inlineStr"/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31/12/2030</t>
        </is>
      </c>
      <c r="M4210" s="45" t="inlineStr"/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31/12/2030</t>
        </is>
      </c>
      <c r="M4211" s="45" t="inlineStr"/>
      <c r="N4211" s="50" t="inlineStr">
        <is>
          <t>NON</t>
        </is>
      </c>
      <c r="O4211" s="45" t="inlineStr"/>
    </row>
    <row r="4212" customFormat="1" s="3">
      <c r="A4212" s="45" t="n"/>
      <c r="B4212" s="46" t="inlineStr">
        <is>
          <t>42093</t>
        </is>
      </c>
      <c r="C4212" s="46">
        <f>LEFT(Tableau1[[#This Row],[Formacode]],3)</f>
        <v/>
      </c>
      <c r="D4212" s="47" t="n">
        <v>35551</v>
      </c>
      <c r="E4212" s="48">
        <f>"RNCP"&amp;D4212</f>
        <v/>
      </c>
      <c r="F4212" s="48" t="inlineStr">
        <is>
          <t>Agent d’entretien et de rénovation en propreté</t>
        </is>
      </c>
      <c r="G4212" s="49">
        <f>E4212&amp;" - "&amp;F4212</f>
        <v/>
      </c>
      <c r="H4212" s="36" t="inlineStr">
        <is>
          <t>RAS</t>
        </is>
      </c>
      <c r="I4212" s="45" t="inlineStr"/>
      <c r="J4212" s="45" t="inlineStr">
        <is>
          <t>RNCP35551</t>
        </is>
      </c>
      <c r="K4212" s="45" t="inlineStr">
        <is>
          <t>Agent d’entretien et de rénovation en propreté</t>
        </is>
      </c>
      <c r="L4212" s="45" t="inlineStr">
        <is>
          <t>31/12/2030</t>
        </is>
      </c>
      <c r="M4212" s="45" t="inlineStr"/>
      <c r="N4212" s="50" t="inlineStr">
        <is>
          <t>NON</t>
        </is>
      </c>
      <c r="O4212" s="45" t="inlineStr"/>
    </row>
    <row r="4213" customFormat="1" s="3">
      <c r="A4213" s="45" t="n"/>
      <c r="B4213" s="46" t="inlineStr">
        <is>
          <t>42093</t>
        </is>
      </c>
      <c r="C4213" s="46">
        <f>LEFT(Tableau1[[#This Row],[Formacode]],3)</f>
        <v/>
      </c>
      <c r="D4213" s="47" t="n">
        <v>35552</v>
      </c>
      <c r="E4213" s="48">
        <f>"RNCP"&amp;D4213</f>
        <v/>
      </c>
      <c r="F4213" s="48" t="inlineStr">
        <is>
          <t>Chef d’équipe en propreté</t>
        </is>
      </c>
      <c r="G4213" s="49">
        <f>E4213&amp;" - "&amp;F4213</f>
        <v/>
      </c>
      <c r="H4213" s="36" t="inlineStr">
        <is>
          <t>RAS</t>
        </is>
      </c>
      <c r="I4213" s="45" t="inlineStr"/>
      <c r="J4213" s="45" t="inlineStr">
        <is>
          <t>RNCP35552</t>
        </is>
      </c>
      <c r="K4213" s="45" t="inlineStr">
        <is>
          <t>Chef d’équipe en propreté</t>
        </is>
      </c>
      <c r="L4213" s="45" t="inlineStr">
        <is>
          <t>31/12/2030</t>
        </is>
      </c>
      <c r="M4213" s="45" t="inlineStr"/>
      <c r="N4213" s="50" t="inlineStr">
        <is>
          <t>NON</t>
        </is>
      </c>
      <c r="O4213" s="45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TP - Agent de propreté et d'hygiène</t>
        </is>
      </c>
      <c r="L4214" s="45" t="inlineStr">
        <is>
          <t>31/12/2030</t>
        </is>
      </c>
      <c r="M4214" s="45" t="inlineStr"/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31/12/2030</t>
        </is>
      </c>
      <c r="M4215" s="45" t="inlineStr"/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31/12/2030</t>
        </is>
      </c>
      <c r="M4216" s="45" t="inlineStr"/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31/12/2030</t>
        </is>
      </c>
      <c r="M4217" s="45" t="inlineStr"/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BTS - Métiers des services à l'environnement</t>
        </is>
      </c>
      <c r="L4218" s="45" t="inlineStr">
        <is>
          <t>31/12/2030</t>
        </is>
      </c>
      <c r="M4218" s="45" t="inlineStr"/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31/12/2030</t>
        </is>
      </c>
      <c r="M4219" s="45" t="inlineStr"/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CAP - Propreté et prévention des biocontaminations</t>
        </is>
      </c>
      <c r="L4220" s="45" t="inlineStr">
        <is>
          <t>31/12/2030</t>
        </is>
      </c>
      <c r="M4220" s="45" t="inlineStr"/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BAC PRO - Maintenance environnementale et propreté des espaces urbains</t>
        </is>
      </c>
      <c r="L4221" s="45" t="inlineStr">
        <is>
          <t>31/12/2030</t>
        </is>
      </c>
      <c r="M4221" s="45" t="inlineStr"/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BAC PRO - Hygiène, propreté, stérilisation</t>
        </is>
      </c>
      <c r="L4222" s="45" t="inlineStr">
        <is>
          <t>31/12/2030</t>
        </is>
      </c>
      <c r="M4222" s="45" t="inlineStr"/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31/12/2030</t>
        </is>
      </c>
      <c r="M4223" s="45" t="inlineStr"/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31/12/2030</t>
        </is>
      </c>
      <c r="M4224" s="45" t="inlineStr"/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31/12/2030</t>
        </is>
      </c>
      <c r="M4225" s="45" t="inlineStr"/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TP - Agent de service médico-social</t>
        </is>
      </c>
      <c r="L4226" s="45" t="inlineStr">
        <is>
          <t>31/12/2030</t>
        </is>
      </c>
      <c r="M4226" s="45" t="inlineStr"/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31/12/2030</t>
        </is>
      </c>
      <c r="M4227" s="45" t="inlineStr"/>
      <c r="N4227" s="50" t="inlineStr">
        <is>
          <t>NON</t>
        </is>
      </c>
      <c r="O4227" s="45" t="inlineStr"/>
    </row>
    <row r="4228" ht="28.8" customFormat="1" customHeight="1" s="3">
      <c r="A4228" s="45" t="n"/>
      <c r="B4228" s="46" t="inlineStr">
        <is>
          <t>42095</t>
        </is>
      </c>
      <c r="C4228" s="46">
        <f>LEFT(Tableau1[[#This Row],[Formacode]],3)</f>
        <v/>
      </c>
      <c r="D4228" s="47" t="n">
        <v>35807</v>
      </c>
      <c r="E4228" s="48">
        <f>"RNCP"&amp;D4228</f>
        <v/>
      </c>
      <c r="F4228" s="48" t="inlineStr">
        <is>
          <t>BAC PRO - Métiers de l'entretien des textiles option A : blanchisserie, option B : pressing</t>
        </is>
      </c>
      <c r="G4228" s="49">
        <f>E4228&amp;" - "&amp;F4228</f>
        <v/>
      </c>
      <c r="H4228" s="36" t="inlineStr">
        <is>
          <t>RAS</t>
        </is>
      </c>
      <c r="I4228" s="45" t="inlineStr"/>
      <c r="J4228" s="45" t="inlineStr">
        <is>
          <t>RNCP35807</t>
        </is>
      </c>
      <c r="K4228" s="45" t="inlineStr">
        <is>
          <t>BAC PRO - Métiers de l'entretien des textiles option A : blanchisserie, option B : pressing</t>
        </is>
      </c>
      <c r="L4228" s="45" t="inlineStr">
        <is>
          <t>31/12/2030</t>
        </is>
      </c>
      <c r="M4228" s="45" t="inlineStr"/>
      <c r="N4228" s="50" t="inlineStr">
        <is>
          <t>NON</t>
        </is>
      </c>
      <c r="O4228" s="45" t="inlineStr"/>
    </row>
    <row r="4229" customFormat="1" s="3">
      <c r="A4229" s="45" t="n"/>
      <c r="B4229" s="46" t="inlineStr">
        <is>
          <t>42095</t>
        </is>
      </c>
      <c r="C4229" s="46">
        <f>LEFT(Tableau1[[#This Row],[Formacode]],3)</f>
        <v/>
      </c>
      <c r="D4229" s="47" t="n">
        <v>35808</v>
      </c>
      <c r="E4229" s="48">
        <f>"RNCP"&amp;D4229</f>
        <v/>
      </c>
      <c r="F4229" s="48" t="inlineStr">
        <is>
          <t>CAP - Métiers de l’entretien des textiles, option A : blanchisserie, option B : pressing</t>
        </is>
      </c>
      <c r="G4229" s="49">
        <f>E4229&amp;" - "&amp;F4229</f>
        <v/>
      </c>
      <c r="H4229" s="36" t="inlineStr">
        <is>
          <t>RAS</t>
        </is>
      </c>
      <c r="I4229" s="45" t="inlineStr"/>
      <c r="J4229" s="45" t="inlineStr">
        <is>
          <t>RNCP35808</t>
        </is>
      </c>
      <c r="K4229" s="45" t="inlineStr">
        <is>
          <t>CAP - Métiers de l’entretien des textiles, option A : blanchisserie, option B : pressing</t>
        </is>
      </c>
      <c r="L4229" s="45" t="inlineStr">
        <is>
          <t>31/12/2030</t>
        </is>
      </c>
      <c r="M4229" s="45" t="inlineStr"/>
      <c r="N4229" s="50" t="inlineStr">
        <is>
          <t>NON</t>
        </is>
      </c>
      <c r="O4229" s="45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31/12/2030</t>
        </is>
      </c>
      <c r="M4230" s="45" t="inlineStr"/>
      <c r="N4230" s="50" t="inlineStr">
        <is>
          <t>NON</t>
        </is>
      </c>
      <c r="O4230" s="45" t="inlineStr"/>
    </row>
    <row r="4231" ht="28.8" customFormat="1" customHeight="1" s="3">
      <c r="A4231" s="45" t="n"/>
      <c r="B4231" s="46" t="inlineStr">
        <is>
          <t>42097</t>
        </is>
      </c>
      <c r="C4231" s="46">
        <f>LEFT(Tableau1[[#This Row],[Formacode]],3)</f>
        <v/>
      </c>
      <c r="D4231" s="47" t="n">
        <v>35807</v>
      </c>
      <c r="E4231" s="48">
        <f>"RNCP"&amp;D4231</f>
        <v/>
      </c>
      <c r="F4231" s="48" t="inlineStr">
        <is>
          <t>BAC PRO - Métiers de l'entretien des textiles option A : blanchisserie, option B : pressing</t>
        </is>
      </c>
      <c r="G4231" s="49">
        <f>E4231&amp;" - "&amp;F4231</f>
        <v/>
      </c>
      <c r="H4231" s="36" t="inlineStr">
        <is>
          <t>RAS</t>
        </is>
      </c>
      <c r="I4231" s="45" t="inlineStr"/>
      <c r="J4231" s="45" t="inlineStr">
        <is>
          <t>RNCP35807</t>
        </is>
      </c>
      <c r="K4231" s="45" t="inlineStr">
        <is>
          <t>BAC PRO - Métiers de l'entretien des textiles option A : blanchisserie, option B : pressing</t>
        </is>
      </c>
      <c r="L4231" s="45" t="inlineStr">
        <is>
          <t>31/12/2030</t>
        </is>
      </c>
      <c r="M4231" s="45" t="inlineStr"/>
      <c r="N4231" s="50" t="inlineStr">
        <is>
          <t>NON</t>
        </is>
      </c>
      <c r="O4231" s="45" t="inlineStr"/>
    </row>
    <row r="4232" customFormat="1" s="3">
      <c r="A4232" s="45" t="n"/>
      <c r="B4232" s="46" t="inlineStr">
        <is>
          <t>42097</t>
        </is>
      </c>
      <c r="C4232" s="46">
        <f>LEFT(Tableau1[[#This Row],[Formacode]],3)</f>
        <v/>
      </c>
      <c r="D4232" s="47" t="n">
        <v>35808</v>
      </c>
      <c r="E4232" s="48">
        <f>"RNCP"&amp;D4232</f>
        <v/>
      </c>
      <c r="F4232" s="48" t="inlineStr">
        <is>
          <t>CAP - Métiers de l’entretien des textiles, option A : blanchisserie, option B : pressing</t>
        </is>
      </c>
      <c r="G4232" s="49">
        <f>E4232&amp;" - "&amp;F4232</f>
        <v/>
      </c>
      <c r="H4232" s="36" t="inlineStr">
        <is>
          <t>RAS</t>
        </is>
      </c>
      <c r="I4232" s="45" t="inlineStr"/>
      <c r="J4232" s="45" t="inlineStr">
        <is>
          <t>RNCP35808</t>
        </is>
      </c>
      <c r="K4232" s="45" t="inlineStr">
        <is>
          <t>CAP - Métiers de l’entretien des textiles, option A : blanchisserie, option B : pressing</t>
        </is>
      </c>
      <c r="L4232" s="45" t="inlineStr">
        <is>
          <t>31/12/2030</t>
        </is>
      </c>
      <c r="M4232" s="45" t="inlineStr"/>
      <c r="N4232" s="50" t="inlineStr">
        <is>
          <t>NON</t>
        </is>
      </c>
      <c r="O4232" s="45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31/12/2030</t>
        </is>
      </c>
      <c r="M4233" s="45" t="inlineStr"/>
      <c r="N4233" s="50" t="inlineStr">
        <is>
          <t>NON</t>
        </is>
      </c>
      <c r="O4233" s="45" t="inlineStr"/>
    </row>
    <row r="4234" customFormat="1" s="3">
      <c r="A4234" s="45" t="n"/>
      <c r="B4234" s="46" t="inlineStr">
        <is>
          <t>42101</t>
        </is>
      </c>
      <c r="C4234" s="46">
        <f>LEFT(Tableau1[[#This Row],[Formacode]],3)</f>
        <v/>
      </c>
      <c r="D4234" s="47" t="n">
        <v>35590</v>
      </c>
      <c r="E4234" s="48">
        <f>"RNCP"&amp;D4234</f>
        <v/>
      </c>
      <c r="F4234" s="48" t="inlineStr">
        <is>
          <t>Manager de l'habitat social et durable</t>
        </is>
      </c>
      <c r="G4234" s="49">
        <f>E4234&amp;" - "&amp;F4234</f>
        <v/>
      </c>
      <c r="H4234" s="36" t="inlineStr">
        <is>
          <t>RAS</t>
        </is>
      </c>
      <c r="I4234" s="45" t="inlineStr"/>
      <c r="J4234" s="45" t="inlineStr">
        <is>
          <t>RNCP35590</t>
        </is>
      </c>
      <c r="K4234" s="45" t="inlineStr">
        <is>
          <t>Manager de l'habitat social et durable</t>
        </is>
      </c>
      <c r="L4234" s="45" t="inlineStr">
        <is>
          <t>31/12/2030</t>
        </is>
      </c>
      <c r="M4234" s="45" t="inlineStr"/>
      <c r="N4234" s="50" t="inlineStr">
        <is>
          <t>NON</t>
        </is>
      </c>
      <c r="O4234" s="45" t="inlineStr"/>
    </row>
    <row r="4235" customFormat="1" s="3">
      <c r="A4235" s="45" t="n"/>
      <c r="B4235" s="46" t="inlineStr">
        <is>
          <t>42101</t>
        </is>
      </c>
      <c r="C4235" s="46">
        <f>LEFT(Tableau1[[#This Row],[Formacode]],3)</f>
        <v/>
      </c>
      <c r="D4235" s="47" t="n">
        <v>37527</v>
      </c>
      <c r="E4235" s="48">
        <f>"RNCP"&amp;D4235</f>
        <v/>
      </c>
      <c r="F4235" s="48" t="inlineStr">
        <is>
          <t>Technicien en diagnostics immobiliers</t>
        </is>
      </c>
      <c r="G4235" s="49">
        <f>E4235&amp;" - "&amp;F4235</f>
        <v/>
      </c>
      <c r="H4235" s="36" t="inlineStr">
        <is>
          <t>RAS</t>
        </is>
      </c>
      <c r="I4235" s="45" t="inlineStr"/>
      <c r="J4235" s="45" t="inlineStr">
        <is>
          <t>RNCP37527</t>
        </is>
      </c>
      <c r="K4235" s="45" t="inlineStr">
        <is>
          <t>Technicien en diagnostics immobiliers</t>
        </is>
      </c>
      <c r="L4235" s="45" t="inlineStr">
        <is>
          <t>31/12/2030</t>
        </is>
      </c>
      <c r="M4235" s="45" t="inlineStr"/>
      <c r="N4235" s="50" t="inlineStr">
        <is>
          <t>NON</t>
        </is>
      </c>
      <c r="O4235" s="45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31/12/2030</t>
        </is>
      </c>
      <c r="M4236" s="45" t="inlineStr"/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31/12/2030</t>
        </is>
      </c>
      <c r="M4237" s="45" t="inlineStr"/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31/12/2030</t>
        </is>
      </c>
      <c r="M4238" s="45" t="inlineStr"/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31/12/2030</t>
        </is>
      </c>
      <c r="M4239" s="45" t="inlineStr"/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31/12/2030</t>
        </is>
      </c>
      <c r="M4240" s="45" t="inlineStr"/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31/12/2030</t>
        </is>
      </c>
      <c r="M4241" s="45" t="inlineStr"/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31/12/2030</t>
        </is>
      </c>
      <c r="M4242" s="45" t="inlineStr"/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31/12/2030</t>
        </is>
      </c>
      <c r="M4243" s="45" t="inlineStr"/>
      <c r="N4243" s="50" t="inlineStr">
        <is>
          <t>NON</t>
        </is>
      </c>
      <c r="O4243" s="45" t="inlineStr"/>
    </row>
    <row r="4244" customFormat="1" s="3">
      <c r="A4244" s="45" t="n"/>
      <c r="B4244" s="46" t="inlineStr">
        <is>
          <t>42133</t>
        </is>
      </c>
      <c r="C4244" s="46">
        <f>LEFT(Tableau1[[#This Row],[Formacode]],3)</f>
        <v/>
      </c>
      <c r="D4244" s="47" t="n">
        <v>35590</v>
      </c>
      <c r="E4244" s="48">
        <f>"RNCP"&amp;D4244</f>
        <v/>
      </c>
      <c r="F4244" s="48" t="inlineStr">
        <is>
          <t>Manager de l'habitat social et durable</t>
        </is>
      </c>
      <c r="G4244" s="49">
        <f>E4244&amp;" - "&amp;F4244</f>
        <v/>
      </c>
      <c r="H4244" s="36" t="inlineStr">
        <is>
          <t>RAS</t>
        </is>
      </c>
      <c r="I4244" s="45" t="inlineStr"/>
      <c r="J4244" s="45" t="inlineStr">
        <is>
          <t>RNCP35590</t>
        </is>
      </c>
      <c r="K4244" s="45" t="inlineStr">
        <is>
          <t>Manager de l'habitat social et durable</t>
        </is>
      </c>
      <c r="L4244" s="45" t="inlineStr">
        <is>
          <t>31/12/2030</t>
        </is>
      </c>
      <c r="M4244" s="45" t="inlineStr"/>
      <c r="N4244" s="50" t="inlineStr">
        <is>
          <t>NON</t>
        </is>
      </c>
      <c r="O4244" s="45" t="inlineStr"/>
    </row>
    <row r="4245" customFormat="1" s="3">
      <c r="A4245" s="45" t="n"/>
      <c r="B4245" s="46" t="inlineStr">
        <is>
          <t>42133</t>
        </is>
      </c>
      <c r="C4245" s="46">
        <f>LEFT(Tableau1[[#This Row],[Formacode]],3)</f>
        <v/>
      </c>
      <c r="D4245" s="47" t="n">
        <v>36073</v>
      </c>
      <c r="E4245" s="48">
        <f>"RNCP"&amp;D4245</f>
        <v/>
      </c>
      <c r="F4245" s="48" t="inlineStr">
        <is>
          <t>Responsable d’affaires immobilières</t>
        </is>
      </c>
      <c r="G4245" s="49">
        <f>E4245&amp;" - "&amp;F4245</f>
        <v/>
      </c>
      <c r="H4245" s="36" t="inlineStr">
        <is>
          <t>RAS</t>
        </is>
      </c>
      <c r="I4245" s="45" t="inlineStr"/>
      <c r="J4245" s="45" t="inlineStr">
        <is>
          <t>RNCP36073</t>
        </is>
      </c>
      <c r="K4245" s="45" t="inlineStr">
        <is>
          <t>Responsable d’affaires immobilières</t>
        </is>
      </c>
      <c r="L4245" s="45" t="inlineStr">
        <is>
          <t>31/12/2030</t>
        </is>
      </c>
      <c r="M4245" s="45" t="inlineStr"/>
      <c r="N4245" s="50" t="inlineStr">
        <is>
          <t>NON</t>
        </is>
      </c>
      <c r="O4245" s="45" t="inlineStr"/>
    </row>
    <row r="4246" customFormat="1" s="3">
      <c r="A4246" s="45" t="n"/>
      <c r="B4246" s="46" t="inlineStr">
        <is>
          <t>42133</t>
        </is>
      </c>
      <c r="C4246" s="46">
        <f>LEFT(Tableau1[[#This Row],[Formacode]],3)</f>
        <v/>
      </c>
      <c r="D4246" s="47" t="n">
        <v>37435</v>
      </c>
      <c r="E4246" s="48">
        <f>"RNCP"&amp;D4246</f>
        <v/>
      </c>
      <c r="F4246" s="48" t="inlineStr">
        <is>
          <t>Gestionnaire d'affaires immobilières</t>
        </is>
      </c>
      <c r="G4246" s="49">
        <f>E4246&amp;" - "&amp;F4246</f>
        <v/>
      </c>
      <c r="H4246" s="36" t="inlineStr">
        <is>
          <t>RAS</t>
        </is>
      </c>
      <c r="I4246" s="45" t="inlineStr"/>
      <c r="J4246" s="45" t="inlineStr">
        <is>
          <t>RNCP37435</t>
        </is>
      </c>
      <c r="K4246" s="45" t="inlineStr">
        <is>
          <t>Gestionnaire d'affaires immobilières</t>
        </is>
      </c>
      <c r="L4246" s="45" t="inlineStr">
        <is>
          <t>31/12/2030</t>
        </is>
      </c>
      <c r="M4246" s="45" t="inlineStr"/>
      <c r="N4246" s="50" t="inlineStr">
        <is>
          <t>NON</t>
        </is>
      </c>
      <c r="O4246" s="45" t="inlineStr"/>
    </row>
    <row r="4247" customFormat="1" s="3">
      <c r="A4247" s="45" t="n"/>
      <c r="B4247" s="46" t="inlineStr">
        <is>
          <t>42133</t>
        </is>
      </c>
      <c r="C4247" s="46">
        <f>LEFT(Tableau1[[#This Row],[Formacode]],3)</f>
        <v/>
      </c>
      <c r="D4247" s="47" t="n">
        <v>37641</v>
      </c>
      <c r="E4247" s="48">
        <f>"RNCP"&amp;D4247</f>
        <v/>
      </c>
      <c r="F4247" s="48" t="inlineStr">
        <is>
          <t>Chargé d'affaires en immobilier</t>
        </is>
      </c>
      <c r="G4247" s="49">
        <f>E4247&amp;" - "&amp;F4247</f>
        <v/>
      </c>
      <c r="H4247" s="36" t="inlineStr">
        <is>
          <t>RAS</t>
        </is>
      </c>
      <c r="I4247" s="45" t="inlineStr"/>
      <c r="J4247" s="45" t="inlineStr">
        <is>
          <t>RNCP37641</t>
        </is>
      </c>
      <c r="K4247" s="45" t="inlineStr">
        <is>
          <t>Chargé d'affaires en immobilier</t>
        </is>
      </c>
      <c r="L4247" s="45" t="inlineStr">
        <is>
          <t>31/12/2030</t>
        </is>
      </c>
      <c r="M4247" s="45" t="inlineStr"/>
      <c r="N4247" s="50" t="inlineStr">
        <is>
          <t>NON</t>
        </is>
      </c>
      <c r="O4247" s="45" t="inlineStr"/>
    </row>
    <row r="4248" customFormat="1" s="3">
      <c r="A4248" s="45" t="n"/>
      <c r="B4248" s="46" t="inlineStr">
        <is>
          <t>42133</t>
        </is>
      </c>
      <c r="C4248" s="46">
        <f>LEFT(Tableau1[[#This Row],[Formacode]],3)</f>
        <v/>
      </c>
      <c r="D4248" s="47" t="n">
        <v>38380</v>
      </c>
      <c r="E4248" s="48">
        <f>"RNCP"&amp;D4248</f>
        <v/>
      </c>
      <c r="F4248" s="48" t="inlineStr">
        <is>
          <t>BTS - Professions immobilières</t>
        </is>
      </c>
      <c r="G4248" s="49">
        <f>E4248&amp;" - "&amp;F4248</f>
        <v/>
      </c>
      <c r="H4248" s="36" t="inlineStr">
        <is>
          <t>RAS</t>
        </is>
      </c>
      <c r="I4248" s="45" t="inlineStr"/>
      <c r="J4248" s="45" t="inlineStr">
        <is>
          <t>RNCP38380</t>
        </is>
      </c>
      <c r="K4248" s="45" t="inlineStr">
        <is>
          <t>BTS - Professions immobilières</t>
        </is>
      </c>
      <c r="L4248" s="45" t="inlineStr">
        <is>
          <t>31/12/2030</t>
        </is>
      </c>
      <c r="M4248" s="45" t="inlineStr"/>
      <c r="N4248" s="50" t="inlineStr">
        <is>
          <t>NON</t>
        </is>
      </c>
      <c r="O4248" s="45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31/12/2030</t>
        </is>
      </c>
      <c r="M4249" s="45" t="inlineStr"/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31/12/2030</t>
        </is>
      </c>
      <c r="M4250" s="45" t="inlineStr"/>
      <c r="N4250" s="50" t="inlineStr">
        <is>
          <t>NON</t>
        </is>
      </c>
      <c r="O4250" s="45" t="inlineStr"/>
    </row>
    <row r="4251" customFormat="1" s="3">
      <c r="A4251" s="45" t="n"/>
      <c r="B4251" s="46" t="inlineStr">
        <is>
          <t>42133</t>
        </is>
      </c>
      <c r="C4251" s="46">
        <f>LEFT(Tableau1[[#This Row],[Formacode]],3)</f>
        <v/>
      </c>
      <c r="D4251" s="47" t="n">
        <v>40981</v>
      </c>
      <c r="E4251" s="48">
        <f>"RNCP"&amp;D4251</f>
        <v/>
      </c>
      <c r="F4251" s="48" t="inlineStr">
        <is>
          <t>DIPLOVIS - Diplôme supérieur en immobilier</t>
        </is>
      </c>
      <c r="G4251" s="49">
        <f>E4251&amp;" - "&amp;F4251</f>
        <v/>
      </c>
      <c r="H4251" s="36" t="inlineStr">
        <is>
          <t>RAS</t>
        </is>
      </c>
      <c r="I4251" s="45" t="inlineStr"/>
      <c r="J4251" s="45" t="inlineStr">
        <is>
          <t>RNCP40981</t>
        </is>
      </c>
      <c r="K4251" s="45" t="inlineStr">
        <is>
          <t>DIPLOVIS - Diplôme supérieur en immobilier</t>
        </is>
      </c>
      <c r="L4251" s="45" t="inlineStr">
        <is>
          <t>31/12/2030</t>
        </is>
      </c>
      <c r="M4251" s="45" t="inlineStr"/>
      <c r="N4251" s="50" t="inlineStr">
        <is>
          <t>NON</t>
        </is>
      </c>
      <c r="O4251" s="45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TP - Assistant immobilier</t>
        </is>
      </c>
      <c r="L4252" s="45" t="inlineStr">
        <is>
          <t>31/12/2030</t>
        </is>
      </c>
      <c r="M4252" s="45" t="inlineStr"/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31/12/2030</t>
        </is>
      </c>
      <c r="M4253" s="45" t="inlineStr"/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31/12/2030</t>
        </is>
      </c>
      <c r="M4254" s="45" t="inlineStr"/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31/12/2030</t>
        </is>
      </c>
      <c r="M4255" s="45" t="inlineStr"/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31/12/2030</t>
        </is>
      </c>
      <c r="M4256" s="45" t="inlineStr"/>
      <c r="N4256" s="50" t="inlineStr">
        <is>
          <t>NON</t>
        </is>
      </c>
      <c r="O4256" s="45" t="inlineStr"/>
    </row>
    <row r="4257" customFormat="1" s="3">
      <c r="A4257" s="45" t="n"/>
      <c r="B4257" s="46" t="inlineStr">
        <is>
          <t>42137</t>
        </is>
      </c>
      <c r="C4257" s="46">
        <f>LEFT(Tableau1[[#This Row],[Formacode]],3)</f>
        <v/>
      </c>
      <c r="D4257" s="47" t="n">
        <v>35590</v>
      </c>
      <c r="E4257" s="48">
        <f>"RNCP"&amp;D4257</f>
        <v/>
      </c>
      <c r="F4257" s="48" t="inlineStr">
        <is>
          <t>Manager de l'habitat social et durable</t>
        </is>
      </c>
      <c r="G4257" s="49">
        <f>E4257&amp;" - "&amp;F4257</f>
        <v/>
      </c>
      <c r="H4257" s="36" t="inlineStr">
        <is>
          <t>RAS</t>
        </is>
      </c>
      <c r="I4257" s="45" t="inlineStr"/>
      <c r="J4257" s="45" t="inlineStr">
        <is>
          <t>RNCP35590</t>
        </is>
      </c>
      <c r="K4257" s="45" t="inlineStr">
        <is>
          <t>Manager de l'habitat social et durable</t>
        </is>
      </c>
      <c r="L4257" s="45" t="inlineStr">
        <is>
          <t>31/12/2030</t>
        </is>
      </c>
      <c r="M4257" s="45" t="inlineStr"/>
      <c r="N4257" s="50" t="inlineStr">
        <is>
          <t>NON</t>
        </is>
      </c>
      <c r="O4257" s="45" t="inlineStr"/>
    </row>
    <row r="4258" customFormat="1" s="3">
      <c r="A4258" s="45" t="n"/>
      <c r="B4258" s="46" t="inlineStr">
        <is>
          <t>42137</t>
        </is>
      </c>
      <c r="C4258" s="46">
        <f>LEFT(Tableau1[[#This Row],[Formacode]],3)</f>
        <v/>
      </c>
      <c r="D4258" s="47" t="n">
        <v>40981</v>
      </c>
      <c r="E4258" s="48">
        <f>"RNCP"&amp;D4258</f>
        <v/>
      </c>
      <c r="F4258" s="48" t="inlineStr">
        <is>
          <t>DIPLOVIS - Diplôme supérieur en immobilier</t>
        </is>
      </c>
      <c r="G4258" s="49">
        <f>E4258&amp;" - "&amp;F4258</f>
        <v/>
      </c>
      <c r="H4258" s="36" t="inlineStr">
        <is>
          <t>RAS</t>
        </is>
      </c>
      <c r="I4258" s="45" t="inlineStr"/>
      <c r="J4258" s="45" t="inlineStr">
        <is>
          <t>RNCP40981</t>
        </is>
      </c>
      <c r="K4258" s="45" t="inlineStr">
        <is>
          <t>DIPLOVIS - Diplôme supérieur en immobilier</t>
        </is>
      </c>
      <c r="L4258" s="45" t="inlineStr">
        <is>
          <t>31/12/2030</t>
        </is>
      </c>
      <c r="M4258" s="45" t="inlineStr"/>
      <c r="N4258" s="50" t="inlineStr">
        <is>
          <t>NON</t>
        </is>
      </c>
      <c r="O4258" s="45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31/12/2030</t>
        </is>
      </c>
      <c r="M4259" s="45" t="inlineStr"/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31/12/2030</t>
        </is>
      </c>
      <c r="M4260" s="45" t="inlineStr"/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31/12/2030</t>
        </is>
      </c>
      <c r="M4261" s="45" t="inlineStr"/>
      <c r="N4261" s="50" t="inlineStr">
        <is>
          <t>NON</t>
        </is>
      </c>
      <c r="O4261" s="45" t="inlineStr"/>
    </row>
    <row r="4262" customFormat="1" s="3">
      <c r="A4262" s="45" t="n"/>
      <c r="B4262" s="46" t="inlineStr">
        <is>
          <t>42158</t>
        </is>
      </c>
      <c r="C4262" s="46">
        <f>LEFT(Tableau1[[#This Row],[Formacode]],3)</f>
        <v/>
      </c>
      <c r="D4262" s="47" t="n">
        <v>35590</v>
      </c>
      <c r="E4262" s="48">
        <f>"RNCP"&amp;D4262</f>
        <v/>
      </c>
      <c r="F4262" s="48" t="inlineStr">
        <is>
          <t>Manager de l'habitat social et durable</t>
        </is>
      </c>
      <c r="G4262" s="49">
        <f>E4262&amp;" - "&amp;F4262</f>
        <v/>
      </c>
      <c r="H4262" s="36" t="inlineStr">
        <is>
          <t>RAS</t>
        </is>
      </c>
      <c r="I4262" s="45" t="inlineStr"/>
      <c r="J4262" s="45" t="inlineStr">
        <is>
          <t>RNCP35590</t>
        </is>
      </c>
      <c r="K4262" s="45" t="inlineStr">
        <is>
          <t>Manager de l'habitat social et durable</t>
        </is>
      </c>
      <c r="L4262" s="45" t="inlineStr">
        <is>
          <t>31/12/2030</t>
        </is>
      </c>
      <c r="M4262" s="45" t="inlineStr"/>
      <c r="N4262" s="50" t="inlineStr">
        <is>
          <t>NON</t>
        </is>
      </c>
      <c r="O4262" s="45" t="inlineStr"/>
    </row>
    <row r="4263" customFormat="1" s="3">
      <c r="A4263" s="45" t="n"/>
      <c r="B4263" s="46" t="inlineStr">
        <is>
          <t>42158</t>
        </is>
      </c>
      <c r="C4263" s="46">
        <f>LEFT(Tableau1[[#This Row],[Formacode]],3)</f>
        <v/>
      </c>
      <c r="D4263" s="47" t="n">
        <v>36073</v>
      </c>
      <c r="E4263" s="48">
        <f>"RNCP"&amp;D4263</f>
        <v/>
      </c>
      <c r="F4263" s="48" t="inlineStr">
        <is>
          <t>Responsable d’affaires immobilières</t>
        </is>
      </c>
      <c r="G4263" s="49">
        <f>E4263&amp;" - "&amp;F4263</f>
        <v/>
      </c>
      <c r="H4263" s="36" t="inlineStr">
        <is>
          <t>RAS</t>
        </is>
      </c>
      <c r="I4263" s="45" t="inlineStr"/>
      <c r="J4263" s="45" t="inlineStr">
        <is>
          <t>RNCP36073</t>
        </is>
      </c>
      <c r="K4263" s="45" t="inlineStr">
        <is>
          <t>Responsable d’affaires immobilières</t>
        </is>
      </c>
      <c r="L4263" s="45" t="inlineStr">
        <is>
          <t>31/12/2030</t>
        </is>
      </c>
      <c r="M4263" s="45" t="inlineStr"/>
      <c r="N4263" s="50" t="inlineStr">
        <is>
          <t>NON</t>
        </is>
      </c>
      <c r="O4263" s="45" t="inlineStr"/>
    </row>
    <row r="4264" customFormat="1" s="3">
      <c r="A4264" s="45" t="n"/>
      <c r="B4264" s="46" t="inlineStr">
        <is>
          <t>42158</t>
        </is>
      </c>
      <c r="C4264" s="46">
        <f>LEFT(Tableau1[[#This Row],[Formacode]],3)</f>
        <v/>
      </c>
      <c r="D4264" s="47" t="n">
        <v>37641</v>
      </c>
      <c r="E4264" s="48">
        <f>"RNCP"&amp;D4264</f>
        <v/>
      </c>
      <c r="F4264" s="48" t="inlineStr">
        <is>
          <t>Chargé d'affaires en immobilier</t>
        </is>
      </c>
      <c r="G4264" s="49">
        <f>E4264&amp;" - "&amp;F4264</f>
        <v/>
      </c>
      <c r="H4264" s="36" t="inlineStr">
        <is>
          <t>RAS</t>
        </is>
      </c>
      <c r="I4264" s="45" t="inlineStr"/>
      <c r="J4264" s="45" t="inlineStr">
        <is>
          <t>RNCP37641</t>
        </is>
      </c>
      <c r="K4264" s="45" t="inlineStr">
        <is>
          <t>Chargé d'affaires en immobilier</t>
        </is>
      </c>
      <c r="L4264" s="45" t="inlineStr">
        <is>
          <t>31/12/2030</t>
        </is>
      </c>
      <c r="M4264" s="45" t="inlineStr"/>
      <c r="N4264" s="50" t="inlineStr">
        <is>
          <t>NON</t>
        </is>
      </c>
      <c r="O4264" s="45" t="inlineStr"/>
    </row>
    <row r="4265" customFormat="1" s="3">
      <c r="A4265" s="45" t="n"/>
      <c r="B4265" s="46" t="inlineStr">
        <is>
          <t>42158</t>
        </is>
      </c>
      <c r="C4265" s="46">
        <f>LEFT(Tableau1[[#This Row],[Formacode]],3)</f>
        <v/>
      </c>
      <c r="D4265" s="47" t="n">
        <v>38380</v>
      </c>
      <c r="E4265" s="48">
        <f>"RNCP"&amp;D4265</f>
        <v/>
      </c>
      <c r="F4265" s="48" t="inlineStr">
        <is>
          <t>BTS - Professions immobilières</t>
        </is>
      </c>
      <c r="G4265" s="49">
        <f>E4265&amp;" - "&amp;F4265</f>
        <v/>
      </c>
      <c r="H4265" s="36" t="inlineStr">
        <is>
          <t>RAS</t>
        </is>
      </c>
      <c r="I4265" s="45" t="inlineStr"/>
      <c r="J4265" s="45" t="inlineStr">
        <is>
          <t>RNCP38380</t>
        </is>
      </c>
      <c r="K4265" s="45" t="inlineStr">
        <is>
          <t>BTS - Professions immobilières</t>
        </is>
      </c>
      <c r="L4265" s="45" t="inlineStr">
        <is>
          <t>31/12/2030</t>
        </is>
      </c>
      <c r="M4265" s="45" t="inlineStr"/>
      <c r="N4265" s="50" t="inlineStr">
        <is>
          <t>NON</t>
        </is>
      </c>
      <c r="O4265" s="45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31/12/2030</t>
        </is>
      </c>
      <c r="M4266" s="45" t="inlineStr"/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31/12/2030</t>
        </is>
      </c>
      <c r="M4267" s="45" t="inlineStr"/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31/12/2030</t>
        </is>
      </c>
      <c r="M4268" s="45" t="inlineStr"/>
      <c r="N4268" s="50" t="inlineStr">
        <is>
          <t>NON</t>
        </is>
      </c>
      <c r="O4268" s="45" t="inlineStr"/>
    </row>
    <row r="4269" customFormat="1" s="3">
      <c r="A4269" s="45" t="n"/>
      <c r="B4269" s="46" t="inlineStr">
        <is>
          <t>42158</t>
        </is>
      </c>
      <c r="C4269" s="46">
        <f>LEFT(Tableau1[[#This Row],[Formacode]],3)</f>
        <v/>
      </c>
      <c r="D4269" s="47" t="n">
        <v>40981</v>
      </c>
      <c r="E4269" s="48">
        <f>"RNCP"&amp;D4269</f>
        <v/>
      </c>
      <c r="F4269" s="48" t="inlineStr">
        <is>
          <t>DIPLOVIS - Diplôme supérieur en immobilier</t>
        </is>
      </c>
      <c r="G4269" s="49">
        <f>E4269&amp;" - "&amp;F4269</f>
        <v/>
      </c>
      <c r="H4269" s="36" t="inlineStr">
        <is>
          <t>RAS</t>
        </is>
      </c>
      <c r="I4269" s="45" t="inlineStr"/>
      <c r="J4269" s="45" t="inlineStr">
        <is>
          <t>RNCP40981</t>
        </is>
      </c>
      <c r="K4269" s="45" t="inlineStr">
        <is>
          <t>DIPLOVIS - Diplôme supérieur en immobilier</t>
        </is>
      </c>
      <c r="L4269" s="45" t="inlineStr">
        <is>
          <t>31/12/2030</t>
        </is>
      </c>
      <c r="M4269" s="45" t="inlineStr"/>
      <c r="N4269" s="50" t="inlineStr">
        <is>
          <t>NON</t>
        </is>
      </c>
      <c r="O4269" s="45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31/12/2030</t>
        </is>
      </c>
      <c r="M4270" s="45" t="inlineStr"/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31/12/2030</t>
        </is>
      </c>
      <c r="M4271" s="45" t="inlineStr"/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31/12/2030</t>
        </is>
      </c>
      <c r="M4272" s="45" t="inlineStr"/>
      <c r="N4272" s="50" t="inlineStr">
        <is>
          <t>NON</t>
        </is>
      </c>
      <c r="O4272" s="45" t="inlineStr"/>
    </row>
    <row r="4273" customFormat="1" s="3">
      <c r="A4273" s="45" t="n"/>
      <c r="B4273" s="46" t="inlineStr">
        <is>
          <t>42171</t>
        </is>
      </c>
      <c r="C4273" s="46">
        <f>LEFT(Tableau1[[#This Row],[Formacode]],3)</f>
        <v/>
      </c>
      <c r="D4273" s="47" t="n">
        <v>35590</v>
      </c>
      <c r="E4273" s="48">
        <f>"RNCP"&amp;D4273</f>
        <v/>
      </c>
      <c r="F4273" s="48" t="inlineStr">
        <is>
          <t>Manager de l'habitat social et durable</t>
        </is>
      </c>
      <c r="G4273" s="49">
        <f>E4273&amp;" - "&amp;F4273</f>
        <v/>
      </c>
      <c r="H4273" s="36" t="inlineStr">
        <is>
          <t>RAS</t>
        </is>
      </c>
      <c r="I4273" s="45" t="inlineStr"/>
      <c r="J4273" s="45" t="inlineStr">
        <is>
          <t>RNCP35590</t>
        </is>
      </c>
      <c r="K4273" s="45" t="inlineStr">
        <is>
          <t>Manager de l'habitat social et durable</t>
        </is>
      </c>
      <c r="L4273" s="45" t="inlineStr">
        <is>
          <t>31/12/2030</t>
        </is>
      </c>
      <c r="M4273" s="45" t="inlineStr"/>
      <c r="N4273" s="50" t="inlineStr">
        <is>
          <t>NON</t>
        </is>
      </c>
      <c r="O4273" s="45" t="inlineStr"/>
    </row>
    <row r="4274" customFormat="1" s="3">
      <c r="A4274" s="45" t="n"/>
      <c r="B4274" s="46" t="inlineStr">
        <is>
          <t>42178</t>
        </is>
      </c>
      <c r="C4274" s="46">
        <f>LEFT(Tableau1[[#This Row],[Formacode]],3)</f>
        <v/>
      </c>
      <c r="D4274" s="47" t="n">
        <v>35590</v>
      </c>
      <c r="E4274" s="48">
        <f>"RNCP"&amp;D4274</f>
        <v/>
      </c>
      <c r="F4274" s="48" t="inlineStr">
        <is>
          <t>Manager de l'habitat social et durable</t>
        </is>
      </c>
      <c r="G4274" s="49">
        <f>E4274&amp;" - "&amp;F4274</f>
        <v/>
      </c>
      <c r="H4274" s="36" t="inlineStr">
        <is>
          <t>RAS</t>
        </is>
      </c>
      <c r="I4274" s="45" t="inlineStr"/>
      <c r="J4274" s="45" t="inlineStr">
        <is>
          <t>RNCP35590</t>
        </is>
      </c>
      <c r="K4274" s="45" t="inlineStr">
        <is>
          <t>Manager de l'habitat social et durable</t>
        </is>
      </c>
      <c r="L4274" s="45" t="inlineStr">
        <is>
          <t>31/12/2030</t>
        </is>
      </c>
      <c r="M4274" s="45" t="inlineStr"/>
      <c r="N4274" s="50" t="inlineStr">
        <is>
          <t>NON</t>
        </is>
      </c>
      <c r="O4274" s="45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31/12/2030</t>
        </is>
      </c>
      <c r="M4275" s="45" t="inlineStr"/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31/12/2030</t>
        </is>
      </c>
      <c r="M4276" s="45" t="inlineStr"/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31/12/2030</t>
        </is>
      </c>
      <c r="M4277" s="45" t="inlineStr"/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31/12/2030</t>
        </is>
      </c>
      <c r="M4278" s="45" t="inlineStr"/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31/12/2030</t>
        </is>
      </c>
      <c r="M4279" s="45" t="inlineStr"/>
      <c r="N4279" s="50" t="inlineStr">
        <is>
          <t>NON</t>
        </is>
      </c>
      <c r="O4279" s="45" t="inlineStr"/>
    </row>
    <row r="4280" customFormat="1" s="3">
      <c r="A4280" s="45" t="n"/>
      <c r="B4280" s="46" t="inlineStr">
        <is>
          <t>42184</t>
        </is>
      </c>
      <c r="C4280" s="46">
        <f>LEFT(Tableau1[[#This Row],[Formacode]],3)</f>
        <v/>
      </c>
      <c r="D4280" s="47" t="n">
        <v>35590</v>
      </c>
      <c r="E4280" s="48">
        <f>"RNCP"&amp;D4280</f>
        <v/>
      </c>
      <c r="F4280" s="48" t="inlineStr">
        <is>
          <t>Manager de l'habitat social et durable</t>
        </is>
      </c>
      <c r="G4280" s="49">
        <f>E4280&amp;" - "&amp;F4280</f>
        <v/>
      </c>
      <c r="H4280" s="36" t="inlineStr">
        <is>
          <t>RAS</t>
        </is>
      </c>
      <c r="I4280" s="45" t="inlineStr"/>
      <c r="J4280" s="45" t="inlineStr">
        <is>
          <t>RNCP35590</t>
        </is>
      </c>
      <c r="K4280" s="45" t="inlineStr">
        <is>
          <t>Manager de l'habitat social et durable</t>
        </is>
      </c>
      <c r="L4280" s="45" t="inlineStr">
        <is>
          <t>31/12/2030</t>
        </is>
      </c>
      <c r="M4280" s="45" t="inlineStr"/>
      <c r="N4280" s="50" t="inlineStr">
        <is>
          <t>NON</t>
        </is>
      </c>
      <c r="O4280" s="45" t="inlineStr"/>
    </row>
    <row r="4281" customFormat="1" s="3">
      <c r="A4281" s="45" t="n"/>
      <c r="B4281" s="46" t="inlineStr">
        <is>
          <t>42184</t>
        </is>
      </c>
      <c r="C4281" s="46">
        <f>LEFT(Tableau1[[#This Row],[Formacode]],3)</f>
        <v/>
      </c>
      <c r="D4281" s="47" t="n">
        <v>36073</v>
      </c>
      <c r="E4281" s="48">
        <f>"RNCP"&amp;D4281</f>
        <v/>
      </c>
      <c r="F4281" s="48" t="inlineStr">
        <is>
          <t>Responsable d’affaires immobilières</t>
        </is>
      </c>
      <c r="G4281" s="49">
        <f>E4281&amp;" - "&amp;F4281</f>
        <v/>
      </c>
      <c r="H4281" s="36" t="inlineStr">
        <is>
          <t>RAS</t>
        </is>
      </c>
      <c r="I4281" s="45" t="inlineStr"/>
      <c r="J4281" s="45" t="inlineStr">
        <is>
          <t>RNCP36073</t>
        </is>
      </c>
      <c r="K4281" s="45" t="inlineStr">
        <is>
          <t>Responsable d’affaires immobilières</t>
        </is>
      </c>
      <c r="L4281" s="45" t="inlineStr">
        <is>
          <t>31/12/2030</t>
        </is>
      </c>
      <c r="M4281" s="45" t="inlineStr"/>
      <c r="N4281" s="50" t="inlineStr">
        <is>
          <t>NON</t>
        </is>
      </c>
      <c r="O4281" s="45" t="inlineStr"/>
    </row>
    <row r="4282" customFormat="1" s="3">
      <c r="A4282" s="45" t="n"/>
      <c r="B4282" s="46" t="inlineStr">
        <is>
          <t>42184</t>
        </is>
      </c>
      <c r="C4282" s="46">
        <f>LEFT(Tableau1[[#This Row],[Formacode]],3)</f>
        <v/>
      </c>
      <c r="D4282" s="47" t="n">
        <v>37435</v>
      </c>
      <c r="E4282" s="48">
        <f>"RNCP"&amp;D4282</f>
        <v/>
      </c>
      <c r="F4282" s="48" t="inlineStr">
        <is>
          <t>Gestionnaire d'affaires immobilières</t>
        </is>
      </c>
      <c r="G4282" s="49">
        <f>E4282&amp;" - "&amp;F4282</f>
        <v/>
      </c>
      <c r="H4282" s="36" t="inlineStr">
        <is>
          <t>RAS</t>
        </is>
      </c>
      <c r="I4282" s="45" t="inlineStr"/>
      <c r="J4282" s="45" t="inlineStr">
        <is>
          <t>RNCP37435</t>
        </is>
      </c>
      <c r="K4282" s="45" t="inlineStr">
        <is>
          <t>Gestionnaire d'affaires immobilières</t>
        </is>
      </c>
      <c r="L4282" s="45" t="inlineStr">
        <is>
          <t>31/12/2030</t>
        </is>
      </c>
      <c r="M4282" s="45" t="inlineStr"/>
      <c r="N4282" s="50" t="inlineStr">
        <is>
          <t>NON</t>
        </is>
      </c>
      <c r="O4282" s="45" t="inlineStr"/>
    </row>
    <row r="4283" customFormat="1" s="3">
      <c r="A4283" s="45" t="n"/>
      <c r="B4283" s="46" t="inlineStr">
        <is>
          <t>42184</t>
        </is>
      </c>
      <c r="C4283" s="46">
        <f>LEFT(Tableau1[[#This Row],[Formacode]],3)</f>
        <v/>
      </c>
      <c r="D4283" s="47" t="n">
        <v>37641</v>
      </c>
      <c r="E4283" s="48">
        <f>"RNCP"&amp;D4283</f>
        <v/>
      </c>
      <c r="F4283" s="48" t="inlineStr">
        <is>
          <t>Chargé d'affaires en immobilier</t>
        </is>
      </c>
      <c r="G4283" s="49">
        <f>E4283&amp;" - "&amp;F4283</f>
        <v/>
      </c>
      <c r="H4283" s="36" t="inlineStr">
        <is>
          <t>RAS</t>
        </is>
      </c>
      <c r="I4283" s="45" t="inlineStr"/>
      <c r="J4283" s="45" t="inlineStr">
        <is>
          <t>RNCP37641</t>
        </is>
      </c>
      <c r="K4283" s="45" t="inlineStr">
        <is>
          <t>Chargé d'affaires en immobilier</t>
        </is>
      </c>
      <c r="L4283" s="45" t="inlineStr">
        <is>
          <t>31/12/2030</t>
        </is>
      </c>
      <c r="M4283" s="45" t="inlineStr"/>
      <c r="N4283" s="50" t="inlineStr">
        <is>
          <t>NON</t>
        </is>
      </c>
      <c r="O4283" s="45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31/12/2030</t>
        </is>
      </c>
      <c r="M4284" s="45" t="inlineStr"/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31/12/2030</t>
        </is>
      </c>
      <c r="M4285" s="45" t="inlineStr"/>
      <c r="N4285" s="50" t="inlineStr">
        <is>
          <t>NON</t>
        </is>
      </c>
      <c r="O4285" s="45" t="inlineStr"/>
    </row>
    <row r="4286" customFormat="1" s="3">
      <c r="A4286" s="45" t="n"/>
      <c r="B4286" s="46" t="inlineStr">
        <is>
          <t>42186</t>
        </is>
      </c>
      <c r="C4286" s="46">
        <f>LEFT(Tableau1[[#This Row],[Formacode]],3)</f>
        <v/>
      </c>
      <c r="D4286" s="47" t="n">
        <v>35590</v>
      </c>
      <c r="E4286" s="48">
        <f>"RNCP"&amp;D4286</f>
        <v/>
      </c>
      <c r="F4286" s="48" t="inlineStr">
        <is>
          <t>Manager de l'habitat social et durable</t>
        </is>
      </c>
      <c r="G4286" s="49">
        <f>E4286&amp;" - "&amp;F4286</f>
        <v/>
      </c>
      <c r="H4286" s="36" t="inlineStr">
        <is>
          <t>RAS</t>
        </is>
      </c>
      <c r="I4286" s="45" t="inlineStr"/>
      <c r="J4286" s="45" t="inlineStr">
        <is>
          <t>RNCP35590</t>
        </is>
      </c>
      <c r="K4286" s="45" t="inlineStr">
        <is>
          <t>Manager de l'habitat social et durable</t>
        </is>
      </c>
      <c r="L4286" s="45" t="inlineStr">
        <is>
          <t>31/12/2030</t>
        </is>
      </c>
      <c r="M4286" s="45" t="inlineStr"/>
      <c r="N4286" s="50" t="inlineStr">
        <is>
          <t>NON</t>
        </is>
      </c>
      <c r="O4286" s="45" t="inlineStr"/>
    </row>
    <row r="4287" customFormat="1" s="3">
      <c r="A4287" s="45" t="n"/>
      <c r="B4287" s="46" t="inlineStr">
        <is>
          <t>42186</t>
        </is>
      </c>
      <c r="C4287" s="46">
        <f>LEFT(Tableau1[[#This Row],[Formacode]],3)</f>
        <v/>
      </c>
      <c r="D4287" s="47" t="n">
        <v>37641</v>
      </c>
      <c r="E4287" s="48">
        <f>"RNCP"&amp;D4287</f>
        <v/>
      </c>
      <c r="F4287" s="48" t="inlineStr">
        <is>
          <t>Chargé d'affaires en immobilier</t>
        </is>
      </c>
      <c r="G4287" s="49">
        <f>E4287&amp;" - "&amp;F4287</f>
        <v/>
      </c>
      <c r="H4287" s="36" t="inlineStr">
        <is>
          <t>RAS</t>
        </is>
      </c>
      <c r="I4287" s="45" t="inlineStr"/>
      <c r="J4287" s="45" t="inlineStr">
        <is>
          <t>RNCP37641</t>
        </is>
      </c>
      <c r="K4287" s="45" t="inlineStr">
        <is>
          <t>Chargé d'affaires en immobilier</t>
        </is>
      </c>
      <c r="L4287" s="45" t="inlineStr">
        <is>
          <t>31/12/2030</t>
        </is>
      </c>
      <c r="M4287" s="45" t="inlineStr"/>
      <c r="N4287" s="50" t="inlineStr">
        <is>
          <t>NON</t>
        </is>
      </c>
      <c r="O4287" s="45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31/12/2030</t>
        </is>
      </c>
      <c r="M4288" s="45" t="inlineStr"/>
      <c r="N4288" s="50" t="inlineStr">
        <is>
          <t>NON</t>
        </is>
      </c>
      <c r="O4288" s="45" t="inlineStr"/>
    </row>
    <row r="4289" customFormat="1" s="3">
      <c r="A4289" s="45" t="n"/>
      <c r="B4289" s="46" t="inlineStr">
        <is>
          <t>42186</t>
        </is>
      </c>
      <c r="C4289" s="46">
        <f>LEFT(Tableau1[[#This Row],[Formacode]],3)</f>
        <v/>
      </c>
      <c r="D4289" s="47" t="n">
        <v>40981</v>
      </c>
      <c r="E4289" s="48">
        <f>"RNCP"&amp;D4289</f>
        <v/>
      </c>
      <c r="F4289" s="48" t="inlineStr">
        <is>
          <t>DIPLOVIS - Diplôme supérieur en immobilier</t>
        </is>
      </c>
      <c r="G4289" s="49">
        <f>E4289&amp;" - "&amp;F4289</f>
        <v/>
      </c>
      <c r="H4289" s="36" t="inlineStr">
        <is>
          <t>RAS</t>
        </is>
      </c>
      <c r="I4289" s="45" t="inlineStr"/>
      <c r="J4289" s="45" t="inlineStr">
        <is>
          <t>RNCP40981</t>
        </is>
      </c>
      <c r="K4289" s="45" t="inlineStr">
        <is>
          <t>DIPLOVIS - Diplôme supérieur en immobilier</t>
        </is>
      </c>
      <c r="L4289" s="45" t="inlineStr">
        <is>
          <t>31/12/2030</t>
        </is>
      </c>
      <c r="M4289" s="45" t="inlineStr"/>
      <c r="N4289" s="50" t="inlineStr">
        <is>
          <t>NON</t>
        </is>
      </c>
      <c r="O4289" s="45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31/12/2030</t>
        </is>
      </c>
      <c r="M4290" s="45" t="inlineStr"/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31/12/2030</t>
        </is>
      </c>
      <c r="M4291" s="45" t="inlineStr"/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Brevet de technicien supérieur - Tourisme</t>
        </is>
      </c>
      <c r="L4292" s="45" t="inlineStr">
        <is>
          <t>31/12/2030</t>
        </is>
      </c>
      <c r="M4292" s="45" t="inlineStr"/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Brevet de technicien supérieur - Tourisme</t>
        </is>
      </c>
      <c r="L4293" s="45" t="inlineStr">
        <is>
          <t>31/12/2030</t>
        </is>
      </c>
      <c r="M4293" s="45" t="inlineStr"/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Brevet de technicien supérieur - Tourisme</t>
        </is>
      </c>
      <c r="L4294" s="45" t="inlineStr">
        <is>
          <t>31/12/2030</t>
        </is>
      </c>
      <c r="M4294" s="45" t="inlineStr"/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Brevet de technicien supérieur - Tourisme</t>
        </is>
      </c>
      <c r="L4295" s="45" t="inlineStr">
        <is>
          <t>31/12/2030</t>
        </is>
      </c>
      <c r="M4295" s="45" t="inlineStr"/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Brevet de technicien supérieur - Tourisme</t>
        </is>
      </c>
      <c r="L4296" s="45" t="inlineStr">
        <is>
          <t>31/12/2030</t>
        </is>
      </c>
      <c r="M4296" s="45" t="inlineStr"/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Brevet de technicien supérieur - Tourisme</t>
        </is>
      </c>
      <c r="L4297" s="45" t="inlineStr">
        <is>
          <t>31/12/2030</t>
        </is>
      </c>
      <c r="M4297" s="45" t="inlineStr"/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Brevet de technicien supérieur - Tourisme</t>
        </is>
      </c>
      <c r="L4298" s="45" t="inlineStr">
        <is>
          <t>31/12/2030</t>
        </is>
      </c>
      <c r="M4298" s="45" t="inlineStr"/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Brevet de technicien supérieur - Tourisme</t>
        </is>
      </c>
      <c r="L4299" s="45" t="inlineStr">
        <is>
          <t>31/12/2030</t>
        </is>
      </c>
      <c r="M4299" s="45" t="inlineStr"/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TP - Guide accompagnateur touristique</t>
        </is>
      </c>
      <c r="L4300" s="45" t="inlineStr">
        <is>
          <t>31/12/2030</t>
        </is>
      </c>
      <c r="M4300" s="45" t="inlineStr"/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TP - Animateur loisir tourisme</t>
        </is>
      </c>
      <c r="L4301" s="45" t="inlineStr">
        <is>
          <t>31/12/2030</t>
        </is>
      </c>
      <c r="M4301" s="45" t="inlineStr"/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CS - Tourisme vert, accueil et animation en milieu rural</t>
        </is>
      </c>
      <c r="L4302" s="45" t="inlineStr">
        <is>
          <t>31/12/2030</t>
        </is>
      </c>
      <c r="M4302" s="45" t="inlineStr"/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Brevet de technicien supérieur - Tourisme</t>
        </is>
      </c>
      <c r="L4303" s="45" t="inlineStr">
        <is>
          <t>31/12/2030</t>
        </is>
      </c>
      <c r="M4303" s="45" t="inlineStr"/>
      <c r="N4303" s="50" t="inlineStr">
        <is>
          <t>NON</t>
        </is>
      </c>
      <c r="O4303" s="45" t="inlineStr"/>
    </row>
    <row r="4304" customFormat="1" s="3">
      <c r="A4304" s="45" t="n"/>
      <c r="B4304" s="46" t="inlineStr">
        <is>
          <t>42627</t>
        </is>
      </c>
      <c r="C4304" s="46">
        <f>LEFT(Tableau1[[#This Row],[Formacode]],3)</f>
        <v/>
      </c>
      <c r="D4304" s="47" t="n">
        <v>35527</v>
      </c>
      <c r="E4304" s="48">
        <f>"RNCP"&amp;D4304</f>
        <v/>
      </c>
      <c r="F4304" s="48" t="inlineStr">
        <is>
          <t>TP - Responsable d'établissement touristique</t>
        </is>
      </c>
      <c r="G4304" s="49">
        <f>E4304&amp;" - "&amp;F4304</f>
        <v/>
      </c>
      <c r="H4304" s="36" t="inlineStr">
        <is>
          <t>RAS</t>
        </is>
      </c>
      <c r="I4304" s="45" t="inlineStr"/>
      <c r="J4304" s="45" t="inlineStr">
        <is>
          <t>RNCP35527</t>
        </is>
      </c>
      <c r="K4304" s="45" t="inlineStr">
        <is>
          <t>TP - Responsable d'établissement touristique</t>
        </is>
      </c>
      <c r="L4304" s="45" t="inlineStr">
        <is>
          <t>31/12/2030</t>
        </is>
      </c>
      <c r="M4304" s="45" t="inlineStr"/>
      <c r="N4304" s="50" t="inlineStr">
        <is>
          <t>NON</t>
        </is>
      </c>
      <c r="O4304" s="45" t="inlineStr"/>
    </row>
    <row r="4305" customFormat="1" s="3">
      <c r="A4305" s="45" t="n"/>
      <c r="B4305" s="46" t="inlineStr">
        <is>
          <t>42627</t>
        </is>
      </c>
      <c r="C4305" s="46">
        <f>LEFT(Tableau1[[#This Row],[Formacode]],3)</f>
        <v/>
      </c>
      <c r="D4305" s="47" t="n">
        <v>37433</v>
      </c>
      <c r="E4305" s="48">
        <f>"RNCP"&amp;D4305</f>
        <v/>
      </c>
      <c r="F4305" s="48" t="inlineStr">
        <is>
          <t>Manager dans le secteur hôtelier international</t>
        </is>
      </c>
      <c r="G4305" s="49">
        <f>E4305&amp;" - "&amp;F4305</f>
        <v/>
      </c>
      <c r="H4305" s="36" t="inlineStr">
        <is>
          <t>RAS</t>
        </is>
      </c>
      <c r="I4305" s="45" t="inlineStr"/>
      <c r="J4305" s="45" t="inlineStr">
        <is>
          <t>RNCP37433</t>
        </is>
      </c>
      <c r="K4305" s="45" t="inlineStr">
        <is>
          <t>Manager dans le secteur hôtelier international</t>
        </is>
      </c>
      <c r="L4305" s="45" t="inlineStr">
        <is>
          <t>31/12/2030</t>
        </is>
      </c>
      <c r="M4305" s="45" t="inlineStr"/>
      <c r="N4305" s="50" t="inlineStr">
        <is>
          <t>NON</t>
        </is>
      </c>
      <c r="O4305" s="45" t="inlineStr"/>
    </row>
    <row r="4306" customFormat="1" s="3">
      <c r="A4306" s="45" t="n"/>
      <c r="B4306" s="46" t="inlineStr">
        <is>
          <t>42627</t>
        </is>
      </c>
      <c r="C4306" s="46">
        <f>LEFT(Tableau1[[#This Row],[Formacode]],3)</f>
        <v/>
      </c>
      <c r="D4306" s="47" t="n">
        <v>37719</v>
      </c>
      <c r="E4306" s="48">
        <f>"RNCP"&amp;D4306</f>
        <v/>
      </c>
      <c r="F4306" s="48" t="inlineStr">
        <is>
          <t>DIPLOVIS - Diplôme en management international de l'hôtellerie et de la restauration</t>
        </is>
      </c>
      <c r="G4306" s="49">
        <f>E4306&amp;" - "&amp;F4306</f>
        <v/>
      </c>
      <c r="H4306" s="36" t="inlineStr">
        <is>
          <t>RAS</t>
        </is>
      </c>
      <c r="I4306" s="45" t="inlineStr"/>
      <c r="J4306" s="45" t="inlineStr">
        <is>
          <t>RNCP37719</t>
        </is>
      </c>
      <c r="K4306" s="45" t="inlineStr">
        <is>
          <t>DIPLOVIS - Diplôme en management international de l'hôtellerie et de la restauration</t>
        </is>
      </c>
      <c r="L4306" s="45" t="inlineStr">
        <is>
          <t>31/12/2030</t>
        </is>
      </c>
      <c r="M4306" s="45" t="inlineStr"/>
      <c r="N4306" s="50" t="inlineStr">
        <is>
          <t>NON</t>
        </is>
      </c>
      <c r="O4306" s="45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Brevet de technicien supérieur - Tourisme</t>
        </is>
      </c>
      <c r="L4307" s="45" t="inlineStr">
        <is>
          <t>31/12/2030</t>
        </is>
      </c>
      <c r="M4307" s="45" t="inlineStr"/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31/12/2030</t>
        </is>
      </c>
      <c r="M4308" s="45" t="inlineStr"/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31/12/2030</t>
        </is>
      </c>
      <c r="M4309" s="45" t="inlineStr"/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Brevet de technicien supérieur - Tourisme</t>
        </is>
      </c>
      <c r="L4310" s="45" t="inlineStr">
        <is>
          <t>31/12/2030</t>
        </is>
      </c>
      <c r="M4310" s="45" t="inlineStr"/>
      <c r="N4310" s="50" t="inlineStr">
        <is>
          <t>NON</t>
        </is>
      </c>
      <c r="O4310" s="45" t="inlineStr"/>
    </row>
    <row r="4311" customFormat="1" s="3">
      <c r="A4311" s="45" t="n"/>
      <c r="B4311" s="46" t="inlineStr">
        <is>
          <t>42638</t>
        </is>
      </c>
      <c r="C4311" s="46">
        <f>LEFT(Tableau1[[#This Row],[Formacode]],3)</f>
        <v/>
      </c>
      <c r="D4311" s="47" t="n">
        <v>35706</v>
      </c>
      <c r="E4311" s="48">
        <f>"RNCP"&amp;D4311</f>
        <v/>
      </c>
      <c r="F4311" s="48" t="inlineStr">
        <is>
          <t>TP - Responsable de développement touristique territorial</t>
        </is>
      </c>
      <c r="G4311" s="49">
        <f>E4311&amp;" - "&amp;F4311</f>
        <v/>
      </c>
      <c r="H4311" s="36" t="inlineStr">
        <is>
          <t>RAS</t>
        </is>
      </c>
      <c r="I4311" s="45" t="inlineStr"/>
      <c r="J4311" s="45" t="inlineStr">
        <is>
          <t>RNCP35706</t>
        </is>
      </c>
      <c r="K4311" s="45" t="inlineStr">
        <is>
          <t>TP - Responsable de développement touristique territorial</t>
        </is>
      </c>
      <c r="L4311" s="45" t="inlineStr">
        <is>
          <t>31/12/2030</t>
        </is>
      </c>
      <c r="M4311" s="45" t="inlineStr"/>
      <c r="N4311" s="50" t="inlineStr">
        <is>
          <t>NON</t>
        </is>
      </c>
      <c r="O4311" s="45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Brevet de technicien supérieur - Tourisme</t>
        </is>
      </c>
      <c r="L4312" s="45" t="inlineStr">
        <is>
          <t>31/12/2030</t>
        </is>
      </c>
      <c r="M4312" s="45" t="inlineStr"/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Brevet de technicien supérieur - Tourisme</t>
        </is>
      </c>
      <c r="L4313" s="45" t="inlineStr">
        <is>
          <t>31/12/2030</t>
        </is>
      </c>
      <c r="M4313" s="45" t="inlineStr"/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TP - Conseiller vendeur en voyages</t>
        </is>
      </c>
      <c r="L4314" s="45" t="inlineStr">
        <is>
          <t>31/12/2030</t>
        </is>
      </c>
      <c r="M4314" s="45" t="inlineStr"/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Brevet de technicien supérieur - Tourisme</t>
        </is>
      </c>
      <c r="L4315" s="45" t="inlineStr">
        <is>
          <t>31/12/2030</t>
        </is>
      </c>
      <c r="M4315" s="45" t="inlineStr"/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Brevet de technicien supérieur - Tourisme</t>
        </is>
      </c>
      <c r="L4316" s="45" t="inlineStr">
        <is>
          <t>31/12/2030</t>
        </is>
      </c>
      <c r="M4316" s="45" t="inlineStr"/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Brevet de technicien supérieur - Tourisme</t>
        </is>
      </c>
      <c r="L4317" s="45" t="inlineStr">
        <is>
          <t>31/12/2030</t>
        </is>
      </c>
      <c r="M4317" s="45" t="inlineStr"/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TP - Conseiller vendeur en voyages</t>
        </is>
      </c>
      <c r="L4318" s="45" t="inlineStr">
        <is>
          <t>31/12/2030</t>
        </is>
      </c>
      <c r="M4318" s="45" t="inlineStr"/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Brevet de technicien supérieur - Tourisme</t>
        </is>
      </c>
      <c r="L4319" s="45" t="inlineStr">
        <is>
          <t>31/12/2030</t>
        </is>
      </c>
      <c r="M4319" s="45" t="inlineStr"/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Brevet de technicien supérieur - Tourisme</t>
        </is>
      </c>
      <c r="L4320" s="45" t="inlineStr">
        <is>
          <t>31/12/2030</t>
        </is>
      </c>
      <c r="M4320" s="45" t="inlineStr"/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TP - Conseiller vendeur en voyages</t>
        </is>
      </c>
      <c r="L4321" s="45" t="inlineStr">
        <is>
          <t>31/12/2030</t>
        </is>
      </c>
      <c r="M4321" s="45" t="inlineStr"/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Brevet de technicien supérieur - Tourisme</t>
        </is>
      </c>
      <c r="L4322" s="45" t="inlineStr">
        <is>
          <t>31/12/2030</t>
        </is>
      </c>
      <c r="M4322" s="45" t="inlineStr"/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Brevet de technicien supérieur - Tourisme</t>
        </is>
      </c>
      <c r="L4323" s="45" t="inlineStr">
        <is>
          <t>31/12/2030</t>
        </is>
      </c>
      <c r="M4323" s="45" t="inlineStr"/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TP - Conseiller vendeur en voyages</t>
        </is>
      </c>
      <c r="L4324" s="45" t="inlineStr">
        <is>
          <t>31/12/2030</t>
        </is>
      </c>
      <c r="M4324" s="45" t="inlineStr"/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TP - Chargé d'accueil touristique et de loisirs</t>
        </is>
      </c>
      <c r="L4325" s="45" t="inlineStr">
        <is>
          <t>31/12/2030</t>
        </is>
      </c>
      <c r="M4325" s="45" t="inlineStr"/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Brevet de technicien supérieur - Tourisme</t>
        </is>
      </c>
      <c r="L4326" s="45" t="inlineStr">
        <is>
          <t>31/12/2030</t>
        </is>
      </c>
      <c r="M4326" s="45" t="inlineStr"/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Certificat de spécialisation - Accueil-  réception</t>
        </is>
      </c>
      <c r="L4327" s="45" t="inlineStr">
        <is>
          <t>31/12/2030</t>
        </is>
      </c>
      <c r="M4327" s="45" t="inlineStr"/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TP - Réceptionniste hôtellerie et hôtellerie de plein air</t>
        </is>
      </c>
      <c r="L4328" s="45" t="inlineStr">
        <is>
          <t>31/12/2030</t>
        </is>
      </c>
      <c r="M4328" s="45" t="inlineStr"/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Brevet de technicien supérieur - Tourisme</t>
        </is>
      </c>
      <c r="L4329" s="45" t="inlineStr">
        <is>
          <t>31/12/2030</t>
        </is>
      </c>
      <c r="M4329" s="45" t="inlineStr"/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Certificat de spécialisation - Traction équine et conduite d'attelages</t>
        </is>
      </c>
      <c r="L4330" s="45" t="inlineStr">
        <is>
          <t>31/12/2030</t>
        </is>
      </c>
      <c r="M4330" s="45" t="inlineStr"/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31/12/2030</t>
        </is>
      </c>
      <c r="M4331" s="45" t="inlineStr"/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Brevet de technicien supérieur - Tourisme</t>
        </is>
      </c>
      <c r="L4332" s="45" t="inlineStr">
        <is>
          <t>31/12/2030</t>
        </is>
      </c>
      <c r="M4332" s="45" t="inlineStr"/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Brevet de technicien supérieur - Tourisme</t>
        </is>
      </c>
      <c r="L4333" s="45" t="inlineStr">
        <is>
          <t>31/12/2030</t>
        </is>
      </c>
      <c r="M4333" s="45" t="inlineStr"/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CS - Tourisme vert, accueil et animation en milieu rural</t>
        </is>
      </c>
      <c r="L4334" s="45" t="inlineStr">
        <is>
          <t>31/12/2030</t>
        </is>
      </c>
      <c r="M4334" s="45" t="inlineStr"/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Brevet de technicien supérieur - Tourisme</t>
        </is>
      </c>
      <c r="L4335" s="45" t="inlineStr">
        <is>
          <t>31/12/2030</t>
        </is>
      </c>
      <c r="M4335" s="45" t="inlineStr"/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Brevet de technicien supérieur - Tourisme</t>
        </is>
      </c>
      <c r="L4336" s="45" t="inlineStr">
        <is>
          <t>31/12/2030</t>
        </is>
      </c>
      <c r="M4336" s="45" t="inlineStr"/>
      <c r="N4336" s="50" t="inlineStr">
        <is>
          <t>NON</t>
        </is>
      </c>
      <c r="O4336" s="45" t="inlineStr"/>
    </row>
    <row r="4337" customFormat="1" s="3">
      <c r="A4337" s="45" t="n"/>
      <c r="B4337" s="46" t="inlineStr">
        <is>
          <t>42702</t>
        </is>
      </c>
      <c r="C4337" s="46">
        <f>LEFT(Tableau1[[#This Row],[Formacode]],3)</f>
        <v/>
      </c>
      <c r="D4337" s="47" t="n">
        <v>37719</v>
      </c>
      <c r="E4337" s="48">
        <f>"RNCP"&amp;D4337</f>
        <v/>
      </c>
      <c r="F4337" s="48" t="inlineStr">
        <is>
          <t>DIPLOVIS - Diplôme en management international de l'hôtellerie et de la restauration</t>
        </is>
      </c>
      <c r="G4337" s="49">
        <f>E4337&amp;" - "&amp;F4337</f>
        <v/>
      </c>
      <c r="H4337" s="36" t="inlineStr">
        <is>
          <t>RAS</t>
        </is>
      </c>
      <c r="I4337" s="45" t="inlineStr"/>
      <c r="J4337" s="45" t="inlineStr">
        <is>
          <t>RNCP37719</t>
        </is>
      </c>
      <c r="K4337" s="45" t="inlineStr">
        <is>
          <t>DIPLOVIS - Diplôme en management international de l'hôtellerie et de la restauration</t>
        </is>
      </c>
      <c r="L4337" s="45" t="inlineStr">
        <is>
          <t>31/12/2030</t>
        </is>
      </c>
      <c r="M4337" s="45" t="inlineStr"/>
      <c r="N4337" s="50" t="inlineStr">
        <is>
          <t>NON</t>
        </is>
      </c>
      <c r="O4337" s="45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Certificat de spécialisation - Organisateur de réceptions</t>
        </is>
      </c>
      <c r="L4338" s="45" t="inlineStr">
        <is>
          <t>31/12/2030</t>
        </is>
      </c>
      <c r="M4338" s="45" t="inlineStr"/>
      <c r="N4338" s="50" t="inlineStr">
        <is>
          <t>NON</t>
        </is>
      </c>
      <c r="O4338" s="45" t="inlineStr"/>
    </row>
    <row r="4339" customFormat="1" s="3">
      <c r="A4339" s="45" t="n"/>
      <c r="B4339" s="46" t="inlineStr">
        <is>
          <t>42719</t>
        </is>
      </c>
      <c r="C4339" s="46">
        <f>LEFT(Tableau1[[#This Row],[Formacode]],3)</f>
        <v/>
      </c>
      <c r="D4339" s="47" t="n">
        <v>37719</v>
      </c>
      <c r="E4339" s="48">
        <f>"RNCP"&amp;D4339</f>
        <v/>
      </c>
      <c r="F4339" s="48" t="inlineStr">
        <is>
          <t>DIPLOVIS - Diplôme en management international de l'hôtellerie et de la restauration</t>
        </is>
      </c>
      <c r="G4339" s="49">
        <f>E4339&amp;" - "&amp;F4339</f>
        <v/>
      </c>
      <c r="H4339" s="36" t="inlineStr">
        <is>
          <t>RAS</t>
        </is>
      </c>
      <c r="I4339" s="45" t="inlineStr"/>
      <c r="J4339" s="45" t="inlineStr">
        <is>
          <t>RNCP37719</t>
        </is>
      </c>
      <c r="K4339" s="45" t="inlineStr">
        <is>
          <t>DIPLOVIS - Diplôme en management international de l'hôtellerie et de la restauration</t>
        </is>
      </c>
      <c r="L4339" s="45" t="inlineStr">
        <is>
          <t>31/12/2030</t>
        </is>
      </c>
      <c r="M4339" s="45" t="inlineStr"/>
      <c r="N4339" s="50" t="inlineStr">
        <is>
          <t>NON</t>
        </is>
      </c>
      <c r="O4339" s="45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Certificat de spécialisation - Organisateur de réceptions</t>
        </is>
      </c>
      <c r="L4340" s="45" t="inlineStr">
        <is>
          <t>31/12/2030</t>
        </is>
      </c>
      <c r="M4340" s="45" t="inlineStr"/>
      <c r="N4340" s="50" t="inlineStr">
        <is>
          <t>NON</t>
        </is>
      </c>
      <c r="O4340" s="45" t="inlineStr"/>
    </row>
    <row r="4341" customFormat="1" s="3">
      <c r="A4341" s="45" t="n"/>
      <c r="B4341" s="46" t="inlineStr">
        <is>
          <t>42723</t>
        </is>
      </c>
      <c r="C4341" s="46">
        <f>LEFT(Tableau1[[#This Row],[Formacode]],3)</f>
        <v/>
      </c>
      <c r="D4341" s="47" t="n">
        <v>37492</v>
      </c>
      <c r="E4341" s="48">
        <f>"RNCP"&amp;D4341</f>
        <v/>
      </c>
      <c r="F4341" s="48" t="inlineStr">
        <is>
          <t>Brevet professionnel - barman</t>
        </is>
      </c>
      <c r="G4341" s="49">
        <f>E4341&amp;" - "&amp;F4341</f>
        <v/>
      </c>
      <c r="H4341" s="36" t="inlineStr">
        <is>
          <t>RAS</t>
        </is>
      </c>
      <c r="I4341" s="45" t="inlineStr"/>
      <c r="J4341" s="45" t="inlineStr">
        <is>
          <t>RNCP37492</t>
        </is>
      </c>
      <c r="K4341" s="45" t="inlineStr">
        <is>
          <t>Brevet professionnel - barman</t>
        </is>
      </c>
      <c r="L4341" s="45" t="inlineStr">
        <is>
          <t>31/12/2030</t>
        </is>
      </c>
      <c r="M4341" s="45" t="inlineStr"/>
      <c r="N4341" s="50" t="inlineStr">
        <is>
          <t>NON</t>
        </is>
      </c>
      <c r="O4341" s="45" t="inlineStr"/>
    </row>
    <row r="4342" customFormat="1" s="3">
      <c r="A4342" s="45" t="n"/>
      <c r="B4342" s="46" t="inlineStr">
        <is>
          <t>42723</t>
        </is>
      </c>
      <c r="C4342" s="46">
        <f>LEFT(Tableau1[[#This Row],[Formacode]],3)</f>
        <v/>
      </c>
      <c r="D4342" s="47" t="n">
        <v>37719</v>
      </c>
      <c r="E4342" s="48">
        <f>"RNCP"&amp;D4342</f>
        <v/>
      </c>
      <c r="F4342" s="48" t="inlineStr">
        <is>
          <t>DIPLOVIS - Diplôme en management international de l'hôtellerie et de la restauration</t>
        </is>
      </c>
      <c r="G4342" s="49">
        <f>E4342&amp;" - "&amp;F4342</f>
        <v/>
      </c>
      <c r="H4342" s="36" t="inlineStr">
        <is>
          <t>RAS</t>
        </is>
      </c>
      <c r="I4342" s="45" t="inlineStr"/>
      <c r="J4342" s="45" t="inlineStr">
        <is>
          <t>RNCP37719</t>
        </is>
      </c>
      <c r="K4342" s="45" t="inlineStr">
        <is>
          <t>DIPLOVIS - Diplôme en management international de l'hôtellerie et de la restauration</t>
        </is>
      </c>
      <c r="L4342" s="45" t="inlineStr">
        <is>
          <t>31/12/2030</t>
        </is>
      </c>
      <c r="M4342" s="45" t="inlineStr"/>
      <c r="N4342" s="50" t="inlineStr">
        <is>
          <t>NON</t>
        </is>
      </c>
      <c r="O4342" s="45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Certificat de spécialisation - Organisateur de réceptions</t>
        </is>
      </c>
      <c r="L4343" s="45" t="inlineStr">
        <is>
          <t>31/12/2030</t>
        </is>
      </c>
      <c r="M4343" s="45" t="inlineStr"/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Certificat de spécialisation - Métiers du bar</t>
        </is>
      </c>
      <c r="L4344" s="45" t="inlineStr">
        <is>
          <t>31/12/2030</t>
        </is>
      </c>
      <c r="M4344" s="45" t="inlineStr"/>
      <c r="N4344" s="50" t="inlineStr">
        <is>
          <t>NON</t>
        </is>
      </c>
      <c r="O4344" s="45" t="inlineStr"/>
    </row>
    <row r="4345" ht="28.8" customFormat="1" customHeight="1" s="3">
      <c r="A4345" s="45" t="n"/>
      <c r="B4345" s="46" t="inlineStr">
        <is>
          <t>42725</t>
        </is>
      </c>
      <c r="C4345" s="46">
        <f>LEFT(Tableau1[[#This Row],[Formacode]],3)</f>
        <v/>
      </c>
      <c r="D4345" s="47" t="n">
        <v>35317</v>
      </c>
      <c r="E4345" s="48">
        <f>"RNCP"&amp;D4345</f>
        <v/>
      </c>
      <c r="F4345" s="48" t="inlineStr">
        <is>
          <t>Certificat d'aptitude professionnelle - Production et service en restaurations (rapide, collective, cafétéria)</t>
        </is>
      </c>
      <c r="G4345" s="49">
        <f>E4345&amp;" - "&amp;F4345</f>
        <v/>
      </c>
      <c r="H4345" s="36" t="inlineStr">
        <is>
          <t>RAS</t>
        </is>
      </c>
      <c r="I4345" s="45" t="inlineStr"/>
      <c r="J4345" s="45" t="inlineStr">
        <is>
          <t>RNCP35317</t>
        </is>
      </c>
      <c r="K4345" s="45" t="inlineStr">
        <is>
          <t>Certificat d'aptitude professionnelle - Production et service en restaurations (rapide, collective, cafétéria)</t>
        </is>
      </c>
      <c r="L4345" s="45" t="inlineStr">
        <is>
          <t>31/12/2030</t>
        </is>
      </c>
      <c r="M4345" s="45" t="inlineStr"/>
      <c r="N4345" s="50" t="inlineStr">
        <is>
          <t>NON</t>
        </is>
      </c>
      <c r="O4345" s="45" t="inlineStr"/>
    </row>
    <row r="4346" customFormat="1" s="3">
      <c r="A4346" s="45" t="n"/>
      <c r="B4346" s="46" t="inlineStr">
        <is>
          <t>42725</t>
        </is>
      </c>
      <c r="C4346" s="46">
        <f>LEFT(Tableau1[[#This Row],[Formacode]],3)</f>
        <v/>
      </c>
      <c r="D4346" s="47" t="n">
        <v>37719</v>
      </c>
      <c r="E4346" s="48">
        <f>"RNCP"&amp;D4346</f>
        <v/>
      </c>
      <c r="F4346" s="48" t="inlineStr">
        <is>
          <t>DIPLOVIS - Diplôme en management international de l'hôtellerie et de la restauration</t>
        </is>
      </c>
      <c r="G4346" s="49">
        <f>E4346&amp;" - "&amp;F4346</f>
        <v/>
      </c>
      <c r="H4346" s="36" t="inlineStr">
        <is>
          <t>RAS</t>
        </is>
      </c>
      <c r="I4346" s="45" t="inlineStr"/>
      <c r="J4346" s="45" t="inlineStr">
        <is>
          <t>RNCP37719</t>
        </is>
      </c>
      <c r="K4346" s="45" t="inlineStr">
        <is>
          <t>DIPLOVIS - Diplôme en management international de l'hôtellerie et de la restauration</t>
        </is>
      </c>
      <c r="L4346" s="45" t="inlineStr">
        <is>
          <t>31/12/2030</t>
        </is>
      </c>
      <c r="M4346" s="45" t="inlineStr"/>
      <c r="N4346" s="50" t="inlineStr">
        <is>
          <t>NON</t>
        </is>
      </c>
      <c r="O4346" s="45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Certificat de spécialisation - Organisateur de réceptions</t>
        </is>
      </c>
      <c r="L4347" s="45" t="inlineStr">
        <is>
          <t>31/12/2030</t>
        </is>
      </c>
      <c r="M4347" s="45" t="inlineStr"/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TP - Employé polyvalent en restauration</t>
        </is>
      </c>
      <c r="L4348" s="45" t="inlineStr">
        <is>
          <t>31/12/2030</t>
        </is>
      </c>
      <c r="M4348" s="45" t="inlineStr"/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31/12/2030</t>
        </is>
      </c>
      <c r="M4349" s="45" t="inlineStr"/>
      <c r="N4349" s="50" t="inlineStr">
        <is>
          <t>NON</t>
        </is>
      </c>
      <c r="O4349" s="45" t="inlineStr"/>
    </row>
    <row r="4350" ht="28.8" customFormat="1" customHeight="1" s="3">
      <c r="A4350" s="45" t="n"/>
      <c r="B4350" s="46" t="inlineStr">
        <is>
          <t>42729</t>
        </is>
      </c>
      <c r="C4350" s="46">
        <f>LEFT(Tableau1[[#This Row],[Formacode]],3)</f>
        <v/>
      </c>
      <c r="D4350" s="47" t="n">
        <v>35317</v>
      </c>
      <c r="E4350" s="48">
        <f>"RNCP"&amp;D4350</f>
        <v/>
      </c>
      <c r="F4350" s="48" t="inlineStr">
        <is>
          <t>Certificat d'aptitude professionnelle - Production et service en restaurations (rapide, collective, cafétéria)</t>
        </is>
      </c>
      <c r="G4350" s="49">
        <f>E4350&amp;" - "&amp;F4350</f>
        <v/>
      </c>
      <c r="H4350" s="36" t="inlineStr">
        <is>
          <t>RAS</t>
        </is>
      </c>
      <c r="I4350" s="45" t="inlineStr"/>
      <c r="J4350" s="45" t="inlineStr">
        <is>
          <t>RNCP35317</t>
        </is>
      </c>
      <c r="K4350" s="45" t="inlineStr">
        <is>
          <t>Certificat d'aptitude professionnelle - Production et service en restaurations (rapide, collective, cafétéria)</t>
        </is>
      </c>
      <c r="L4350" s="45" t="inlineStr">
        <is>
          <t>31/12/2030</t>
        </is>
      </c>
      <c r="M4350" s="45" t="inlineStr"/>
      <c r="N4350" s="50" t="inlineStr">
        <is>
          <t>NON</t>
        </is>
      </c>
      <c r="O4350" s="45" t="inlineStr"/>
    </row>
    <row r="4351" customFormat="1" s="3">
      <c r="A4351" s="45" t="n"/>
      <c r="B4351" s="46" t="inlineStr">
        <is>
          <t>42729</t>
        </is>
      </c>
      <c r="C4351" s="46">
        <f>LEFT(Tableau1[[#This Row],[Formacode]],3)</f>
        <v/>
      </c>
      <c r="D4351" s="47" t="n">
        <v>37719</v>
      </c>
      <c r="E4351" s="48">
        <f>"RNCP"&amp;D4351</f>
        <v/>
      </c>
      <c r="F4351" s="48" t="inlineStr">
        <is>
          <t>DIPLOVIS - Diplôme en management international de l'hôtellerie et de la restauration</t>
        </is>
      </c>
      <c r="G4351" s="49">
        <f>E4351&amp;" - "&amp;F4351</f>
        <v/>
      </c>
      <c r="H4351" s="36" t="inlineStr">
        <is>
          <t>RAS</t>
        </is>
      </c>
      <c r="I4351" s="45" t="inlineStr"/>
      <c r="J4351" s="45" t="inlineStr">
        <is>
          <t>RNCP37719</t>
        </is>
      </c>
      <c r="K4351" s="45" t="inlineStr">
        <is>
          <t>DIPLOVIS - Diplôme en management international de l'hôtellerie et de la restauration</t>
        </is>
      </c>
      <c r="L4351" s="45" t="inlineStr">
        <is>
          <t>31/12/2030</t>
        </is>
      </c>
      <c r="M4351" s="45" t="inlineStr"/>
      <c r="N4351" s="50" t="inlineStr">
        <is>
          <t>NON</t>
        </is>
      </c>
      <c r="O4351" s="45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Certificat de spécialisation - Organisateur de réceptions</t>
        </is>
      </c>
      <c r="L4352" s="45" t="inlineStr">
        <is>
          <t>31/12/2030</t>
        </is>
      </c>
      <c r="M4352" s="45" t="inlineStr"/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31/12/2030</t>
        </is>
      </c>
      <c r="M4353" s="45" t="inlineStr"/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31/12/2030</t>
        </is>
      </c>
      <c r="M4354" s="45" t="inlineStr"/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TP - Cuisinier en restauration collective</t>
        </is>
      </c>
      <c r="L4355" s="45" t="inlineStr">
        <is>
          <t>31/12/2030</t>
        </is>
      </c>
      <c r="M4355" s="45" t="inlineStr"/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31/12/2030</t>
        </is>
      </c>
      <c r="M4356" s="45" t="inlineStr"/>
      <c r="N4356" s="50" t="inlineStr">
        <is>
          <t>NON</t>
        </is>
      </c>
      <c r="O4356" s="45" t="inlineStr"/>
    </row>
    <row r="4357" customFormat="1" s="3">
      <c r="A4357" s="45" t="n"/>
      <c r="B4357" s="46" t="inlineStr">
        <is>
          <t>42729</t>
        </is>
      </c>
      <c r="C4357" s="46">
        <f>LEFT(Tableau1[[#This Row],[Formacode]],3)</f>
        <v/>
      </c>
      <c r="D4357" s="47" t="n">
        <v>41538</v>
      </c>
      <c r="E4357" s="48">
        <f>"RNCP"&amp;D4357</f>
        <v/>
      </c>
      <c r="F4357" s="48" t="inlineStr">
        <is>
          <t>TP - Responsable d'unité de restauration collective</t>
        </is>
      </c>
      <c r="G4357" s="49">
        <f>E4357&amp;" - "&amp;F4357</f>
        <v/>
      </c>
      <c r="H4357" s="36" t="inlineStr">
        <is>
          <t>RAS</t>
        </is>
      </c>
      <c r="I4357" s="45" t="inlineStr"/>
      <c r="J4357" s="45" t="inlineStr">
        <is>
          <t>RNCP41538</t>
        </is>
      </c>
      <c r="K4357" s="45" t="inlineStr">
        <is>
          <t>TP - Responsable d'unité de restauration collective</t>
        </is>
      </c>
      <c r="L4357" s="45" t="inlineStr">
        <is>
          <t>31/12/2030</t>
        </is>
      </c>
      <c r="M4357" s="45" t="inlineStr"/>
      <c r="N4357" s="50" t="inlineStr">
        <is>
          <t>NON</t>
        </is>
      </c>
      <c r="O4357" s="45" t="inlineStr"/>
    </row>
    <row r="4358" customFormat="1" s="3">
      <c r="A4358" s="45" t="n"/>
      <c r="B4358" s="46" t="inlineStr">
        <is>
          <t>42745</t>
        </is>
      </c>
      <c r="C4358" s="46">
        <f>LEFT(Tableau1[[#This Row],[Formacode]],3)</f>
        <v/>
      </c>
      <c r="D4358" s="47" t="n">
        <v>37719</v>
      </c>
      <c r="E4358" s="48">
        <f>"RNCP"&amp;D4358</f>
        <v/>
      </c>
      <c r="F4358" s="48" t="inlineStr">
        <is>
          <t>DIPLOVIS - Diplôme en management international de l'hôtellerie et de la restauration</t>
        </is>
      </c>
      <c r="G4358" s="49">
        <f>E4358&amp;" - "&amp;F4358</f>
        <v/>
      </c>
      <c r="H4358" s="36" t="inlineStr">
        <is>
          <t>RAS</t>
        </is>
      </c>
      <c r="I4358" s="45" t="inlineStr"/>
      <c r="J4358" s="45" t="inlineStr">
        <is>
          <t>RNCP37719</t>
        </is>
      </c>
      <c r="K4358" s="45" t="inlineStr">
        <is>
          <t>DIPLOVIS - Diplôme en management international de l'hôtellerie et de la restauration</t>
        </is>
      </c>
      <c r="L4358" s="45" t="inlineStr">
        <is>
          <t>31/12/2030</t>
        </is>
      </c>
      <c r="M4358" s="45" t="inlineStr"/>
      <c r="N4358" s="50" t="inlineStr">
        <is>
          <t>NON</t>
        </is>
      </c>
      <c r="O4358" s="45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Certificat de spécialisation - Organisateur de réceptions</t>
        </is>
      </c>
      <c r="L4359" s="45" t="inlineStr">
        <is>
          <t>31/12/2030</t>
        </is>
      </c>
      <c r="M4359" s="45" t="inlineStr"/>
      <c r="N4359" s="50" t="inlineStr">
        <is>
          <t>NON</t>
        </is>
      </c>
      <c r="O4359" s="45" t="inlineStr"/>
    </row>
    <row r="4360" ht="28.8" customFormat="1" customHeight="1" s="3">
      <c r="A4360" s="45" t="n"/>
      <c r="B4360" s="46" t="inlineStr">
        <is>
          <t>42746</t>
        </is>
      </c>
      <c r="C4360" s="46">
        <f>LEFT(Tableau1[[#This Row],[Formacode]],3)</f>
        <v/>
      </c>
      <c r="D4360" s="47" t="n">
        <v>35317</v>
      </c>
      <c r="E4360" s="48">
        <f>"RNCP"&amp;D4360</f>
        <v/>
      </c>
      <c r="F4360" s="48" t="inlineStr">
        <is>
          <t>Certificat d'aptitude professionnelle - Production et service en restaurations (rapide, collective, cafétéria)</t>
        </is>
      </c>
      <c r="G4360" s="49">
        <f>E4360&amp;" - "&amp;F4360</f>
        <v/>
      </c>
      <c r="H4360" s="36" t="inlineStr">
        <is>
          <t>RAS</t>
        </is>
      </c>
      <c r="I4360" s="45" t="inlineStr"/>
      <c r="J4360" s="45" t="inlineStr">
        <is>
          <t>RNCP35317</t>
        </is>
      </c>
      <c r="K4360" s="45" t="inlineStr">
        <is>
          <t>Certificat d'aptitude professionnelle - Production et service en restaurations (rapide, collective, cafétéria)</t>
        </is>
      </c>
      <c r="L4360" s="45" t="inlineStr">
        <is>
          <t>31/12/2030</t>
        </is>
      </c>
      <c r="M4360" s="45" t="inlineStr"/>
      <c r="N4360" s="50" t="inlineStr">
        <is>
          <t>NON</t>
        </is>
      </c>
      <c r="O4360" s="45" t="inlineStr"/>
    </row>
    <row r="4361" customFormat="1" s="3">
      <c r="A4361" s="45" t="n"/>
      <c r="B4361" s="46" t="inlineStr">
        <is>
          <t>42746</t>
        </is>
      </c>
      <c r="C4361" s="46">
        <f>LEFT(Tableau1[[#This Row],[Formacode]],3)</f>
        <v/>
      </c>
      <c r="D4361" s="47" t="n">
        <v>35863</v>
      </c>
      <c r="E4361" s="48">
        <f>"RNCP"&amp;D4361</f>
        <v/>
      </c>
      <c r="F4361" s="48" t="inlineStr">
        <is>
          <t>Sommelier-conseil, caviste</t>
        </is>
      </c>
      <c r="G4361" s="49">
        <f>E4361&amp;" - "&amp;F4361</f>
        <v/>
      </c>
      <c r="H4361" s="36" t="inlineStr">
        <is>
          <t>RAS</t>
        </is>
      </c>
      <c r="I4361" s="45" t="inlineStr"/>
      <c r="J4361" s="45" t="inlineStr">
        <is>
          <t>RNCP35863</t>
        </is>
      </c>
      <c r="K4361" s="45" t="inlineStr">
        <is>
          <t>Sommelier-conseil, caviste</t>
        </is>
      </c>
      <c r="L4361" s="45" t="inlineStr">
        <is>
          <t>31/12/2030</t>
        </is>
      </c>
      <c r="M4361" s="45" t="inlineStr"/>
      <c r="N4361" s="50" t="inlineStr">
        <is>
          <t>NON</t>
        </is>
      </c>
      <c r="O4361" s="45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Certificat de spécialisation - Sommellerie</t>
        </is>
      </c>
      <c r="L4362" s="45" t="inlineStr">
        <is>
          <t>31/12/2030</t>
        </is>
      </c>
      <c r="M4362" s="45" t="inlineStr"/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Brevet professionnel - Sommelier</t>
        </is>
      </c>
      <c r="L4363" s="45" t="inlineStr">
        <is>
          <t>31/12/2030</t>
        </is>
      </c>
      <c r="M4363" s="45" t="inlineStr"/>
      <c r="N4363" s="50" t="inlineStr">
        <is>
          <t>NON</t>
        </is>
      </c>
      <c r="O4363" s="45" t="inlineStr"/>
    </row>
    <row r="4364" customFormat="1" s="3">
      <c r="A4364" s="45" t="n"/>
      <c r="B4364" s="46" t="inlineStr">
        <is>
          <t>42746</t>
        </is>
      </c>
      <c r="C4364" s="46">
        <f>LEFT(Tableau1[[#This Row],[Formacode]],3)</f>
        <v/>
      </c>
      <c r="D4364" s="47" t="n">
        <v>37492</v>
      </c>
      <c r="E4364" s="48">
        <f>"RNCP"&amp;D4364</f>
        <v/>
      </c>
      <c r="F4364" s="48" t="inlineStr">
        <is>
          <t>Brevet professionnel - barman</t>
        </is>
      </c>
      <c r="G4364" s="49">
        <f>E4364&amp;" - "&amp;F4364</f>
        <v/>
      </c>
      <c r="H4364" s="36" t="inlineStr">
        <is>
          <t>RAS</t>
        </is>
      </c>
      <c r="I4364" s="45" t="inlineStr"/>
      <c r="J4364" s="45" t="inlineStr">
        <is>
          <t>RNCP37492</t>
        </is>
      </c>
      <c r="K4364" s="45" t="inlineStr">
        <is>
          <t>Brevet professionnel - barman</t>
        </is>
      </c>
      <c r="L4364" s="45" t="inlineStr">
        <is>
          <t>31/12/2030</t>
        </is>
      </c>
      <c r="M4364" s="45" t="inlineStr"/>
      <c r="N4364" s="50" t="inlineStr">
        <is>
          <t>NON</t>
        </is>
      </c>
      <c r="O4364" s="45" t="inlineStr"/>
    </row>
    <row r="4365" customFormat="1" s="3">
      <c r="A4365" s="45" t="n"/>
      <c r="B4365" s="46" t="inlineStr">
        <is>
          <t>42746</t>
        </is>
      </c>
      <c r="C4365" s="46">
        <f>LEFT(Tableau1[[#This Row],[Formacode]],3)</f>
        <v/>
      </c>
      <c r="D4365" s="47" t="n">
        <v>37719</v>
      </c>
      <c r="E4365" s="48">
        <f>"RNCP"&amp;D4365</f>
        <v/>
      </c>
      <c r="F4365" s="48" t="inlineStr">
        <is>
          <t>DIPLOVIS - Diplôme en management international de l'hôtellerie et de la restauration</t>
        </is>
      </c>
      <c r="G4365" s="49">
        <f>E4365&amp;" - "&amp;F4365</f>
        <v/>
      </c>
      <c r="H4365" s="36" t="inlineStr">
        <is>
          <t>RAS</t>
        </is>
      </c>
      <c r="I4365" s="45" t="inlineStr"/>
      <c r="J4365" s="45" t="inlineStr">
        <is>
          <t>RNCP37719</t>
        </is>
      </c>
      <c r="K4365" s="45" t="inlineStr">
        <is>
          <t>DIPLOVIS - Diplôme en management international de l'hôtellerie et de la restauration</t>
        </is>
      </c>
      <c r="L4365" s="45" t="inlineStr">
        <is>
          <t>31/12/2030</t>
        </is>
      </c>
      <c r="M4365" s="45" t="inlineStr"/>
      <c r="N4365" s="50" t="inlineStr">
        <is>
          <t>NON</t>
        </is>
      </c>
      <c r="O4365" s="45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Baccalauréat professionnel - Commercialisation et services en restauration</t>
        </is>
      </c>
      <c r="L4366" s="45" t="inlineStr">
        <is>
          <t>31/12/2030</t>
        </is>
      </c>
      <c r="M4366" s="45" t="inlineStr"/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Certificat de spécialisation - Organisateur de réceptions</t>
        </is>
      </c>
      <c r="L4367" s="45" t="inlineStr">
        <is>
          <t>31/12/2030</t>
        </is>
      </c>
      <c r="M4367" s="45" t="inlineStr"/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BAC PRO - Poissonnier - écailler - traiteur</t>
        </is>
      </c>
      <c r="L4368" s="45" t="inlineStr">
        <is>
          <t>31/12/2030</t>
        </is>
      </c>
      <c r="M4368" s="45" t="inlineStr"/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Certificat d'aptitude professionnelle - Commercialisation et services en hôtel-café-restaurant</t>
        </is>
      </c>
      <c r="L4369" s="45" t="inlineStr">
        <is>
          <t>31/12/2030</t>
        </is>
      </c>
      <c r="M4369" s="45" t="inlineStr"/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Brevet professionnel - Arts du service et commercialisation en restauration</t>
        </is>
      </c>
      <c r="L4370" s="45" t="inlineStr">
        <is>
          <t>31/12/2030</t>
        </is>
      </c>
      <c r="M4370" s="45" t="inlineStr"/>
      <c r="N4370" s="50" t="inlineStr">
        <is>
          <t>NON</t>
        </is>
      </c>
      <c r="O4370" s="45" t="inlineStr"/>
    </row>
    <row r="4371" customFormat="1" s="3">
      <c r="A4371" s="45" t="n"/>
      <c r="B4371" s="46" t="inlineStr">
        <is>
          <t>42746</t>
        </is>
      </c>
      <c r="C4371" s="46">
        <f>LEFT(Tableau1[[#This Row],[Formacode]],3)</f>
        <v/>
      </c>
      <c r="D4371" s="47" t="n">
        <v>39534</v>
      </c>
      <c r="E4371" s="48">
        <f>"RNCP"&amp;D4371</f>
        <v/>
      </c>
      <c r="F4371" s="48" t="inlineStr">
        <is>
          <t>TP - Serveur en restauration</t>
        </is>
      </c>
      <c r="G4371" s="49">
        <f>E4371&amp;" - "&amp;F4371</f>
        <v/>
      </c>
      <c r="H4371" s="36" t="inlineStr">
        <is>
          <t>RAS</t>
        </is>
      </c>
      <c r="I4371" s="45" t="inlineStr"/>
      <c r="J4371" s="45" t="inlineStr">
        <is>
          <t>RNCP39534</t>
        </is>
      </c>
      <c r="K4371" s="45" t="inlineStr">
        <is>
          <t>TP - Serveur en restauration</t>
        </is>
      </c>
      <c r="L4371" s="45" t="inlineStr">
        <is>
          <t>31/12/2030</t>
        </is>
      </c>
      <c r="M4371" s="45" t="inlineStr"/>
      <c r="N4371" s="50" t="inlineStr">
        <is>
          <t>NON</t>
        </is>
      </c>
      <c r="O4371" s="45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31/12/2030</t>
        </is>
      </c>
      <c r="M4372" s="45" t="inlineStr"/>
      <c r="N4372" s="50" t="inlineStr">
        <is>
          <t>NON</t>
        </is>
      </c>
      <c r="O4372" s="45" t="inlineStr"/>
    </row>
    <row r="4373" customFormat="1" s="3">
      <c r="A4373" s="45" t="n"/>
      <c r="B4373" s="46" t="inlineStr">
        <is>
          <t>42752</t>
        </is>
      </c>
      <c r="C4373" s="46">
        <f>LEFT(Tableau1[[#This Row],[Formacode]],3)</f>
        <v/>
      </c>
      <c r="D4373" s="47" t="n">
        <v>37719</v>
      </c>
      <c r="E4373" s="48">
        <f>"RNCP"&amp;D4373</f>
        <v/>
      </c>
      <c r="F4373" s="48" t="inlineStr">
        <is>
          <t>DIPLOVIS - Diplôme en management international de l'hôtellerie et de la restauration</t>
        </is>
      </c>
      <c r="G4373" s="49">
        <f>E4373&amp;" - "&amp;F4373</f>
        <v/>
      </c>
      <c r="H4373" s="36" t="inlineStr">
        <is>
          <t>RAS</t>
        </is>
      </c>
      <c r="I4373" s="45" t="inlineStr"/>
      <c r="J4373" s="45" t="inlineStr">
        <is>
          <t>RNCP37719</t>
        </is>
      </c>
      <c r="K4373" s="45" t="inlineStr">
        <is>
          <t>DIPLOVIS - Diplôme en management international de l'hôtellerie et de la restauration</t>
        </is>
      </c>
      <c r="L4373" s="45" t="inlineStr">
        <is>
          <t>31/12/2030</t>
        </is>
      </c>
      <c r="M4373" s="45" t="inlineStr"/>
      <c r="N4373" s="50" t="inlineStr">
        <is>
          <t>NON</t>
        </is>
      </c>
      <c r="O4373" s="45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BAC PRO - Cuisine</t>
        </is>
      </c>
      <c r="L4374" s="45" t="inlineStr">
        <is>
          <t>31/12/2030</t>
        </is>
      </c>
      <c r="M4374" s="45" t="inlineStr"/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Certificat de spécialisation - Organisateur de réceptions</t>
        </is>
      </c>
      <c r="L4375" s="45" t="inlineStr">
        <is>
          <t>31/12/2030</t>
        </is>
      </c>
      <c r="M4375" s="45" t="inlineStr"/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BAC PRO - Poissonnier - écailler - traiteur</t>
        </is>
      </c>
      <c r="L4376" s="45" t="inlineStr">
        <is>
          <t>31/12/2030</t>
        </is>
      </c>
      <c r="M4376" s="45" t="inlineStr"/>
      <c r="N4376" s="50" t="inlineStr">
        <is>
          <t>NON</t>
        </is>
      </c>
      <c r="O4376" s="45" t="inlineStr"/>
    </row>
    <row r="4377" customFormat="1" s="3">
      <c r="A4377" s="45" t="n"/>
      <c r="B4377" s="46" t="inlineStr">
        <is>
          <t>42752</t>
        </is>
      </c>
      <c r="C4377" s="46">
        <f>LEFT(Tableau1[[#This Row],[Formacode]],3)</f>
        <v/>
      </c>
      <c r="D4377" s="47" t="n">
        <v>37932</v>
      </c>
      <c r="E4377" s="48">
        <f>"RNCP"&amp;D4377</f>
        <v/>
      </c>
      <c r="F4377" s="48" t="inlineStr">
        <is>
          <t>DIPLOVIS - Diplôme en Management International des Arts Culinaires</t>
        </is>
      </c>
      <c r="G4377" s="49">
        <f>E4377&amp;" - "&amp;F4377</f>
        <v/>
      </c>
      <c r="H4377" s="36" t="inlineStr">
        <is>
          <t>RAS</t>
        </is>
      </c>
      <c r="I4377" s="45" t="inlineStr"/>
      <c r="J4377" s="45" t="inlineStr">
        <is>
          <t>RNCP37932</t>
        </is>
      </c>
      <c r="K4377" s="45" t="inlineStr">
        <is>
          <t>DIPLOVIS - Diplôme en Management International des Arts Culinaires</t>
        </is>
      </c>
      <c r="L4377" s="45" t="inlineStr">
        <is>
          <t>31/12/2030</t>
        </is>
      </c>
      <c r="M4377" s="45" t="inlineStr"/>
      <c r="N4377" s="50" t="inlineStr">
        <is>
          <t>NON</t>
        </is>
      </c>
      <c r="O4377" s="45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CAP - Cuisine</t>
        </is>
      </c>
      <c r="L4378" s="45" t="inlineStr">
        <is>
          <t>31/12/2030</t>
        </is>
      </c>
      <c r="M4378" s="45" t="inlineStr"/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Brevet professionnel - Arts de la cuisine</t>
        </is>
      </c>
      <c r="L4379" s="45" t="inlineStr">
        <is>
          <t>31/12/2030</t>
        </is>
      </c>
      <c r="M4379" s="45" t="inlineStr"/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CS - Restauration collective</t>
        </is>
      </c>
      <c r="L4380" s="45" t="inlineStr">
        <is>
          <t>31/12/2030</t>
        </is>
      </c>
      <c r="M4380" s="45" t="inlineStr"/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TP - Employé polyvalent en restauration</t>
        </is>
      </c>
      <c r="L4381" s="45" t="inlineStr">
        <is>
          <t>31/12/2030</t>
        </is>
      </c>
      <c r="M4381" s="45" t="inlineStr"/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TP - Commis de cuisine</t>
        </is>
      </c>
      <c r="L4382" s="45" t="inlineStr">
        <is>
          <t>31/12/2030</t>
        </is>
      </c>
      <c r="M4382" s="45" t="inlineStr"/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TP - Cuisinier en restauration collective</t>
        </is>
      </c>
      <c r="L4383" s="45" t="inlineStr">
        <is>
          <t>31/12/2030</t>
        </is>
      </c>
      <c r="M4383" s="45" t="inlineStr"/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TP - Chef de partie arts culinaires et pâtisserie</t>
        </is>
      </c>
      <c r="L4384" s="45" t="inlineStr">
        <is>
          <t>31/12/2030</t>
        </is>
      </c>
      <c r="M4384" s="45" t="inlineStr"/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Certificat de spécialisation - Desserts de restaurant</t>
        </is>
      </c>
      <c r="L4385" s="45" t="inlineStr">
        <is>
          <t>31/12/2030</t>
        </is>
      </c>
      <c r="M4385" s="45" t="inlineStr"/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31/12/2030</t>
        </is>
      </c>
      <c r="M4386" s="45" t="inlineStr"/>
      <c r="N4386" s="50" t="inlineStr">
        <is>
          <t>NON</t>
        </is>
      </c>
      <c r="O4386" s="45" t="inlineStr"/>
    </row>
    <row r="4387" customFormat="1" s="3">
      <c r="A4387" s="45" t="n"/>
      <c r="B4387" s="46" t="inlineStr">
        <is>
          <t>42756</t>
        </is>
      </c>
      <c r="C4387" s="46">
        <f>LEFT(Tableau1[[#This Row],[Formacode]],3)</f>
        <v/>
      </c>
      <c r="D4387" s="47" t="n">
        <v>37719</v>
      </c>
      <c r="E4387" s="48">
        <f>"RNCP"&amp;D4387</f>
        <v/>
      </c>
      <c r="F4387" s="48" t="inlineStr">
        <is>
          <t>DIPLOVIS - Diplôme en management international de l'hôtellerie et de la restauration</t>
        </is>
      </c>
      <c r="G4387" s="49">
        <f>E4387&amp;" - "&amp;F4387</f>
        <v/>
      </c>
      <c r="H4387" s="36" t="inlineStr">
        <is>
          <t>RAS</t>
        </is>
      </c>
      <c r="I4387" s="45" t="inlineStr"/>
      <c r="J4387" s="45" t="inlineStr">
        <is>
          <t>RNCP37719</t>
        </is>
      </c>
      <c r="K4387" s="45" t="inlineStr">
        <is>
          <t>DIPLOVIS - Diplôme en management international de l'hôtellerie et de la restauration</t>
        </is>
      </c>
      <c r="L4387" s="45" t="inlineStr">
        <is>
          <t>31/12/2030</t>
        </is>
      </c>
      <c r="M4387" s="45" t="inlineStr"/>
      <c r="N4387" s="50" t="inlineStr">
        <is>
          <t>NON</t>
        </is>
      </c>
      <c r="O4387" s="45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Certificat de spécialisation - Organisateur de réceptions</t>
        </is>
      </c>
      <c r="L4388" s="45" t="inlineStr">
        <is>
          <t>31/12/2030</t>
        </is>
      </c>
      <c r="M4388" s="45" t="inlineStr"/>
      <c r="N4388" s="50" t="inlineStr">
        <is>
          <t>NON</t>
        </is>
      </c>
      <c r="O4388" s="45" t="inlineStr"/>
    </row>
    <row r="4389" customFormat="1" s="3">
      <c r="A4389" s="45" t="n"/>
      <c r="B4389" s="46" t="inlineStr">
        <is>
          <t>42766</t>
        </is>
      </c>
      <c r="C4389" s="46">
        <f>LEFT(Tableau1[[#This Row],[Formacode]],3)</f>
        <v/>
      </c>
      <c r="D4389" s="47" t="n">
        <v>37433</v>
      </c>
      <c r="E4389" s="48">
        <f>"RNCP"&amp;D4389</f>
        <v/>
      </c>
      <c r="F4389" s="48" t="inlineStr">
        <is>
          <t>Manager dans le secteur hôtelier international</t>
        </is>
      </c>
      <c r="G4389" s="49">
        <f>E4389&amp;" - "&amp;F4389</f>
        <v/>
      </c>
      <c r="H4389" s="36" t="inlineStr">
        <is>
          <t>RAS</t>
        </is>
      </c>
      <c r="I4389" s="45" t="inlineStr"/>
      <c r="J4389" s="45" t="inlineStr">
        <is>
          <t>RNCP37433</t>
        </is>
      </c>
      <c r="K4389" s="45" t="inlineStr">
        <is>
          <t>Manager dans le secteur hôtelier international</t>
        </is>
      </c>
      <c r="L4389" s="45" t="inlineStr">
        <is>
          <t>31/12/2030</t>
        </is>
      </c>
      <c r="M4389" s="45" t="inlineStr"/>
      <c r="N4389" s="50" t="inlineStr">
        <is>
          <t>NON</t>
        </is>
      </c>
      <c r="O4389" s="45" t="inlineStr"/>
    </row>
    <row r="4390" customFormat="1" s="3">
      <c r="A4390" s="45" t="n"/>
      <c r="B4390" s="46" t="inlineStr">
        <is>
          <t>42766</t>
        </is>
      </c>
      <c r="C4390" s="46">
        <f>LEFT(Tableau1[[#This Row],[Formacode]],3)</f>
        <v/>
      </c>
      <c r="D4390" s="47" t="n">
        <v>37719</v>
      </c>
      <c r="E4390" s="48">
        <f>"RNCP"&amp;D4390</f>
        <v/>
      </c>
      <c r="F4390" s="48" t="inlineStr">
        <is>
          <t>DIPLOVIS - Diplôme en management international de l'hôtellerie et de la restauration</t>
        </is>
      </c>
      <c r="G4390" s="49">
        <f>E4390&amp;" - "&amp;F4390</f>
        <v/>
      </c>
      <c r="H4390" s="36" t="inlineStr">
        <is>
          <t>RAS</t>
        </is>
      </c>
      <c r="I4390" s="45" t="inlineStr"/>
      <c r="J4390" s="45" t="inlineStr">
        <is>
          <t>RNCP37719</t>
        </is>
      </c>
      <c r="K4390" s="45" t="inlineStr">
        <is>
          <t>DIPLOVIS - Diplôme en management international de l'hôtellerie et de la restauration</t>
        </is>
      </c>
      <c r="L4390" s="45" t="inlineStr">
        <is>
          <t>31/12/2030</t>
        </is>
      </c>
      <c r="M4390" s="45" t="inlineStr"/>
      <c r="N4390" s="50" t="inlineStr">
        <is>
          <t>NON</t>
        </is>
      </c>
      <c r="O4390" s="45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31/12/2030</t>
        </is>
      </c>
      <c r="M4391" s="45" t="inlineStr"/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Certificat de spécialisation - Organisateur de réceptions</t>
        </is>
      </c>
      <c r="L4392" s="45" t="inlineStr">
        <is>
          <t>31/12/2030</t>
        </is>
      </c>
      <c r="M4392" s="45" t="inlineStr"/>
      <c r="N4392" s="50" t="inlineStr">
        <is>
          <t>NON</t>
        </is>
      </c>
      <c r="O4392" s="45" t="inlineStr"/>
    </row>
    <row r="4393" customFormat="1" s="3">
      <c r="A4393" s="45" t="n"/>
      <c r="B4393" s="46" t="inlineStr">
        <is>
          <t>42766</t>
        </is>
      </c>
      <c r="C4393" s="46">
        <f>LEFT(Tableau1[[#This Row],[Formacode]],3)</f>
        <v/>
      </c>
      <c r="D4393" s="47" t="n">
        <v>37932</v>
      </c>
      <c r="E4393" s="48">
        <f>"RNCP"&amp;D4393</f>
        <v/>
      </c>
      <c r="F4393" s="48" t="inlineStr">
        <is>
          <t>DIPLOVIS - Diplôme en Management International des Arts Culinaires</t>
        </is>
      </c>
      <c r="G4393" s="49">
        <f>E4393&amp;" - "&amp;F4393</f>
        <v/>
      </c>
      <c r="H4393" s="36" t="inlineStr">
        <is>
          <t>RAS</t>
        </is>
      </c>
      <c r="I4393" s="45" t="inlineStr"/>
      <c r="J4393" s="45" t="inlineStr">
        <is>
          <t>RNCP37932</t>
        </is>
      </c>
      <c r="K4393" s="45" t="inlineStr">
        <is>
          <t>DIPLOVIS - Diplôme en Management International des Arts Culinaires</t>
        </is>
      </c>
      <c r="L4393" s="45" t="inlineStr">
        <is>
          <t>31/12/2030</t>
        </is>
      </c>
      <c r="M4393" s="45" t="inlineStr"/>
      <c r="N4393" s="50" t="inlineStr">
        <is>
          <t>NON</t>
        </is>
      </c>
      <c r="O4393" s="45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31/12/2030</t>
        </is>
      </c>
      <c r="M4394" s="45" t="inlineStr"/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31/12/2030</t>
        </is>
      </c>
      <c r="M4395" s="45" t="inlineStr"/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31/12/2030</t>
        </is>
      </c>
      <c r="M4396" s="45" t="inlineStr"/>
      <c r="N4396" s="50" t="inlineStr">
        <is>
          <t>NON</t>
        </is>
      </c>
      <c r="O4396" s="45" t="inlineStr"/>
    </row>
    <row r="4397" customFormat="1" s="3">
      <c r="A4397" s="45" t="n"/>
      <c r="B4397" s="46" t="inlineStr">
        <is>
          <t>42776</t>
        </is>
      </c>
      <c r="C4397" s="46">
        <f>LEFT(Tableau1[[#This Row],[Formacode]],3)</f>
        <v/>
      </c>
      <c r="D4397" s="47" t="n">
        <v>37719</v>
      </c>
      <c r="E4397" s="48">
        <f>"RNCP"&amp;D4397</f>
        <v/>
      </c>
      <c r="F4397" s="48" t="inlineStr">
        <is>
          <t>DIPLOVIS - Diplôme en management international de l'hôtellerie et de la restauration</t>
        </is>
      </c>
      <c r="G4397" s="49">
        <f>E4397&amp;" - "&amp;F4397</f>
        <v/>
      </c>
      <c r="H4397" s="36" t="inlineStr">
        <is>
          <t>RAS</t>
        </is>
      </c>
      <c r="I4397" s="45" t="inlineStr"/>
      <c r="J4397" s="45" t="inlineStr">
        <is>
          <t>RNCP37719</t>
        </is>
      </c>
      <c r="K4397" s="45" t="inlineStr">
        <is>
          <t>DIPLOVIS - Diplôme en management international de l'hôtellerie et de la restauration</t>
        </is>
      </c>
      <c r="L4397" s="45" t="inlineStr">
        <is>
          <t>31/12/2030</t>
        </is>
      </c>
      <c r="M4397" s="45" t="inlineStr"/>
      <c r="N4397" s="50" t="inlineStr">
        <is>
          <t>NON</t>
        </is>
      </c>
      <c r="O4397" s="45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Certificat de spécialisation - Accueil-  réception</t>
        </is>
      </c>
      <c r="L4398" s="45" t="inlineStr">
        <is>
          <t>31/12/2030</t>
        </is>
      </c>
      <c r="M4398" s="45" t="inlineStr"/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Certificat de spécialisation - Organisateur de réceptions</t>
        </is>
      </c>
      <c r="L4399" s="45" t="inlineStr">
        <is>
          <t>31/12/2030</t>
        </is>
      </c>
      <c r="M4399" s="45" t="inlineStr"/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Certificat d'aptitude professionnelle - Commercialisation et services en hôtel-café-restaurant</t>
        </is>
      </c>
      <c r="L4400" s="45" t="inlineStr">
        <is>
          <t>31/12/2030</t>
        </is>
      </c>
      <c r="M4400" s="45" t="inlineStr"/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TP - Employé d'étage hôtellerie et hôtellerie de plein air</t>
        </is>
      </c>
      <c r="L4401" s="45" t="inlineStr">
        <is>
          <t>31/12/2030</t>
        </is>
      </c>
      <c r="M4401" s="45" t="inlineStr"/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31/12/2030</t>
        </is>
      </c>
      <c r="M4402" s="45" t="inlineStr"/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TP - Réceptionniste hôtellerie et hôtellerie de plein air</t>
        </is>
      </c>
      <c r="L4403" s="45" t="inlineStr">
        <is>
          <t>31/12/2030</t>
        </is>
      </c>
      <c r="M4403" s="45" t="inlineStr"/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31/12/2030</t>
        </is>
      </c>
      <c r="M4404" s="45" t="inlineStr"/>
      <c r="N4404" s="50" t="inlineStr">
        <is>
          <t>NON</t>
        </is>
      </c>
      <c r="O4404" s="45" t="inlineStr"/>
    </row>
    <row r="4405" customFormat="1" s="3">
      <c r="A4405" s="45" t="n"/>
      <c r="B4405" s="46" t="inlineStr">
        <is>
          <t>42776</t>
        </is>
      </c>
      <c r="C4405" s="46">
        <f>LEFT(Tableau1[[#This Row],[Formacode]],3)</f>
        <v/>
      </c>
      <c r="D4405" s="47" t="n">
        <v>39533</v>
      </c>
      <c r="E4405" s="48">
        <f>"RNCP"&amp;D4405</f>
        <v/>
      </c>
      <c r="F4405" s="48" t="inlineStr">
        <is>
          <t>TP - Gouvernant en hôtellerie</t>
        </is>
      </c>
      <c r="G4405" s="49">
        <f>E4405&amp;" - "&amp;F4405</f>
        <v/>
      </c>
      <c r="H4405" s="36" t="inlineStr">
        <is>
          <t>RAS</t>
        </is>
      </c>
      <c r="I4405" s="45" t="inlineStr"/>
      <c r="J4405" s="45" t="inlineStr">
        <is>
          <t>RNCP39533</t>
        </is>
      </c>
      <c r="K4405" s="45" t="inlineStr">
        <is>
          <t>TP - Gouvernant en hôtellerie</t>
        </is>
      </c>
      <c r="L4405" s="45" t="inlineStr">
        <is>
          <t>31/12/2030</t>
        </is>
      </c>
      <c r="M4405" s="45" t="inlineStr"/>
      <c r="N4405" s="50" t="inlineStr">
        <is>
          <t>NON</t>
        </is>
      </c>
      <c r="O4405" s="45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31/12/2030</t>
        </is>
      </c>
      <c r="M4406" s="45" t="inlineStr"/>
      <c r="N4406" s="50" t="inlineStr">
        <is>
          <t>NON</t>
        </is>
      </c>
      <c r="O4406" s="45" t="inlineStr"/>
    </row>
    <row r="4407" customFormat="1" s="3">
      <c r="A4407" s="45" t="n"/>
      <c r="B4407" s="46" t="inlineStr">
        <is>
          <t>42785</t>
        </is>
      </c>
      <c r="C4407" s="46">
        <f>LEFT(Tableau1[[#This Row],[Formacode]],3)</f>
        <v/>
      </c>
      <c r="D4407" s="47" t="n">
        <v>37719</v>
      </c>
      <c r="E4407" s="48">
        <f>"RNCP"&amp;D4407</f>
        <v/>
      </c>
      <c r="F4407" s="48" t="inlineStr">
        <is>
          <t>DIPLOVIS - Diplôme en management international de l'hôtellerie et de la restauration</t>
        </is>
      </c>
      <c r="G4407" s="49">
        <f>E4407&amp;" - "&amp;F4407</f>
        <v/>
      </c>
      <c r="H4407" s="36" t="inlineStr">
        <is>
          <t>RAS</t>
        </is>
      </c>
      <c r="I4407" s="45" t="inlineStr"/>
      <c r="J4407" s="45" t="inlineStr">
        <is>
          <t>RNCP37719</t>
        </is>
      </c>
      <c r="K4407" s="45" t="inlineStr">
        <is>
          <t>DIPLOVIS - Diplôme en management international de l'hôtellerie et de la restauration</t>
        </is>
      </c>
      <c r="L4407" s="45" t="inlineStr">
        <is>
          <t>31/12/2030</t>
        </is>
      </c>
      <c r="M4407" s="45" t="inlineStr"/>
      <c r="N4407" s="50" t="inlineStr">
        <is>
          <t>NON</t>
        </is>
      </c>
      <c r="O4407" s="45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Certificat de spécialisation - Organisateur de réceptions</t>
        </is>
      </c>
      <c r="L4408" s="45" t="inlineStr">
        <is>
          <t>31/12/2030</t>
        </is>
      </c>
      <c r="M4408" s="45" t="inlineStr"/>
      <c r="N4408" s="50" t="inlineStr">
        <is>
          <t>NON</t>
        </is>
      </c>
      <c r="O4408" s="45" t="inlineStr"/>
    </row>
    <row r="4409" customFormat="1" s="3">
      <c r="A4409" s="45" t="n"/>
      <c r="B4409" s="46" t="inlineStr">
        <is>
          <t>42793</t>
        </is>
      </c>
      <c r="C4409" s="46">
        <f>LEFT(Tableau1[[#This Row],[Formacode]],3)</f>
        <v/>
      </c>
      <c r="D4409" s="47" t="n">
        <v>37719</v>
      </c>
      <c r="E4409" s="48">
        <f>"RNCP"&amp;D4409</f>
        <v/>
      </c>
      <c r="F4409" s="48" t="inlineStr">
        <is>
          <t>DIPLOVIS - Diplôme en management international de l'hôtellerie et de la restauration</t>
        </is>
      </c>
      <c r="G4409" s="49">
        <f>E4409&amp;" - "&amp;F4409</f>
        <v/>
      </c>
      <c r="H4409" s="36" t="inlineStr">
        <is>
          <t>RAS</t>
        </is>
      </c>
      <c r="I4409" s="45" t="inlineStr"/>
      <c r="J4409" s="45" t="inlineStr">
        <is>
          <t>RNCP37719</t>
        </is>
      </c>
      <c r="K4409" s="45" t="inlineStr">
        <is>
          <t>DIPLOVIS - Diplôme en management international de l'hôtellerie et de la restauration</t>
        </is>
      </c>
      <c r="L4409" s="45" t="inlineStr">
        <is>
          <t>31/12/2030</t>
        </is>
      </c>
      <c r="M4409" s="45" t="inlineStr"/>
      <c r="N4409" s="50" t="inlineStr">
        <is>
          <t>NON</t>
        </is>
      </c>
      <c r="O4409" s="45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Certificat de spécialisation - Organisateur de réceptions</t>
        </is>
      </c>
      <c r="L4410" s="45" t="inlineStr">
        <is>
          <t>31/12/2030</t>
        </is>
      </c>
      <c r="M4410" s="45" t="inlineStr"/>
      <c r="N4410" s="50" t="inlineStr">
        <is>
          <t>NON</t>
        </is>
      </c>
      <c r="O4410" s="45" t="inlineStr"/>
    </row>
    <row r="4411" customFormat="1" s="3">
      <c r="A4411" s="45" t="n"/>
      <c r="B4411" s="46" t="inlineStr">
        <is>
          <t>42802</t>
        </is>
      </c>
      <c r="C4411" s="46">
        <f>LEFT(Tableau1[[#This Row],[Formacode]],3)</f>
        <v/>
      </c>
      <c r="D4411" s="47" t="n">
        <v>35297</v>
      </c>
      <c r="E4411" s="48">
        <f>"RNCP"&amp;D4411</f>
        <v/>
      </c>
      <c r="F4411" s="48" t="inlineStr">
        <is>
          <t>TP - Opérateur en dépollution pyrotechnique</t>
        </is>
      </c>
      <c r="G4411" s="49">
        <f>E4411&amp;" - "&amp;F4411</f>
        <v/>
      </c>
      <c r="H4411" s="36" t="inlineStr">
        <is>
          <t>RAS</t>
        </is>
      </c>
      <c r="I4411" s="45" t="inlineStr"/>
      <c r="J4411" s="45" t="inlineStr">
        <is>
          <t>RNCP35297</t>
        </is>
      </c>
      <c r="K4411" s="45" t="inlineStr">
        <is>
          <t>TP - Opérateur en dépollution pyrotechnique</t>
        </is>
      </c>
      <c r="L4411" s="45" t="inlineStr">
        <is>
          <t>31/12/2030</t>
        </is>
      </c>
      <c r="M4411" s="45" t="inlineStr"/>
      <c r="N4411" s="50" t="inlineStr">
        <is>
          <t>NON</t>
        </is>
      </c>
      <c r="O4411" s="45" t="inlineStr"/>
    </row>
    <row r="4412" customFormat="1" s="3">
      <c r="A4412" s="45" t="n"/>
      <c r="B4412" s="46" t="inlineStr">
        <is>
          <t>42802</t>
        </is>
      </c>
      <c r="C4412" s="46">
        <f>LEFT(Tableau1[[#This Row],[Formacode]],3)</f>
        <v/>
      </c>
      <c r="D4412" s="47" t="n">
        <v>35298</v>
      </c>
      <c r="E4412" s="48">
        <f>"RNCP"&amp;D4412</f>
        <v/>
      </c>
      <c r="F4412" s="48" t="inlineStr">
        <is>
          <t>TP - Responsable de chantier de dépollution pyrotechnique</t>
        </is>
      </c>
      <c r="G4412" s="49">
        <f>E4412&amp;" - "&amp;F4412</f>
        <v/>
      </c>
      <c r="H4412" s="36" t="inlineStr">
        <is>
          <t>RAS</t>
        </is>
      </c>
      <c r="I4412" s="45" t="inlineStr"/>
      <c r="J4412" s="45" t="inlineStr">
        <is>
          <t>RNCP35298</t>
        </is>
      </c>
      <c r="K4412" s="45" t="inlineStr">
        <is>
          <t>TP - Responsable de chantier de dépollution pyrotechnique</t>
        </is>
      </c>
      <c r="L4412" s="45" t="inlineStr">
        <is>
          <t>31/12/2030</t>
        </is>
      </c>
      <c r="M4412" s="45" t="inlineStr"/>
      <c r="N4412" s="50" t="inlineStr">
        <is>
          <t>NON</t>
        </is>
      </c>
      <c r="O4412" s="45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BTS - Management opérationnel de la sécurité</t>
        </is>
      </c>
      <c r="L4413" s="45" t="inlineStr">
        <is>
          <t>31/12/2030</t>
        </is>
      </c>
      <c r="M4413" s="45" t="inlineStr"/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BAC PRO - Métiers de la sécurité</t>
        </is>
      </c>
      <c r="L4414" s="45" t="inlineStr">
        <is>
          <t>31/12/2030</t>
        </is>
      </c>
      <c r="M4414" s="45" t="inlineStr"/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31/12/2030</t>
        </is>
      </c>
      <c r="M4415" s="45" t="inlineStr"/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BTS - Management opérationnel de la sécurité</t>
        </is>
      </c>
      <c r="L4416" s="45" t="inlineStr">
        <is>
          <t>31/12/2030</t>
        </is>
      </c>
      <c r="M4416" s="45" t="inlineStr"/>
      <c r="N4416" s="50" t="inlineStr">
        <is>
          <t>NON</t>
        </is>
      </c>
      <c r="O4416" s="45" t="inlineStr"/>
    </row>
    <row r="4417" customFormat="1" s="3">
      <c r="A4417" s="45" t="n"/>
      <c r="B4417" s="46" t="inlineStr">
        <is>
          <t>42822</t>
        </is>
      </c>
      <c r="C4417" s="46">
        <f>LEFT(Tableau1[[#This Row],[Formacode]],3)</f>
        <v/>
      </c>
      <c r="D4417" s="47" t="n">
        <v>37879</v>
      </c>
      <c r="E4417" s="48">
        <f>"RNCP"&amp;D4417</f>
        <v/>
      </c>
      <c r="F4417" s="48" t="inlineStr">
        <is>
          <t>TP - Opérateur en vidéoprotection et en télésurveillance</t>
        </is>
      </c>
      <c r="G4417" s="49">
        <f>E4417&amp;" - "&amp;F4417</f>
        <v/>
      </c>
      <c r="H4417" s="36" t="inlineStr">
        <is>
          <t>RAS</t>
        </is>
      </c>
      <c r="I4417" s="45" t="inlineStr"/>
      <c r="J4417" s="45" t="inlineStr">
        <is>
          <t>RNCP37879</t>
        </is>
      </c>
      <c r="K4417" s="45" t="inlineStr">
        <is>
          <t>TP - Opérateur en vidéoprotection et en télésurveillance</t>
        </is>
      </c>
      <c r="L4417" s="45" t="inlineStr">
        <is>
          <t>31/12/2030</t>
        </is>
      </c>
      <c r="M4417" s="45" t="inlineStr"/>
      <c r="N4417" s="50" t="inlineStr">
        <is>
          <t>NON</t>
        </is>
      </c>
      <c r="O4417" s="45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CAP - Agent de sécurité</t>
        </is>
      </c>
      <c r="L4418" s="45" t="inlineStr">
        <is>
          <t>31/12/2030</t>
        </is>
      </c>
      <c r="M4418" s="45" t="inlineStr"/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BP - Agent technique de prévention et de sécurité</t>
        </is>
      </c>
      <c r="L4419" s="45" t="inlineStr">
        <is>
          <t>31/12/2030</t>
        </is>
      </c>
      <c r="M4419" s="45" t="inlineStr"/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TP - Opérateur en télésurveillance et services associés</t>
        </is>
      </c>
      <c r="L4420" s="45" t="inlineStr">
        <is>
          <t>31/12/2030</t>
        </is>
      </c>
      <c r="M4420" s="45" t="inlineStr"/>
      <c r="N4420" s="50" t="inlineStr">
        <is>
          <t>NON</t>
        </is>
      </c>
      <c r="O4420" s="45" t="inlineStr"/>
    </row>
    <row r="4421" customFormat="1" s="3">
      <c r="A4421" s="45" t="n"/>
      <c r="B4421" s="46" t="inlineStr">
        <is>
          <t>42822</t>
        </is>
      </c>
      <c r="C4421" s="46">
        <f>LEFT(Tableau1[[#This Row],[Formacode]],3)</f>
        <v/>
      </c>
      <c r="D4421" s="47" t="n">
        <v>40298</v>
      </c>
      <c r="E4421" s="48">
        <f>"RNCP"&amp;D4421</f>
        <v/>
      </c>
      <c r="F4421" s="48" t="inlineStr">
        <is>
          <t>TP - Agent de sûreté et de sécurité privée</t>
        </is>
      </c>
      <c r="G4421" s="49">
        <f>E4421&amp;" - "&amp;F4421</f>
        <v/>
      </c>
      <c r="H4421" s="36" t="inlineStr">
        <is>
          <t>RAS</t>
        </is>
      </c>
      <c r="I4421" s="45" t="inlineStr"/>
      <c r="J4421" s="45" t="inlineStr">
        <is>
          <t>RNCP40298</t>
        </is>
      </c>
      <c r="K4421" s="45" t="inlineStr">
        <is>
          <t>TP - Agent de sûreté et de sécurité privée</t>
        </is>
      </c>
      <c r="L4421" s="45" t="inlineStr">
        <is>
          <t>31/12/2030</t>
        </is>
      </c>
      <c r="M4421" s="45" t="inlineStr"/>
      <c r="N4421" s="50" t="inlineStr">
        <is>
          <t>NON</t>
        </is>
      </c>
      <c r="O4421" s="45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Certificat d'aptitude professionnelle - Gardien d'immeubles</t>
        </is>
      </c>
      <c r="L4422" s="45" t="inlineStr">
        <is>
          <t>31/12/2030</t>
        </is>
      </c>
      <c r="M4422" s="45" t="inlineStr"/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31/12/2030</t>
        </is>
      </c>
      <c r="M4423" s="45" t="inlineStr"/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BTS - Management opérationnel de la sécurité</t>
        </is>
      </c>
      <c r="L4424" s="45" t="inlineStr">
        <is>
          <t>31/12/2030</t>
        </is>
      </c>
      <c r="M4424" s="45" t="inlineStr"/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BTS - Management opérationnel de la sécurité</t>
        </is>
      </c>
      <c r="L4425" s="45" t="inlineStr">
        <is>
          <t>31/12/2030</t>
        </is>
      </c>
      <c r="M4425" s="45" t="inlineStr"/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BTS - Management opérationnel de la sécurité</t>
        </is>
      </c>
      <c r="L4426" s="45" t="inlineStr">
        <is>
          <t>31/12/2030</t>
        </is>
      </c>
      <c r="M4426" s="45" t="inlineStr"/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BTS - Management opérationnel de la sécurité</t>
        </is>
      </c>
      <c r="L4427" s="45" t="inlineStr">
        <is>
          <t>31/12/2030</t>
        </is>
      </c>
      <c r="M4427" s="45" t="inlineStr"/>
      <c r="N4427" s="50" t="inlineStr">
        <is>
          <t>NON</t>
        </is>
      </c>
      <c r="O4427" s="45" t="inlineStr"/>
    </row>
    <row r="4428" customFormat="1" s="3">
      <c r="A4428" s="45" t="n"/>
      <c r="B4428" s="46" t="inlineStr">
        <is>
          <t>42866</t>
        </is>
      </c>
      <c r="C4428" s="46">
        <f>LEFT(Tableau1[[#This Row],[Formacode]],3)</f>
        <v/>
      </c>
      <c r="D4428" s="47" t="n">
        <v>35862</v>
      </c>
      <c r="E4428" s="48">
        <f>"RNCP"&amp;D4428</f>
        <v/>
      </c>
      <c r="F4428" s="48" t="inlineStr">
        <is>
          <t>Responsable qualité, santé, sécurité, environnement</t>
        </is>
      </c>
      <c r="G4428" s="49">
        <f>E4428&amp;" - "&amp;F4428</f>
        <v/>
      </c>
      <c r="H4428" s="36" t="inlineStr">
        <is>
          <t>RAS</t>
        </is>
      </c>
      <c r="I4428" s="45" t="inlineStr"/>
      <c r="J4428" s="45" t="inlineStr">
        <is>
          <t>RNCP35862</t>
        </is>
      </c>
      <c r="K4428" s="45" t="inlineStr">
        <is>
          <t>Responsable qualité, santé, sécurité, environnement</t>
        </is>
      </c>
      <c r="L4428" s="45" t="inlineStr">
        <is>
          <t>31/12/2030</t>
        </is>
      </c>
      <c r="M4428" s="45" t="inlineStr"/>
      <c r="N4428" s="50" t="inlineStr">
        <is>
          <t>NON</t>
        </is>
      </c>
      <c r="O4428" s="45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31/12/2030</t>
        </is>
      </c>
      <c r="M4429" s="45" t="inlineStr"/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31/12/2030</t>
        </is>
      </c>
      <c r="M4430" s="45" t="inlineStr"/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31/12/2030</t>
        </is>
      </c>
      <c r="M4431" s="45" t="inlineStr"/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BTS - Management opérationnel de la sécurité</t>
        </is>
      </c>
      <c r="L4432" s="45" t="inlineStr">
        <is>
          <t>31/12/2030</t>
        </is>
      </c>
      <c r="M4432" s="45" t="inlineStr"/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31/12/2030</t>
        </is>
      </c>
      <c r="M4433" s="45" t="inlineStr"/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31/12/2030</t>
        </is>
      </c>
      <c r="M4434" s="45" t="inlineStr"/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BTS - Management opérationnel de la sécurité</t>
        </is>
      </c>
      <c r="L4435" s="45" t="inlineStr">
        <is>
          <t>31/12/2030</t>
        </is>
      </c>
      <c r="M4435" s="45" t="inlineStr"/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CAP - Agent vérificateur d'appareils extincteurs</t>
        </is>
      </c>
      <c r="L4436" s="45" t="inlineStr">
        <is>
          <t>31/12/2030</t>
        </is>
      </c>
      <c r="M4436" s="45" t="inlineStr"/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BAC PRO - Métiers de la sécurité</t>
        </is>
      </c>
      <c r="L4437" s="45" t="inlineStr">
        <is>
          <t>31/12/2030</t>
        </is>
      </c>
      <c r="M4437" s="45" t="inlineStr"/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BTS - Management opérationnel de la sécurité</t>
        </is>
      </c>
      <c r="L4438" s="45" t="inlineStr">
        <is>
          <t>31/12/2030</t>
        </is>
      </c>
      <c r="M4438" s="45" t="inlineStr"/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31/12/2030</t>
        </is>
      </c>
      <c r="M4439" s="45" t="inlineStr"/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31/12/2030</t>
        </is>
      </c>
      <c r="M4440" s="45" t="inlineStr"/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BTS - Management opérationnel de la sécurité</t>
        </is>
      </c>
      <c r="L4441" s="45" t="inlineStr">
        <is>
          <t>31/12/2030</t>
        </is>
      </c>
      <c r="M4441" s="45" t="inlineStr"/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31/12/2030</t>
        </is>
      </c>
      <c r="M4442" s="45" t="inlineStr"/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BTS - Management opérationnel de la sécurité</t>
        </is>
      </c>
      <c r="L4443" s="45" t="inlineStr">
        <is>
          <t>31/12/2030</t>
        </is>
      </c>
      <c r="M4443" s="45" t="inlineStr"/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31/12/2030</t>
        </is>
      </c>
      <c r="M4444" s="45" t="inlineStr"/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31/12/2030</t>
        </is>
      </c>
      <c r="M4445" s="45" t="inlineStr"/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Brevet de technicien supérieur - Diététique et nutrition</t>
        </is>
      </c>
      <c r="L4446" s="45" t="inlineStr">
        <is>
          <t>31/12/2030</t>
        </is>
      </c>
      <c r="M4446" s="45" t="inlineStr"/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BTS - Services et prestations des secteurs sanitaire et social</t>
        </is>
      </c>
      <c r="L4447" s="45" t="inlineStr">
        <is>
          <t>31/12/2030</t>
        </is>
      </c>
      <c r="M4447" s="45" t="inlineStr"/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31/12/2030</t>
        </is>
      </c>
      <c r="M4448" s="45" t="inlineStr"/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BTS - Services et prestations des secteurs sanitaire et social</t>
        </is>
      </c>
      <c r="L4449" s="45" t="inlineStr">
        <is>
          <t>31/12/2030</t>
        </is>
      </c>
      <c r="M4449" s="45" t="inlineStr"/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31/12/2030</t>
        </is>
      </c>
      <c r="M4450" s="45" t="inlineStr"/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BTS - Services et prestations des secteurs sanitaire et social</t>
        </is>
      </c>
      <c r="L4451" s="45" t="inlineStr">
        <is>
          <t>31/12/2030</t>
        </is>
      </c>
      <c r="M4451" s="45" t="inlineStr"/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31/12/2030</t>
        </is>
      </c>
      <c r="M4452" s="45" t="inlineStr"/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31/12/2030</t>
        </is>
      </c>
      <c r="M4453" s="45" t="inlineStr"/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BTS - Services et prestations des secteurs sanitaire et social</t>
        </is>
      </c>
      <c r="L4454" s="45" t="inlineStr">
        <is>
          <t>31/12/2030</t>
        </is>
      </c>
      <c r="M4454" s="45" t="inlineStr"/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31/12/2030</t>
        </is>
      </c>
      <c r="M4455" s="45" t="inlineStr"/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BTS - Services et prestations des secteurs sanitaire et social</t>
        </is>
      </c>
      <c r="L4456" s="45" t="inlineStr">
        <is>
          <t>31/12/2030</t>
        </is>
      </c>
      <c r="M4456" s="45" t="inlineStr"/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31/12/2030</t>
        </is>
      </c>
      <c r="M4457" s="45" t="inlineStr"/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BTS - Services et prestations des secteurs sanitaire et social</t>
        </is>
      </c>
      <c r="L4458" s="45" t="inlineStr">
        <is>
          <t>31/12/2030</t>
        </is>
      </c>
      <c r="M4458" s="45" t="inlineStr"/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31/12/2030</t>
        </is>
      </c>
      <c r="M4459" s="45" t="inlineStr"/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31/12/2030</t>
        </is>
      </c>
      <c r="M4460" s="45" t="inlineStr"/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BAC PRO - Hygiène, propreté, stérilisation</t>
        </is>
      </c>
      <c r="L4461" s="45" t="inlineStr">
        <is>
          <t>31/12/2030</t>
        </is>
      </c>
      <c r="M4461" s="45" t="inlineStr"/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Grade_Licence - Sciences et Ingénierie - Systèmes Numériques pour la Santé</t>
        </is>
      </c>
      <c r="L4462" s="45" t="inlineStr">
        <is>
          <t>31/12/2030</t>
        </is>
      </c>
      <c r="M4462" s="45" t="inlineStr"/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TP - Secrétaire assistant médico-administratif</t>
        </is>
      </c>
      <c r="L4463" s="45" t="inlineStr">
        <is>
          <t>31/12/2030</t>
        </is>
      </c>
      <c r="M4463" s="45" t="inlineStr"/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TP - Agent de service médico-social</t>
        </is>
      </c>
      <c r="L4464" s="45" t="inlineStr">
        <is>
          <t>31/12/2030</t>
        </is>
      </c>
      <c r="M4464" s="45" t="inlineStr"/>
      <c r="N4464" s="50" t="inlineStr">
        <is>
          <t>NON</t>
        </is>
      </c>
      <c r="O4464" s="45" t="inlineStr"/>
    </row>
    <row r="4465" ht="28.8" customFormat="1" customHeight="1" s="3">
      <c r="A4465" s="45" t="n"/>
      <c r="B4465" s="46" t="inlineStr">
        <is>
          <t>43435</t>
        </is>
      </c>
      <c r="C4465" s="46">
        <f>LEFT(Tableau1[[#This Row],[Formacode]],3)</f>
        <v/>
      </c>
      <c r="D4465" s="47" t="n">
        <v>35513</v>
      </c>
      <c r="E4465" s="48">
        <f>"RNCP"&amp;D4465</f>
        <v/>
      </c>
      <c r="F4465" s="48" t="inlineStr">
        <is>
          <t>BUT - Carrières Sociales : Coordination et Gestion des Établissements et Services Sanitaires et Sociaux</t>
        </is>
      </c>
      <c r="G4465" s="49">
        <f>E4465&amp;" - "&amp;F4465</f>
        <v/>
      </c>
      <c r="H4465" s="36" t="inlineStr">
        <is>
          <t>RAS</t>
        </is>
      </c>
      <c r="I4465" s="45" t="inlineStr"/>
      <c r="J4465" s="45" t="inlineStr">
        <is>
          <t>RNCP35513</t>
        </is>
      </c>
      <c r="K4465" s="45" t="inlineStr">
        <is>
          <t>BUT - Carrières Sociales : Coordination et Gestion des Établissements et Services Sanitaires et Sociaux</t>
        </is>
      </c>
      <c r="L4465" s="45" t="inlineStr">
        <is>
          <t>31/12/2030</t>
        </is>
      </c>
      <c r="M4465" s="45" t="inlineStr"/>
      <c r="N4465" s="50" t="inlineStr">
        <is>
          <t>NON</t>
        </is>
      </c>
      <c r="O4465" s="45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BTS - Services et prestations des secteurs sanitaire et social</t>
        </is>
      </c>
      <c r="L4466" s="45" t="inlineStr">
        <is>
          <t>31/12/2030</t>
        </is>
      </c>
      <c r="M4466" s="45" t="inlineStr"/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31/12/2030</t>
        </is>
      </c>
      <c r="M4467" s="45" t="inlineStr"/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BTS - Services et prestations des secteurs sanitaire et social</t>
        </is>
      </c>
      <c r="L4468" s="45" t="inlineStr">
        <is>
          <t>31/12/2030</t>
        </is>
      </c>
      <c r="M4468" s="45" t="inlineStr"/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31/12/2030</t>
        </is>
      </c>
      <c r="M4469" s="45" t="inlineStr"/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31/12/2030</t>
        </is>
      </c>
      <c r="M4470" s="45" t="inlineStr"/>
      <c r="N4470" s="50" t="inlineStr">
        <is>
          <t>NON</t>
        </is>
      </c>
      <c r="O4470" s="45" t="inlineStr"/>
    </row>
    <row r="4471" customFormat="1" s="3">
      <c r="A4471" s="45" t="n"/>
      <c r="B4471" s="46" t="inlineStr">
        <is>
          <t>43437</t>
        </is>
      </c>
      <c r="C4471" s="46">
        <f>LEFT(Tableau1[[#This Row],[Formacode]],3)</f>
        <v/>
      </c>
      <c r="D4471" s="47" t="n">
        <v>40692</v>
      </c>
      <c r="E4471" s="48">
        <f>"RNCP"&amp;D4471</f>
        <v/>
      </c>
      <c r="F4471" s="48" t="inlineStr">
        <is>
          <t>DE - Aide-Soignant (DEAS)</t>
        </is>
      </c>
      <c r="G4471" s="49">
        <f>E4471&amp;" - "&amp;F4471</f>
        <v/>
      </c>
      <c r="H4471" s="36" t="inlineStr">
        <is>
          <t>RAS</t>
        </is>
      </c>
      <c r="I4471" s="45" t="inlineStr"/>
      <c r="J4471" s="45" t="inlineStr">
        <is>
          <t>RNCP40692</t>
        </is>
      </c>
      <c r="K4471" s="45" t="inlineStr">
        <is>
          <t>DE - Aide-Soignant (DEAS)</t>
        </is>
      </c>
      <c r="L4471" s="45" t="inlineStr">
        <is>
          <t>31/12/2030</t>
        </is>
      </c>
      <c r="M4471" s="45" t="inlineStr"/>
      <c r="N4471" s="50" t="inlineStr">
        <is>
          <t>NON</t>
        </is>
      </c>
      <c r="O4471" s="45" t="inlineStr"/>
    </row>
    <row r="4472" customFormat="1" s="3">
      <c r="A4472" s="45" t="n"/>
      <c r="B4472" s="46" t="inlineStr">
        <is>
          <t>43437</t>
        </is>
      </c>
      <c r="C4472" s="46">
        <f>LEFT(Tableau1[[#This Row],[Formacode]],3)</f>
        <v/>
      </c>
      <c r="D4472" s="47" t="n">
        <v>40743</v>
      </c>
      <c r="E4472" s="48">
        <f>"RNCP"&amp;D4472</f>
        <v/>
      </c>
      <c r="F4472" s="48" t="inlineStr">
        <is>
          <t>DE - Auxiliaire de puériculture (DEAP)</t>
        </is>
      </c>
      <c r="G4472" s="49">
        <f>E4472&amp;" - "&amp;F4472</f>
        <v/>
      </c>
      <c r="H4472" s="36" t="inlineStr">
        <is>
          <t>RAS</t>
        </is>
      </c>
      <c r="I4472" s="45" t="inlineStr"/>
      <c r="J4472" s="45" t="inlineStr">
        <is>
          <t>RNCP40743</t>
        </is>
      </c>
      <c r="K4472" s="45" t="inlineStr">
        <is>
          <t>DE - Auxiliaire de puériculture (DEAP)</t>
        </is>
      </c>
      <c r="L4472" s="45" t="inlineStr">
        <is>
          <t>31/12/2030</t>
        </is>
      </c>
      <c r="M4472" s="45" t="inlineStr"/>
      <c r="N4472" s="50" t="inlineStr">
        <is>
          <t>NON</t>
        </is>
      </c>
      <c r="O4472" s="45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TP - Agent de service médico-social</t>
        </is>
      </c>
      <c r="L4473" s="45" t="inlineStr">
        <is>
          <t>31/12/2030</t>
        </is>
      </c>
      <c r="M4473" s="45" t="inlineStr"/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BTS - Services et prestations des secteurs sanitaire et social</t>
        </is>
      </c>
      <c r="L4474" s="45" t="inlineStr">
        <is>
          <t>31/12/2030</t>
        </is>
      </c>
      <c r="M4474" s="45" t="inlineStr"/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31/12/2030</t>
        </is>
      </c>
      <c r="M4475" s="45" t="inlineStr"/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Brevet de technicien supérieur - Diététique et nutrition</t>
        </is>
      </c>
      <c r="L4476" s="45" t="inlineStr">
        <is>
          <t>31/12/2030</t>
        </is>
      </c>
      <c r="M4476" s="45" t="inlineStr"/>
      <c r="N4476" s="50" t="inlineStr">
        <is>
          <t>NON</t>
        </is>
      </c>
      <c r="O4476" s="45" t="inlineStr"/>
    </row>
    <row r="4477" customFormat="1" s="3">
      <c r="A4477" s="45" t="n"/>
      <c r="B4477" s="46" t="inlineStr">
        <is>
          <t>43460</t>
        </is>
      </c>
      <c r="C4477" s="46">
        <f>LEFT(Tableau1[[#This Row],[Formacode]],3)</f>
        <v/>
      </c>
      <c r="D4477" s="47" t="n">
        <v>35303</v>
      </c>
      <c r="E4477" s="48">
        <f>"RNCP"&amp;D4477</f>
        <v/>
      </c>
      <c r="F4477" s="48" t="inlineStr">
        <is>
          <t>TP - Agent technique prothésiste orthésiste</t>
        </is>
      </c>
      <c r="G4477" s="49">
        <f>E4477&amp;" - "&amp;F4477</f>
        <v/>
      </c>
      <c r="H4477" s="36" t="inlineStr">
        <is>
          <t>RAS</t>
        </is>
      </c>
      <c r="I4477" s="45" t="inlineStr"/>
      <c r="J4477" s="45" t="inlineStr">
        <is>
          <t>RNCP35303</t>
        </is>
      </c>
      <c r="K4477" s="45" t="inlineStr">
        <is>
          <t>TP - Agent technique prothésiste orthésiste</t>
        </is>
      </c>
      <c r="L4477" s="45" t="inlineStr">
        <is>
          <t>31/12/2030</t>
        </is>
      </c>
      <c r="M4477" s="45" t="inlineStr"/>
      <c r="N4477" s="50" t="inlineStr">
        <is>
          <t>NON</t>
        </is>
      </c>
      <c r="O4477" s="45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BTS - Services et prestations des secteurs sanitaire et social</t>
        </is>
      </c>
      <c r="L4478" s="45" t="inlineStr">
        <is>
          <t>31/12/2030</t>
        </is>
      </c>
      <c r="M4478" s="45" t="inlineStr"/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Baccalauréat professionnel - Technicien en appareillage orthopédique</t>
        </is>
      </c>
      <c r="L4479" s="45" t="inlineStr">
        <is>
          <t>31/12/2030</t>
        </is>
      </c>
      <c r="M4479" s="45" t="inlineStr"/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31/12/2030</t>
        </is>
      </c>
      <c r="M4480" s="45" t="inlineStr"/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BTS - Services et prestations des secteurs sanitaire et social</t>
        </is>
      </c>
      <c r="L4481" s="45" t="inlineStr">
        <is>
          <t>31/12/2030</t>
        </is>
      </c>
      <c r="M4481" s="45" t="inlineStr"/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31/12/2030</t>
        </is>
      </c>
      <c r="M4482" s="45" t="inlineStr"/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BTS - Services et prestations des secteurs sanitaire et social</t>
        </is>
      </c>
      <c r="L4483" s="45" t="inlineStr">
        <is>
          <t>31/12/2030</t>
        </is>
      </c>
      <c r="M4483" s="45" t="inlineStr"/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31/12/2030</t>
        </is>
      </c>
      <c r="M4484" s="45" t="inlineStr"/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BTS - Services et prestations des secteurs sanitaire et social</t>
        </is>
      </c>
      <c r="L4485" s="45" t="inlineStr">
        <is>
          <t>31/12/2030</t>
        </is>
      </c>
      <c r="M4485" s="45" t="inlineStr"/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31/12/2030</t>
        </is>
      </c>
      <c r="M4486" s="45" t="inlineStr"/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Brevet de technicien supérieur - Biologie médicale</t>
        </is>
      </c>
      <c r="L4487" s="45" t="inlineStr">
        <is>
          <t>31/12/2030</t>
        </is>
      </c>
      <c r="M4487" s="45" t="inlineStr"/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BTS - Services et prestations des secteurs sanitaire et social</t>
        </is>
      </c>
      <c r="L4488" s="45" t="inlineStr">
        <is>
          <t>31/12/2030</t>
        </is>
      </c>
      <c r="M4488" s="45" t="inlineStr"/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TP - Technicien d'équipement d'aide à la personne</t>
        </is>
      </c>
      <c r="L4489" s="45" t="inlineStr">
        <is>
          <t>31/12/2030</t>
        </is>
      </c>
      <c r="M4489" s="45" t="inlineStr"/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31/12/2030</t>
        </is>
      </c>
      <c r="M4490" s="45" t="inlineStr"/>
      <c r="N4490" s="50" t="inlineStr">
        <is>
          <t>NON</t>
        </is>
      </c>
      <c r="O4490" s="45" t="inlineStr"/>
    </row>
    <row r="4491" customFormat="1" s="3">
      <c r="A4491" s="45" t="n"/>
      <c r="B4491" s="46" t="inlineStr">
        <is>
          <t>43484</t>
        </is>
      </c>
      <c r="C4491" s="46">
        <f>LEFT(Tableau1[[#This Row],[Formacode]],3)</f>
        <v/>
      </c>
      <c r="D4491" s="47" t="n">
        <v>35301</v>
      </c>
      <c r="E4491" s="48">
        <f>"RNCP"&amp;D4491</f>
        <v/>
      </c>
      <c r="F4491" s="48" t="inlineStr">
        <is>
          <t>TP - Auxiliaire en prothèse dentaire</t>
        </is>
      </c>
      <c r="G4491" s="49">
        <f>E4491&amp;" - "&amp;F4491</f>
        <v/>
      </c>
      <c r="H4491" s="36" t="inlineStr">
        <is>
          <t>RAS</t>
        </is>
      </c>
      <c r="I4491" s="45" t="inlineStr"/>
      <c r="J4491" s="45" t="inlineStr">
        <is>
          <t>RNCP35301</t>
        </is>
      </c>
      <c r="K4491" s="45" t="inlineStr">
        <is>
          <t>TP - Auxiliaire en prothèse dentaire</t>
        </is>
      </c>
      <c r="L4491" s="45" t="inlineStr">
        <is>
          <t>31/12/2030</t>
        </is>
      </c>
      <c r="M4491" s="45" t="inlineStr"/>
      <c r="N4491" s="50" t="inlineStr">
        <is>
          <t>NON</t>
        </is>
      </c>
      <c r="O4491" s="45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BTS - Services et prestations des secteurs sanitaire et social</t>
        </is>
      </c>
      <c r="L4492" s="45" t="inlineStr">
        <is>
          <t>31/12/2030</t>
        </is>
      </c>
      <c r="M4492" s="45" t="inlineStr"/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Brevet de technicien supérieur - Prothésiste dentaire</t>
        </is>
      </c>
      <c r="L4493" s="45" t="inlineStr">
        <is>
          <t>31/12/2030</t>
        </is>
      </c>
      <c r="M4493" s="45" t="inlineStr"/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Certificat d'aptitude professionnelle - Opérateur en appareillage orthopédique - Spécialité orthoprothèse</t>
        </is>
      </c>
      <c r="L4494" s="45" t="inlineStr">
        <is>
          <t>31/12/2030</t>
        </is>
      </c>
      <c r="M4494" s="45" t="inlineStr"/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31/12/2030</t>
        </is>
      </c>
      <c r="M4495" s="45" t="inlineStr"/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31/12/2030</t>
        </is>
      </c>
      <c r="M4496" s="45" t="inlineStr"/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BAC PRO - Technicien en prothèse dentaire</t>
        </is>
      </c>
      <c r="L4497" s="45" t="inlineStr">
        <is>
          <t>31/12/2030</t>
        </is>
      </c>
      <c r="M4497" s="45" t="inlineStr"/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BTS - Services et prestations des secteurs sanitaire et social</t>
        </is>
      </c>
      <c r="L4498" s="45" t="inlineStr">
        <is>
          <t>31/12/2030</t>
        </is>
      </c>
      <c r="M4498" s="45" t="inlineStr"/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31/12/2030</t>
        </is>
      </c>
      <c r="M4499" s="45" t="inlineStr"/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BTS - Services et prestations des secteurs sanitaire et social</t>
        </is>
      </c>
      <c r="L4500" s="45" t="inlineStr">
        <is>
          <t>31/12/2030</t>
        </is>
      </c>
      <c r="M4500" s="45" t="inlineStr"/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BTS - Opticien-lunetier</t>
        </is>
      </c>
      <c r="L4501" s="45" t="inlineStr">
        <is>
          <t>31/12/2030</t>
        </is>
      </c>
      <c r="M4501" s="45" t="inlineStr"/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Baccalauréat professionnel - Optique lunetterie</t>
        </is>
      </c>
      <c r="L4502" s="45" t="inlineStr">
        <is>
          <t>31/12/2030</t>
        </is>
      </c>
      <c r="M4502" s="45" t="inlineStr"/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TP - Technicien en montage et vente d'optique-lunetterie</t>
        </is>
      </c>
      <c r="L4503" s="45" t="inlineStr">
        <is>
          <t>31/12/2030</t>
        </is>
      </c>
      <c r="M4503" s="45" t="inlineStr"/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31/12/2030</t>
        </is>
      </c>
      <c r="M4504" s="45" t="inlineStr"/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BTS - Services et prestations des secteurs sanitaire et social</t>
        </is>
      </c>
      <c r="L4505" s="45" t="inlineStr">
        <is>
          <t>31/12/2030</t>
        </is>
      </c>
      <c r="M4505" s="45" t="inlineStr"/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31/12/2030</t>
        </is>
      </c>
      <c r="M4506" s="45" t="inlineStr"/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BTS - Services et prestations des secteurs sanitaire et social</t>
        </is>
      </c>
      <c r="L4507" s="45" t="inlineStr">
        <is>
          <t>31/12/2030</t>
        </is>
      </c>
      <c r="M4507" s="45" t="inlineStr"/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31/12/2030</t>
        </is>
      </c>
      <c r="M4508" s="45" t="inlineStr"/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BAC PRO - Services aux personnes et animation dans les territoires</t>
        </is>
      </c>
      <c r="L4509" s="45" t="inlineStr">
        <is>
          <t>31/12/2030</t>
        </is>
      </c>
      <c r="M4509" s="45" t="inlineStr"/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BAC PRO - Services aux personnes et animation dans les territoires</t>
        </is>
      </c>
      <c r="L4510" s="45" t="inlineStr">
        <is>
          <t>31/12/2030</t>
        </is>
      </c>
      <c r="M4510" s="45" t="inlineStr"/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31/12/2030</t>
        </is>
      </c>
      <c r="M4511" s="45" t="inlineStr"/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31/12/2030</t>
        </is>
      </c>
      <c r="M4512" s="45" t="inlineStr"/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BAC PRO - Services aux personnes et animation dans les territoires</t>
        </is>
      </c>
      <c r="L4513" s="45" t="inlineStr">
        <is>
          <t>31/12/2030</t>
        </is>
      </c>
      <c r="M4513" s="45" t="inlineStr"/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31/12/2030</t>
        </is>
      </c>
      <c r="M4514" s="45" t="inlineStr"/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BAC PRO - Services aux personnes et animation dans les territoires</t>
        </is>
      </c>
      <c r="L4515" s="45" t="inlineStr">
        <is>
          <t>31/12/2030</t>
        </is>
      </c>
      <c r="M4515" s="45" t="inlineStr"/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DE - Assistant familial</t>
        </is>
      </c>
      <c r="L4516" s="45" t="inlineStr">
        <is>
          <t>31/12/2030</t>
        </is>
      </c>
      <c r="M4516" s="45" t="inlineStr"/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BAC PRO - Services aux personnes et animation dans les territoires</t>
        </is>
      </c>
      <c r="L4517" s="45" t="inlineStr">
        <is>
          <t>31/12/2030</t>
        </is>
      </c>
      <c r="M4517" s="45" t="inlineStr"/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BTS - Services et prestations des secteurs sanitaire et social</t>
        </is>
      </c>
      <c r="L4518" s="45" t="inlineStr">
        <is>
          <t>31/12/2030</t>
        </is>
      </c>
      <c r="M4518" s="45" t="inlineStr"/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31/12/2030</t>
        </is>
      </c>
      <c r="M4519" s="45" t="inlineStr"/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BAC PRO - Services aux personnes et animation dans les territoires</t>
        </is>
      </c>
      <c r="L4520" s="45" t="inlineStr">
        <is>
          <t>31/12/2030</t>
        </is>
      </c>
      <c r="M4520" s="45" t="inlineStr"/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31/12/2030</t>
        </is>
      </c>
      <c r="M4521" s="45" t="inlineStr"/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BAC PRO - Services aux personnes et animation dans les territoires</t>
        </is>
      </c>
      <c r="L4522" s="45" t="inlineStr">
        <is>
          <t>31/12/2030</t>
        </is>
      </c>
      <c r="M4522" s="45" t="inlineStr"/>
      <c r="N4522" s="50" t="inlineStr">
        <is>
          <t>NON</t>
        </is>
      </c>
      <c r="O4522" s="45" t="inlineStr"/>
    </row>
    <row r="4523">
      <c r="A4523" s="45" t="n"/>
      <c r="B4523" s="46" t="inlineStr">
        <is>
          <t>44026</t>
        </is>
      </c>
      <c r="C4523" s="46">
        <f>LEFT(Tableau1[[#This Row],[Formacode]],3)</f>
        <v/>
      </c>
      <c r="D4523" s="47" t="n">
        <v>36004</v>
      </c>
      <c r="E4523" s="48">
        <f>"RNCP"&amp;D4523</f>
        <v/>
      </c>
      <c r="F4523" s="48" t="inlineStr">
        <is>
          <t>DE - Accompagnant éducatif et social</t>
        </is>
      </c>
      <c r="G4523" s="49">
        <f>E4523&amp;" - "&amp;F4523</f>
        <v/>
      </c>
      <c r="H4523" s="36" t="inlineStr">
        <is>
          <t>RAS</t>
        </is>
      </c>
      <c r="I4523" s="45" t="inlineStr"/>
      <c r="J4523" s="45" t="inlineStr">
        <is>
          <t>RNCP36004</t>
        </is>
      </c>
      <c r="K4523" s="45" t="inlineStr">
        <is>
          <t>DE - Accompagnant éducatif et social</t>
        </is>
      </c>
      <c r="L4523" s="45" t="inlineStr">
        <is>
          <t>31/12/2030</t>
        </is>
      </c>
      <c r="M4523" s="45" t="inlineStr"/>
      <c r="N4523" s="50" t="inlineStr">
        <is>
          <t>NON</t>
        </is>
      </c>
      <c r="O4523" s="45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BAC PRO - Services aux personnes et animation dans les territoires</t>
        </is>
      </c>
      <c r="L4524" s="45" t="inlineStr">
        <is>
          <t>31/12/2030</t>
        </is>
      </c>
      <c r="M4524" s="45" t="inlineStr"/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BAC PRO - Accompagnement, soins et services à la personne</t>
        </is>
      </c>
      <c r="L4525" s="45" t="inlineStr">
        <is>
          <t>31/12/2030</t>
        </is>
      </c>
      <c r="M4525" s="45" t="inlineStr"/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31/12/2030</t>
        </is>
      </c>
      <c r="M4526" s="45" t="inlineStr"/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CS - Aide à domicile</t>
        </is>
      </c>
      <c r="L4527" s="45" t="inlineStr">
        <is>
          <t>31/12/2030</t>
        </is>
      </c>
      <c r="M4527" s="45" t="inlineStr"/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Certificat d'aptitude professionnelle - Agent accompagnant au grand âge</t>
        </is>
      </c>
      <c r="L4528" s="45" t="inlineStr">
        <is>
          <t>31/12/2030</t>
        </is>
      </c>
      <c r="M4528" s="45" t="inlineStr"/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TP - Assistant de vie aux familles</t>
        </is>
      </c>
      <c r="L4529" s="45" t="inlineStr">
        <is>
          <t>31/12/2030</t>
        </is>
      </c>
      <c r="M4529" s="45" t="inlineStr"/>
      <c r="N4529" s="50" t="inlineStr">
        <is>
          <t>NON</t>
        </is>
      </c>
      <c r="O4529" s="45" t="inlineStr"/>
    </row>
    <row r="4530">
      <c r="A4530" s="45" t="n"/>
      <c r="B4530" s="46" t="inlineStr">
        <is>
          <t>44026</t>
        </is>
      </c>
      <c r="C4530" s="46">
        <f>LEFT(Tableau1[[#This Row],[Formacode]],3)</f>
        <v/>
      </c>
      <c r="D4530" s="47" t="n">
        <v>37780</v>
      </c>
      <c r="E4530" s="48">
        <f>"RNCP"&amp;D4530</f>
        <v/>
      </c>
      <c r="F4530" s="48" t="inlineStr">
        <is>
          <t>Assistant de vie dépendance</t>
        </is>
      </c>
      <c r="G4530" s="49">
        <f>E4530&amp;" - "&amp;F4530</f>
        <v/>
      </c>
      <c r="H4530" s="36" t="inlineStr">
        <is>
          <t>RAS</t>
        </is>
      </c>
      <c r="I4530" s="45" t="inlineStr"/>
      <c r="J4530" s="45" t="inlineStr">
        <is>
          <t>RNCP37780</t>
        </is>
      </c>
      <c r="K4530" s="45" t="inlineStr">
        <is>
          <t>Assistant de vie dépendance</t>
        </is>
      </c>
      <c r="L4530" s="45" t="inlineStr">
        <is>
          <t>31/12/2030</t>
        </is>
      </c>
      <c r="M4530" s="45" t="inlineStr"/>
      <c r="N4530" s="50" t="inlineStr">
        <is>
          <t>NON</t>
        </is>
      </c>
      <c r="O4530" s="45" t="inlineStr"/>
    </row>
    <row r="4531">
      <c r="A4531" s="45" t="n"/>
      <c r="B4531" s="46" t="inlineStr">
        <is>
          <t>44026</t>
        </is>
      </c>
      <c r="C4531" s="46">
        <f>LEFT(Tableau1[[#This Row],[Formacode]],3)</f>
        <v/>
      </c>
      <c r="D4531" s="47" t="n">
        <v>37792</v>
      </c>
      <c r="E4531" s="48">
        <f>"RNCP"&amp;D4531</f>
        <v/>
      </c>
      <c r="F4531" s="48" t="inlineStr">
        <is>
          <t>Employé familial</t>
        </is>
      </c>
      <c r="G4531" s="49">
        <f>E4531&amp;" - "&amp;F4531</f>
        <v/>
      </c>
      <c r="H4531" s="36" t="inlineStr">
        <is>
          <t>RAS</t>
        </is>
      </c>
      <c r="I4531" s="45" t="inlineStr"/>
      <c r="J4531" s="45" t="inlineStr">
        <is>
          <t>RNCP37792</t>
        </is>
      </c>
      <c r="K4531" s="45" t="inlineStr">
        <is>
          <t>Employé familial</t>
        </is>
      </c>
      <c r="L4531" s="45" t="inlineStr">
        <is>
          <t>31/12/2030</t>
        </is>
      </c>
      <c r="M4531" s="45" t="inlineStr"/>
      <c r="N4531" s="50" t="inlineStr">
        <is>
          <t>NON</t>
        </is>
      </c>
      <c r="O4531" s="45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31/12/2030</t>
        </is>
      </c>
      <c r="M4532" s="45" t="inlineStr"/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DE - Technicien de l'intervention sociale et familiale</t>
        </is>
      </c>
      <c r="L4533" s="45" t="inlineStr">
        <is>
          <t>31/12/2030</t>
        </is>
      </c>
      <c r="M4533" s="45" t="inlineStr"/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TP - Médiateur social accès aux droits et services</t>
        </is>
      </c>
      <c r="L4534" s="45" t="inlineStr">
        <is>
          <t>31/12/2030</t>
        </is>
      </c>
      <c r="M4534" s="45" t="inlineStr"/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BAC PRO - Services aux personnes et animation dans les territoires</t>
        </is>
      </c>
      <c r="L4535" s="45" t="inlineStr">
        <is>
          <t>31/12/2030</t>
        </is>
      </c>
      <c r="M4535" s="45" t="inlineStr"/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Certificat d'aptitude professionnelle - Agent de prévention et de médiation</t>
        </is>
      </c>
      <c r="L4536" s="45" t="inlineStr">
        <is>
          <t>31/12/2030</t>
        </is>
      </c>
      <c r="M4536" s="45" t="inlineStr"/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31/12/2030</t>
        </is>
      </c>
      <c r="M4537" s="45" t="inlineStr"/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31/12/2030</t>
        </is>
      </c>
      <c r="M4538" s="45" t="inlineStr"/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BAC PRO - Services aux personnes et animation dans les territoires</t>
        </is>
      </c>
      <c r="L4539" s="45" t="inlineStr">
        <is>
          <t>31/12/2030</t>
        </is>
      </c>
      <c r="M4539" s="45" t="inlineStr"/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BAC PRO - Services aux personnes et animation dans les territoires</t>
        </is>
      </c>
      <c r="L4540" s="45" t="inlineStr">
        <is>
          <t>31/12/2030</t>
        </is>
      </c>
      <c r="M4540" s="45" t="inlineStr"/>
      <c r="N4540" s="50" t="inlineStr">
        <is>
          <t>NON</t>
        </is>
      </c>
      <c r="O4540" s="45" t="inlineStr"/>
    </row>
    <row r="4541">
      <c r="A4541" s="45" t="n"/>
      <c r="B4541" s="46" t="inlineStr">
        <is>
          <t>44042</t>
        </is>
      </c>
      <c r="C4541" s="46">
        <f>LEFT(Tableau1[[#This Row],[Formacode]],3)</f>
        <v/>
      </c>
      <c r="D4541" s="47" t="n">
        <v>37679</v>
      </c>
      <c r="E4541" s="48">
        <f>"RNCP"&amp;D4541</f>
        <v/>
      </c>
      <c r="F4541" s="48" t="inlineStr">
        <is>
          <t>DE - Educateur de jeunes enfants</t>
        </is>
      </c>
      <c r="G4541" s="49">
        <f>E4541&amp;" - "&amp;F4541</f>
        <v/>
      </c>
      <c r="H4541" s="36" t="inlineStr">
        <is>
          <t>RAS</t>
        </is>
      </c>
      <c r="I4541" s="45" t="inlineStr"/>
      <c r="J4541" s="45" t="inlineStr">
        <is>
          <t>RNCP37679</t>
        </is>
      </c>
      <c r="K4541" s="45" t="inlineStr">
        <is>
          <t>DE - Educateur de jeunes enfants</t>
        </is>
      </c>
      <c r="L4541" s="45" t="inlineStr">
        <is>
          <t>31/12/2030</t>
        </is>
      </c>
      <c r="M4541" s="45" t="inlineStr"/>
      <c r="N4541" s="50" t="inlineStr">
        <is>
          <t>NON</t>
        </is>
      </c>
      <c r="O4541" s="45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TP - Assistant de vie aux familles</t>
        </is>
      </c>
      <c r="L4542" s="45" t="inlineStr">
        <is>
          <t>31/12/2030</t>
        </is>
      </c>
      <c r="M4542" s="45" t="inlineStr"/>
      <c r="N4542" s="50" t="inlineStr">
        <is>
          <t>NON</t>
        </is>
      </c>
      <c r="O4542" s="45" t="inlineStr"/>
    </row>
    <row r="4543">
      <c r="A4543" s="45" t="n"/>
      <c r="B4543" s="46" t="inlineStr">
        <is>
          <t>44042</t>
        </is>
      </c>
      <c r="C4543" s="46">
        <f>LEFT(Tableau1[[#This Row],[Formacode]],3)</f>
        <v/>
      </c>
      <c r="D4543" s="47" t="n">
        <v>37795</v>
      </c>
      <c r="E4543" s="48">
        <f>"RNCP"&amp;D4543</f>
        <v/>
      </c>
      <c r="F4543" s="48" t="inlineStr">
        <is>
          <t>Assistant maternel / Garde d'enfants</t>
        </is>
      </c>
      <c r="G4543" s="49">
        <f>E4543&amp;" - "&amp;F4543</f>
        <v/>
      </c>
      <c r="H4543" s="36" t="inlineStr">
        <is>
          <t>RAS</t>
        </is>
      </c>
      <c r="I4543" s="45" t="inlineStr"/>
      <c r="J4543" s="45" t="inlineStr">
        <is>
          <t>RNCP37795</t>
        </is>
      </c>
      <c r="K4543" s="45" t="inlineStr">
        <is>
          <t>Assistant maternel / Garde d'enfants</t>
        </is>
      </c>
      <c r="L4543" s="45" t="inlineStr">
        <is>
          <t>31/12/2030</t>
        </is>
      </c>
      <c r="M4543" s="45" t="inlineStr"/>
      <c r="N4543" s="50" t="inlineStr">
        <is>
          <t>NON</t>
        </is>
      </c>
      <c r="O4543" s="45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CAP - Accompagnant éducatif petite enfance</t>
        </is>
      </c>
      <c r="L4544" s="45" t="inlineStr">
        <is>
          <t>31/12/2030</t>
        </is>
      </c>
      <c r="M4544" s="45" t="inlineStr"/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TP - Intervenant éducatif petite enfance</t>
        </is>
      </c>
      <c r="L4545" s="45" t="inlineStr">
        <is>
          <t>31/12/2030</t>
        </is>
      </c>
      <c r="M4545" s="45" t="inlineStr"/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BAC PRO - Services aux personnes et animation dans les territoires</t>
        </is>
      </c>
      <c r="L4546" s="45" t="inlineStr">
        <is>
          <t>31/12/2030</t>
        </is>
      </c>
      <c r="M4546" s="45" t="inlineStr"/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CA - Certificat d'aptitude aux fonctions d'encadrement et de responsable d'unité d'intervention sociale  (CAFERUIS)</t>
        </is>
      </c>
      <c r="L4547" s="45" t="inlineStr">
        <is>
          <t>31/12/2030</t>
        </is>
      </c>
      <c r="M4547" s="45" t="inlineStr"/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CA - Certificat d'aptitude aux fonctions de directeur d'établissement ou de service d'intervention sociale  (CAFDES)</t>
        </is>
      </c>
      <c r="L4548" s="45" t="inlineStr">
        <is>
          <t>31/12/2030</t>
        </is>
      </c>
      <c r="M4548" s="45" t="inlineStr"/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31/12/2030</t>
        </is>
      </c>
      <c r="M4549" s="45" t="inlineStr"/>
      <c r="N4549" s="50" t="inlineStr">
        <is>
          <t>NON</t>
        </is>
      </c>
      <c r="O4549" s="45" t="inlineStr"/>
    </row>
    <row r="4550">
      <c r="A4550" s="45" t="n"/>
      <c r="B4550" s="46" t="inlineStr">
        <is>
          <t>44047</t>
        </is>
      </c>
      <c r="C4550" s="46">
        <f>LEFT(Tableau1[[#This Row],[Formacode]],3)</f>
        <v/>
      </c>
      <c r="D4550" s="47" t="n">
        <v>37519</v>
      </c>
      <c r="E4550" s="48">
        <f>"RNCP"&amp;D4550</f>
        <v/>
      </c>
      <c r="F4550" s="48" t="inlineStr">
        <is>
          <t>Directeur d''organisation ou d'entreprise d'innovation sociale</t>
        </is>
      </c>
      <c r="G4550" s="49">
        <f>E4550&amp;" - "&amp;F4550</f>
        <v/>
      </c>
      <c r="H4550" s="36" t="inlineStr">
        <is>
          <t>RAS</t>
        </is>
      </c>
      <c r="I4550" s="45" t="inlineStr"/>
      <c r="J4550" s="45" t="inlineStr">
        <is>
          <t>RNCP37519</t>
        </is>
      </c>
      <c r="K4550" s="45" t="inlineStr">
        <is>
          <t>Directeur d''organisation ou d'entreprise d'innovation sociale</t>
        </is>
      </c>
      <c r="L4550" s="45" t="inlineStr">
        <is>
          <t>31/12/2030</t>
        </is>
      </c>
      <c r="M4550" s="45" t="inlineStr"/>
      <c r="N4550" s="50" t="inlineStr">
        <is>
          <t>NON</t>
        </is>
      </c>
      <c r="O4550" s="45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31/12/2030</t>
        </is>
      </c>
      <c r="M4551" s="45" t="inlineStr"/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BAC PRO - Services aux personnes et animation dans les territoires</t>
        </is>
      </c>
      <c r="L4552" s="45" t="inlineStr">
        <is>
          <t>31/12/2030</t>
        </is>
      </c>
      <c r="M4552" s="45" t="inlineStr"/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TP - Médiateur social accès aux droits et services</t>
        </is>
      </c>
      <c r="L4553" s="45" t="inlineStr">
        <is>
          <t>31/12/2030</t>
        </is>
      </c>
      <c r="M4553" s="45" t="inlineStr"/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BAC PRO - Services aux personnes et animation dans les territoires</t>
        </is>
      </c>
      <c r="L4554" s="45" t="inlineStr">
        <is>
          <t>31/12/2030</t>
        </is>
      </c>
      <c r="M4554" s="45" t="inlineStr"/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CA - Certificat d'aptitude aux fonctions d'encadrement et de responsable d'unité d'intervention sociale  (CAFERUIS)</t>
        </is>
      </c>
      <c r="L4555" s="45" t="inlineStr">
        <is>
          <t>31/12/2030</t>
        </is>
      </c>
      <c r="M4555" s="45" t="inlineStr"/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CA - Certificat d'aptitude aux fonctions de directeur d'établissement ou de service d'intervention sociale  (CAFDES)</t>
        </is>
      </c>
      <c r="L4556" s="45" t="inlineStr">
        <is>
          <t>31/12/2030</t>
        </is>
      </c>
      <c r="M4556" s="45" t="inlineStr"/>
      <c r="N4556" s="50" t="inlineStr">
        <is>
          <t>NON</t>
        </is>
      </c>
      <c r="O4556" s="45" t="inlineStr"/>
    </row>
    <row r="4557">
      <c r="A4557" s="45" t="n"/>
      <c r="B4557" s="46" t="inlineStr">
        <is>
          <t>44056</t>
        </is>
      </c>
      <c r="C4557" s="46">
        <f>LEFT(Tableau1[[#This Row],[Formacode]],3)</f>
        <v/>
      </c>
      <c r="D4557" s="47" t="n">
        <v>37519</v>
      </c>
      <c r="E4557" s="48">
        <f>"RNCP"&amp;D4557</f>
        <v/>
      </c>
      <c r="F4557" s="48" t="inlineStr">
        <is>
          <t>Directeur d''organisation ou d'entreprise d'innovation sociale</t>
        </is>
      </c>
      <c r="G4557" s="49">
        <f>E4557&amp;" - "&amp;F4557</f>
        <v/>
      </c>
      <c r="H4557" s="36" t="inlineStr">
        <is>
          <t>RAS</t>
        </is>
      </c>
      <c r="I4557" s="45" t="inlineStr"/>
      <c r="J4557" s="45" t="inlineStr">
        <is>
          <t>RNCP37519</t>
        </is>
      </c>
      <c r="K4557" s="45" t="inlineStr">
        <is>
          <t>Directeur d''organisation ou d'entreprise d'innovation sociale</t>
        </is>
      </c>
      <c r="L4557" s="45" t="inlineStr">
        <is>
          <t>31/12/2030</t>
        </is>
      </c>
      <c r="M4557" s="45" t="inlineStr"/>
      <c r="N4557" s="50" t="inlineStr">
        <is>
          <t>NON</t>
        </is>
      </c>
      <c r="O4557" s="45" t="inlineStr"/>
    </row>
    <row r="4558">
      <c r="A4558" s="45" t="n"/>
      <c r="B4558" s="46" t="inlineStr">
        <is>
          <t>44056</t>
        </is>
      </c>
      <c r="C4558" s="46">
        <f>LEFT(Tableau1[[#This Row],[Formacode]],3)</f>
        <v/>
      </c>
      <c r="D4558" s="47" t="n">
        <v>37675</v>
      </c>
      <c r="E4558" s="48">
        <f>"RNCP"&amp;D4558</f>
        <v/>
      </c>
      <c r="F4558" s="48" t="inlineStr">
        <is>
          <t>DE - Assistant de service social</t>
        </is>
      </c>
      <c r="G4558" s="49">
        <f>E4558&amp;" - "&amp;F4558</f>
        <v/>
      </c>
      <c r="H4558" s="36" t="inlineStr">
        <is>
          <t>RAS</t>
        </is>
      </c>
      <c r="I4558" s="45" t="inlineStr"/>
      <c r="J4558" s="45" t="inlineStr">
        <is>
          <t>RNCP37675</t>
        </is>
      </c>
      <c r="K4558" s="45" t="inlineStr">
        <is>
          <t>DE - Assistant de service social</t>
        </is>
      </c>
      <c r="L4558" s="45" t="inlineStr">
        <is>
          <t>31/12/2030</t>
        </is>
      </c>
      <c r="M4558" s="45" t="inlineStr"/>
      <c r="N4558" s="50" t="inlineStr">
        <is>
          <t>NON</t>
        </is>
      </c>
      <c r="O4558" s="45" t="inlineStr"/>
    </row>
    <row r="4559">
      <c r="A4559" s="45" t="n"/>
      <c r="B4559" s="46" t="inlineStr">
        <is>
          <t>44056</t>
        </is>
      </c>
      <c r="C4559" s="46">
        <f>LEFT(Tableau1[[#This Row],[Formacode]],3)</f>
        <v/>
      </c>
      <c r="D4559" s="47" t="n">
        <v>39644</v>
      </c>
      <c r="E4559" s="48">
        <f>"RNCP"&amp;D4559</f>
        <v/>
      </c>
      <c r="F4559" s="48" t="inlineStr">
        <is>
          <t>DE - Ingénierie sociale</t>
        </is>
      </c>
      <c r="G4559" s="49">
        <f>E4559&amp;" - "&amp;F4559</f>
        <v/>
      </c>
      <c r="H4559" s="36" t="inlineStr">
        <is>
          <t>RAS</t>
        </is>
      </c>
      <c r="I4559" s="45" t="inlineStr"/>
      <c r="J4559" s="45" t="inlineStr">
        <is>
          <t>RNCP39644</t>
        </is>
      </c>
      <c r="K4559" s="45" t="inlineStr">
        <is>
          <t>DE - Ingénierie sociale</t>
        </is>
      </c>
      <c r="L4559" s="45" t="inlineStr">
        <is>
          <t>31/12/2030</t>
        </is>
      </c>
      <c r="M4559" s="45" t="inlineStr"/>
      <c r="N4559" s="50" t="inlineStr">
        <is>
          <t>NON</t>
        </is>
      </c>
      <c r="O4559" s="45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31/12/2030</t>
        </is>
      </c>
      <c r="M4560" s="45" t="inlineStr"/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BAC PRO - Services aux personnes et animation dans les territoires</t>
        </is>
      </c>
      <c r="L4561" s="45" t="inlineStr">
        <is>
          <t>31/12/2030</t>
        </is>
      </c>
      <c r="M4561" s="45" t="inlineStr"/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TP - Encadrant technique d'insertion</t>
        </is>
      </c>
      <c r="L4562" s="45" t="inlineStr">
        <is>
          <t>31/12/2030</t>
        </is>
      </c>
      <c r="M4562" s="45" t="inlineStr"/>
      <c r="N4562" s="50" t="inlineStr">
        <is>
          <t>NON</t>
        </is>
      </c>
      <c r="O4562" s="45" t="inlineStr"/>
    </row>
    <row r="4563">
      <c r="A4563" s="45" t="n"/>
      <c r="B4563" s="46" t="inlineStr">
        <is>
          <t>44067</t>
        </is>
      </c>
      <c r="C4563" s="46">
        <f>LEFT(Tableau1[[#This Row],[Formacode]],3)</f>
        <v/>
      </c>
      <c r="D4563" s="47" t="n">
        <v>36004</v>
      </c>
      <c r="E4563" s="48">
        <f>"RNCP"&amp;D4563</f>
        <v/>
      </c>
      <c r="F4563" s="48" t="inlineStr">
        <is>
          <t>DE - Accompagnant éducatif et social</t>
        </is>
      </c>
      <c r="G4563" s="49">
        <f>E4563&amp;" - "&amp;F4563</f>
        <v/>
      </c>
      <c r="H4563" s="36" t="inlineStr">
        <is>
          <t>RAS</t>
        </is>
      </c>
      <c r="I4563" s="45" t="inlineStr"/>
      <c r="J4563" s="45" t="inlineStr">
        <is>
          <t>RNCP36004</t>
        </is>
      </c>
      <c r="K4563" s="45" t="inlineStr">
        <is>
          <t>DE - Accompagnant éducatif et social</t>
        </is>
      </c>
      <c r="L4563" s="45" t="inlineStr">
        <is>
          <t>31/12/2030</t>
        </is>
      </c>
      <c r="M4563" s="45" t="inlineStr"/>
      <c r="N4563" s="50" t="inlineStr">
        <is>
          <t>NON</t>
        </is>
      </c>
      <c r="O4563" s="45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BAC PRO - Services aux personnes et animation dans les territoires</t>
        </is>
      </c>
      <c r="L4564" s="45" t="inlineStr">
        <is>
          <t>31/12/2030</t>
        </is>
      </c>
      <c r="M4564" s="45" t="inlineStr"/>
      <c r="N4564" s="50" t="inlineStr">
        <is>
          <t>NON</t>
        </is>
      </c>
      <c r="O4564" s="45" t="inlineStr"/>
    </row>
    <row r="4565">
      <c r="A4565" s="45" t="n"/>
      <c r="B4565" s="46" t="inlineStr">
        <is>
          <t>44067</t>
        </is>
      </c>
      <c r="C4565" s="46">
        <f>LEFT(Tableau1[[#This Row],[Formacode]],3)</f>
        <v/>
      </c>
      <c r="D4565" s="47" t="n">
        <v>37511</v>
      </c>
      <c r="E4565" s="48">
        <f>"RNCP"&amp;D4565</f>
        <v/>
      </c>
      <c r="F4565" s="48" t="inlineStr">
        <is>
          <t>Animateur en gérontologie</t>
        </is>
      </c>
      <c r="G4565" s="49">
        <f>E4565&amp;" - "&amp;F4565</f>
        <v/>
      </c>
      <c r="H4565" s="36" t="inlineStr">
        <is>
          <t>RAS</t>
        </is>
      </c>
      <c r="I4565" s="45" t="inlineStr"/>
      <c r="J4565" s="45" t="inlineStr">
        <is>
          <t>RNCP37511</t>
        </is>
      </c>
      <c r="K4565" s="45" t="inlineStr">
        <is>
          <t>Animateur en gérontologie</t>
        </is>
      </c>
      <c r="L4565" s="45" t="inlineStr">
        <is>
          <t>31/12/2030</t>
        </is>
      </c>
      <c r="M4565" s="45" t="inlineStr"/>
      <c r="N4565" s="50" t="inlineStr">
        <is>
          <t>NON</t>
        </is>
      </c>
      <c r="O4565" s="45" t="inlineStr"/>
    </row>
    <row r="4566">
      <c r="A4566" s="45" t="n"/>
      <c r="B4566" s="46" t="inlineStr">
        <is>
          <t>44067</t>
        </is>
      </c>
      <c r="C4566" s="46">
        <f>LEFT(Tableau1[[#This Row],[Formacode]],3)</f>
        <v/>
      </c>
      <c r="D4566" s="47" t="n">
        <v>38142</v>
      </c>
      <c r="E4566" s="48">
        <f>"RNCP"&amp;D4566</f>
        <v/>
      </c>
      <c r="F4566" s="48" t="inlineStr">
        <is>
          <t>Chargé de développement d’une structure sportive associative</t>
        </is>
      </c>
      <c r="G4566" s="49">
        <f>E4566&amp;" - "&amp;F4566</f>
        <v/>
      </c>
      <c r="H4566" s="36" t="inlineStr">
        <is>
          <t>RAS</t>
        </is>
      </c>
      <c r="I4566" s="45" t="inlineStr"/>
      <c r="J4566" s="45" t="inlineStr">
        <is>
          <t>RNCP38142</t>
        </is>
      </c>
      <c r="K4566" s="45" t="inlineStr">
        <is>
          <t>Chargé de développement d’une structure sportive associative</t>
        </is>
      </c>
      <c r="L4566" s="45" t="inlineStr">
        <is>
          <t>31/12/2030</t>
        </is>
      </c>
      <c r="M4566" s="45" t="inlineStr"/>
      <c r="N4566" s="50" t="inlineStr">
        <is>
          <t>NON</t>
        </is>
      </c>
      <c r="O4566" s="45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31/12/2030</t>
        </is>
      </c>
      <c r="M4567" s="45" t="inlineStr"/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31/12/2030</t>
        </is>
      </c>
      <c r="M4568" s="45" t="inlineStr"/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31/12/2030</t>
        </is>
      </c>
      <c r="M4569" s="45" t="inlineStr"/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TP - Médiateur numérique</t>
        </is>
      </c>
      <c r="L4570" s="45" t="inlineStr">
        <is>
          <t>31/12/2030</t>
        </is>
      </c>
      <c r="M4570" s="45" t="inlineStr"/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31/12/2030</t>
        </is>
      </c>
      <c r="M4571" s="45" t="inlineStr"/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BAC PRO - Animation - enfance et personnes âgées</t>
        </is>
      </c>
      <c r="L4572" s="45" t="inlineStr">
        <is>
          <t>31/12/2030</t>
        </is>
      </c>
      <c r="M4572" s="45" t="inlineStr"/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31/12/2030</t>
        </is>
      </c>
      <c r="M4573" s="45" t="inlineStr"/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31/12/2030</t>
        </is>
      </c>
      <c r="M4574" s="45" t="inlineStr"/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BAC PRO - Services aux personnes et animation dans les territoires</t>
        </is>
      </c>
      <c r="L4575" s="45" t="inlineStr">
        <is>
          <t>31/12/2030</t>
        </is>
      </c>
      <c r="M4575" s="45" t="inlineStr"/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CA - Certificat d'aptitude aux fonctions d'encadrement et de responsable d'unité d'intervention sociale  (CAFERUIS)</t>
        </is>
      </c>
      <c r="L4576" s="45" t="inlineStr">
        <is>
          <t>31/12/2030</t>
        </is>
      </c>
      <c r="M4576" s="45" t="inlineStr"/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BTS - Economie sociale familiale</t>
        </is>
      </c>
      <c r="L4577" s="45" t="inlineStr">
        <is>
          <t>31/12/2030</t>
        </is>
      </c>
      <c r="M4577" s="45" t="inlineStr"/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Certificat d'aptitude professionnelle - Agent de prévention et de médiation</t>
        </is>
      </c>
      <c r="L4578" s="45" t="inlineStr">
        <is>
          <t>31/12/2030</t>
        </is>
      </c>
      <c r="M4578" s="45" t="inlineStr"/>
      <c r="N4578" s="50" t="inlineStr">
        <is>
          <t>NON</t>
        </is>
      </c>
      <c r="O4578" s="45" t="inlineStr"/>
    </row>
    <row r="4579">
      <c r="A4579" s="45" t="n"/>
      <c r="B4579" s="46" t="inlineStr">
        <is>
          <t>44072</t>
        </is>
      </c>
      <c r="C4579" s="46">
        <f>LEFT(Tableau1[[#This Row],[Formacode]],3)</f>
        <v/>
      </c>
      <c r="D4579" s="47" t="n">
        <v>37519</v>
      </c>
      <c r="E4579" s="48">
        <f>"RNCP"&amp;D4579</f>
        <v/>
      </c>
      <c r="F4579" s="48" t="inlineStr">
        <is>
          <t>Directeur d''organisation ou d'entreprise d'innovation sociale</t>
        </is>
      </c>
      <c r="G4579" s="49">
        <f>E4579&amp;" - "&amp;F4579</f>
        <v/>
      </c>
      <c r="H4579" s="36" t="inlineStr">
        <is>
          <t>RAS</t>
        </is>
      </c>
      <c r="I4579" s="45" t="inlineStr"/>
      <c r="J4579" s="45" t="inlineStr">
        <is>
          <t>RNCP37519</t>
        </is>
      </c>
      <c r="K4579" s="45" t="inlineStr">
        <is>
          <t>Directeur d''organisation ou d'entreprise d'innovation sociale</t>
        </is>
      </c>
      <c r="L4579" s="45" t="inlineStr">
        <is>
          <t>31/12/2030</t>
        </is>
      </c>
      <c r="M4579" s="45" t="inlineStr"/>
      <c r="N4579" s="50" t="inlineStr">
        <is>
          <t>NON</t>
        </is>
      </c>
      <c r="O4579" s="45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31/12/2030</t>
        </is>
      </c>
      <c r="M4580" s="45" t="inlineStr"/>
      <c r="N4580" s="50" t="inlineStr">
        <is>
          <t>NON</t>
        </is>
      </c>
      <c r="O4580" s="45" t="inlineStr"/>
    </row>
    <row r="4581">
      <c r="A4581" s="45" t="n"/>
      <c r="B4581" s="46" t="inlineStr">
        <is>
          <t>44072</t>
        </is>
      </c>
      <c r="C4581" s="46">
        <f>LEFT(Tableau1[[#This Row],[Formacode]],3)</f>
        <v/>
      </c>
      <c r="D4581" s="47" t="n">
        <v>37675</v>
      </c>
      <c r="E4581" s="48">
        <f>"RNCP"&amp;D4581</f>
        <v/>
      </c>
      <c r="F4581" s="48" t="inlineStr">
        <is>
          <t>DE - Assistant de service social</t>
        </is>
      </c>
      <c r="G4581" s="49">
        <f>E4581&amp;" - "&amp;F4581</f>
        <v/>
      </c>
      <c r="H4581" s="36" t="inlineStr">
        <is>
          <t>RAS</t>
        </is>
      </c>
      <c r="I4581" s="45" t="inlineStr"/>
      <c r="J4581" s="45" t="inlineStr">
        <is>
          <t>RNCP37675</t>
        </is>
      </c>
      <c r="K4581" s="45" t="inlineStr">
        <is>
          <t>DE - Assistant de service social</t>
        </is>
      </c>
      <c r="L4581" s="45" t="inlineStr">
        <is>
          <t>31/12/2030</t>
        </is>
      </c>
      <c r="M4581" s="45" t="inlineStr"/>
      <c r="N4581" s="50" t="inlineStr">
        <is>
          <t>NON</t>
        </is>
      </c>
      <c r="O4581" s="45" t="inlineStr"/>
    </row>
    <row r="4582">
      <c r="A4582" s="45" t="n"/>
      <c r="B4582" s="46" t="inlineStr">
        <is>
          <t>44072</t>
        </is>
      </c>
      <c r="C4582" s="46">
        <f>LEFT(Tableau1[[#This Row],[Formacode]],3)</f>
        <v/>
      </c>
      <c r="D4582" s="47" t="n">
        <v>37676</v>
      </c>
      <c r="E4582" s="48">
        <f>"RNCP"&amp;D4582</f>
        <v/>
      </c>
      <c r="F4582" s="48" t="inlineStr">
        <is>
          <t>DE - Educateur spécialisé</t>
        </is>
      </c>
      <c r="G4582" s="49">
        <f>E4582&amp;" - "&amp;F4582</f>
        <v/>
      </c>
      <c r="H4582" s="36" t="inlineStr">
        <is>
          <t>RAS</t>
        </is>
      </c>
      <c r="I4582" s="45" t="inlineStr"/>
      <c r="J4582" s="45" t="inlineStr">
        <is>
          <t>RNCP37676</t>
        </is>
      </c>
      <c r="K4582" s="45" t="inlineStr">
        <is>
          <t>DE - Educateur spécialisé</t>
        </is>
      </c>
      <c r="L4582" s="45" t="inlineStr">
        <is>
          <t>31/12/2030</t>
        </is>
      </c>
      <c r="M4582" s="45" t="inlineStr"/>
      <c r="N4582" s="50" t="inlineStr">
        <is>
          <t>NON</t>
        </is>
      </c>
      <c r="O4582" s="45" t="inlineStr"/>
    </row>
    <row r="4583">
      <c r="A4583" s="45" t="n"/>
      <c r="B4583" s="46" t="inlineStr">
        <is>
          <t>44072</t>
        </is>
      </c>
      <c r="C4583" s="46">
        <f>LEFT(Tableau1[[#This Row],[Formacode]],3)</f>
        <v/>
      </c>
      <c r="D4583" s="47" t="n">
        <v>37677</v>
      </c>
      <c r="E4583" s="48">
        <f>"RNCP"&amp;D4583</f>
        <v/>
      </c>
      <c r="F4583" s="48" t="inlineStr">
        <is>
          <t>DE - Educateur technique spécialisé</t>
        </is>
      </c>
      <c r="G4583" s="49">
        <f>E4583&amp;" - "&amp;F4583</f>
        <v/>
      </c>
      <c r="H4583" s="36" t="inlineStr">
        <is>
          <t>RAS</t>
        </is>
      </c>
      <c r="I4583" s="45" t="inlineStr"/>
      <c r="J4583" s="45" t="inlineStr">
        <is>
          <t>RNCP37677</t>
        </is>
      </c>
      <c r="K4583" s="45" t="inlineStr">
        <is>
          <t>DE - Educateur technique spécialisé</t>
        </is>
      </c>
      <c r="L4583" s="45" t="inlineStr">
        <is>
          <t>31/12/2030</t>
        </is>
      </c>
      <c r="M4583" s="45" t="inlineStr"/>
      <c r="N4583" s="50" t="inlineStr">
        <is>
          <t>NON</t>
        </is>
      </c>
      <c r="O4583" s="45" t="inlineStr"/>
    </row>
    <row r="4584">
      <c r="A4584" s="45" t="n"/>
      <c r="B4584" s="46" t="inlineStr">
        <is>
          <t>44072</t>
        </is>
      </c>
      <c r="C4584" s="46">
        <f>LEFT(Tableau1[[#This Row],[Formacode]],3)</f>
        <v/>
      </c>
      <c r="D4584" s="47" t="n">
        <v>37678</v>
      </c>
      <c r="E4584" s="48">
        <f>"RNCP"&amp;D4584</f>
        <v/>
      </c>
      <c r="F4584" s="48" t="inlineStr">
        <is>
          <t>DE - Conseiller en économie sociale familiale</t>
        </is>
      </c>
      <c r="G4584" s="49">
        <f>E4584&amp;" - "&amp;F4584</f>
        <v/>
      </c>
      <c r="H4584" s="36" t="inlineStr">
        <is>
          <t>RAS</t>
        </is>
      </c>
      <c r="I4584" s="45" t="inlineStr"/>
      <c r="J4584" s="45" t="inlineStr">
        <is>
          <t>RNCP37678</t>
        </is>
      </c>
      <c r="K4584" s="45" t="inlineStr">
        <is>
          <t>DE - Conseiller en économie sociale familiale</t>
        </is>
      </c>
      <c r="L4584" s="45" t="inlineStr">
        <is>
          <t>31/12/2030</t>
        </is>
      </c>
      <c r="M4584" s="45" t="inlineStr"/>
      <c r="N4584" s="50" t="inlineStr">
        <is>
          <t>NON</t>
        </is>
      </c>
      <c r="O4584" s="45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TP - Agent de médiation, information, services</t>
        </is>
      </c>
      <c r="L4585" s="45" t="inlineStr">
        <is>
          <t>31/12/2030</t>
        </is>
      </c>
      <c r="M4585" s="45" t="inlineStr"/>
      <c r="N4585" s="50" t="inlineStr">
        <is>
          <t>NON</t>
        </is>
      </c>
      <c r="O4585" s="45" t="inlineStr"/>
    </row>
    <row r="4586">
      <c r="A4586" s="45" t="n"/>
      <c r="B4586" s="46" t="inlineStr">
        <is>
          <t>44072</t>
        </is>
      </c>
      <c r="C4586" s="46">
        <f>LEFT(Tableau1[[#This Row],[Formacode]],3)</f>
        <v/>
      </c>
      <c r="D4586" s="47" t="n">
        <v>39643</v>
      </c>
      <c r="E4586" s="48">
        <f>"RNCP"&amp;D4586</f>
        <v/>
      </c>
      <c r="F4586" s="48" t="inlineStr">
        <is>
          <t>Diplôme d'Etat Moniteur éducateur - DEME</t>
        </is>
      </c>
      <c r="G4586" s="49">
        <f>E4586&amp;" - "&amp;F4586</f>
        <v/>
      </c>
      <c r="H4586" s="36" t="inlineStr">
        <is>
          <t>RAS</t>
        </is>
      </c>
      <c r="I4586" s="45" t="inlineStr"/>
      <c r="J4586" s="45" t="inlineStr">
        <is>
          <t>RNCP39643</t>
        </is>
      </c>
      <c r="K4586" s="45" t="inlineStr">
        <is>
          <t>Diplôme d'Etat Moniteur éducateur - DEME</t>
        </is>
      </c>
      <c r="L4586" s="45" t="inlineStr">
        <is>
          <t>31/12/2030</t>
        </is>
      </c>
      <c r="M4586" s="45" t="inlineStr"/>
      <c r="N4586" s="50" t="inlineStr">
        <is>
          <t>NON</t>
        </is>
      </c>
      <c r="O4586" s="45" t="inlineStr"/>
    </row>
    <row r="4587">
      <c r="A4587" s="45" t="n"/>
      <c r="B4587" s="46" t="inlineStr">
        <is>
          <t>44072</t>
        </is>
      </c>
      <c r="C4587" s="46">
        <f>LEFT(Tableau1[[#This Row],[Formacode]],3)</f>
        <v/>
      </c>
      <c r="D4587" s="47" t="n">
        <v>39644</v>
      </c>
      <c r="E4587" s="48">
        <f>"RNCP"&amp;D4587</f>
        <v/>
      </c>
      <c r="F4587" s="48" t="inlineStr">
        <is>
          <t>DE - Ingénierie sociale</t>
        </is>
      </c>
      <c r="G4587" s="49">
        <f>E4587&amp;" - "&amp;F4587</f>
        <v/>
      </c>
      <c r="H4587" s="36" t="inlineStr">
        <is>
          <t>RAS</t>
        </is>
      </c>
      <c r="I4587" s="45" t="inlineStr"/>
      <c r="J4587" s="45" t="inlineStr">
        <is>
          <t>RNCP39644</t>
        </is>
      </c>
      <c r="K4587" s="45" t="inlineStr">
        <is>
          <t>DE - Ingénierie sociale</t>
        </is>
      </c>
      <c r="L4587" s="45" t="inlineStr">
        <is>
          <t>31/12/2030</t>
        </is>
      </c>
      <c r="M4587" s="45" t="inlineStr"/>
      <c r="N4587" s="50" t="inlineStr">
        <is>
          <t>NON</t>
        </is>
      </c>
      <c r="O4587" s="45" t="inlineStr"/>
    </row>
    <row r="4588">
      <c r="A4588" s="45" t="n"/>
      <c r="B4588" s="46" t="inlineStr">
        <is>
          <t>44072</t>
        </is>
      </c>
      <c r="C4588" s="46">
        <f>LEFT(Tableau1[[#This Row],[Formacode]],3)</f>
        <v/>
      </c>
      <c r="D4588" s="47" t="n">
        <v>39645</v>
      </c>
      <c r="E4588" s="48">
        <f>"RNCP"&amp;D4588</f>
        <v/>
      </c>
      <c r="F4588" s="48" t="inlineStr">
        <is>
          <t>DE - Médiateur familial</t>
        </is>
      </c>
      <c r="G4588" s="49">
        <f>E4588&amp;" - "&amp;F4588</f>
        <v/>
      </c>
      <c r="H4588" s="36" t="inlineStr">
        <is>
          <t>RAS</t>
        </is>
      </c>
      <c r="I4588" s="45" t="inlineStr"/>
      <c r="J4588" s="45" t="inlineStr">
        <is>
          <t>RNCP39645</t>
        </is>
      </c>
      <c r="K4588" s="45" t="inlineStr">
        <is>
          <t>DE - Médiateur familial</t>
        </is>
      </c>
      <c r="L4588" s="45" t="inlineStr">
        <is>
          <t>31/12/2030</t>
        </is>
      </c>
      <c r="M4588" s="45" t="inlineStr"/>
      <c r="N4588" s="50" t="inlineStr">
        <is>
          <t>NON</t>
        </is>
      </c>
      <c r="O4588" s="45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DE - Technicien de l'intervention sociale et familiale</t>
        </is>
      </c>
      <c r="L4589" s="45" t="inlineStr">
        <is>
          <t>31/12/2030</t>
        </is>
      </c>
      <c r="M4589" s="45" t="inlineStr"/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TP - Encadrant technique d'insertion</t>
        </is>
      </c>
      <c r="L4590" s="45" t="inlineStr">
        <is>
          <t>31/12/2030</t>
        </is>
      </c>
      <c r="M4590" s="45" t="inlineStr"/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DE - Assistant familial</t>
        </is>
      </c>
      <c r="L4591" s="45" t="inlineStr">
        <is>
          <t>31/12/2030</t>
        </is>
      </c>
      <c r="M4591" s="45" t="inlineStr"/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BAC PRO - Services aux personnes et animation dans les territoires</t>
        </is>
      </c>
      <c r="L4592" s="45" t="inlineStr">
        <is>
          <t>31/12/2030</t>
        </is>
      </c>
      <c r="M4592" s="45" t="inlineStr"/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BAC PRO - Services aux personnes et animation dans les territoires</t>
        </is>
      </c>
      <c r="L4593" s="45" t="inlineStr">
        <is>
          <t>31/12/2030</t>
        </is>
      </c>
      <c r="M4593" s="45" t="inlineStr"/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BAC PRO - Services aux personnes et animation dans les territoires</t>
        </is>
      </c>
      <c r="L4594" s="45" t="inlineStr">
        <is>
          <t>31/12/2030</t>
        </is>
      </c>
      <c r="M4594" s="45" t="inlineStr"/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BAC PRO - Services aux personnes et animation dans les territoires</t>
        </is>
      </c>
      <c r="L4595" s="45" t="inlineStr">
        <is>
          <t>31/12/2030</t>
        </is>
      </c>
      <c r="M4595" s="45" t="inlineStr"/>
      <c r="N4595" s="50" t="inlineStr">
        <is>
          <t>NON</t>
        </is>
      </c>
      <c r="O4595" s="45" t="inlineStr"/>
    </row>
    <row r="4596">
      <c r="A4596" s="45" t="n"/>
      <c r="B4596" s="46" t="inlineStr">
        <is>
          <t>44542</t>
        </is>
      </c>
      <c r="C4596" s="46">
        <f>LEFT(Tableau1[[#This Row],[Formacode]],3)</f>
        <v/>
      </c>
      <c r="D4596" s="47" t="n">
        <v>35517</v>
      </c>
      <c r="E4596" s="48">
        <f>"RNCP"&amp;D4596</f>
        <v/>
      </c>
      <c r="F4596" s="48" t="inlineStr">
        <is>
          <t>CS - Services numériques aux organisations</t>
        </is>
      </c>
      <c r="G4596" s="49">
        <f>E4596&amp;" - "&amp;F4596</f>
        <v/>
      </c>
      <c r="H4596" s="36" t="inlineStr">
        <is>
          <t>RAS</t>
        </is>
      </c>
      <c r="I4596" s="45" t="inlineStr"/>
      <c r="J4596" s="45" t="inlineStr">
        <is>
          <t>RNCP35517</t>
        </is>
      </c>
      <c r="K4596" s="45" t="inlineStr">
        <is>
          <t>CS - Services numériques aux organisations</t>
        </is>
      </c>
      <c r="L4596" s="45" t="inlineStr">
        <is>
          <t>31/12/2030</t>
        </is>
      </c>
      <c r="M4596" s="45" t="inlineStr"/>
      <c r="N4596" s="50" t="inlineStr">
        <is>
          <t>NON</t>
        </is>
      </c>
      <c r="O4596" s="45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TP - Formateur professionnel d'adultes</t>
        </is>
      </c>
      <c r="L4597" s="45" t="inlineStr">
        <is>
          <t>31/12/2030</t>
        </is>
      </c>
      <c r="M4597" s="45" t="inlineStr"/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31/12/2030</t>
        </is>
      </c>
      <c r="M4598" s="45" t="inlineStr"/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31/12/2030</t>
        </is>
      </c>
      <c r="M4599" s="45" t="inlineStr"/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TP - Médiateur numérique</t>
        </is>
      </c>
      <c r="L4600" s="45" t="inlineStr">
        <is>
          <t>31/12/2030</t>
        </is>
      </c>
      <c r="M4600" s="45" t="inlineStr"/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31/12/2030</t>
        </is>
      </c>
      <c r="M4601" s="45" t="inlineStr"/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31/12/2030</t>
        </is>
      </c>
      <c r="M4602" s="45" t="inlineStr"/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TP - Formateur professionnel d'adultes</t>
        </is>
      </c>
      <c r="L4603" s="45" t="inlineStr">
        <is>
          <t>31/12/2030</t>
        </is>
      </c>
      <c r="M4603" s="45" t="inlineStr"/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Brevet de technicien supérieur - Métiers de l’esthétique, de la cosmétique et de la parfumerie</t>
        </is>
      </c>
      <c r="L4604" s="45" t="inlineStr">
        <is>
          <t>31/12/2030</t>
        </is>
      </c>
      <c r="M4604" s="45" t="inlineStr"/>
      <c r="N4604" s="50" t="inlineStr">
        <is>
          <t>NON</t>
        </is>
      </c>
      <c r="O4604" s="45" t="inlineStr"/>
    </row>
    <row r="4605">
      <c r="A4605" s="45" t="n"/>
      <c r="B4605" s="46" t="inlineStr">
        <is>
          <t>44557</t>
        </is>
      </c>
      <c r="C4605" s="46">
        <f>LEFT(Tableau1[[#This Row],[Formacode]],3)</f>
        <v/>
      </c>
      <c r="D4605" s="47" t="n">
        <v>37525</v>
      </c>
      <c r="E4605" s="48">
        <f>"RNCP"&amp;D4605</f>
        <v/>
      </c>
      <c r="F4605" s="48" t="inlineStr">
        <is>
          <t>Enseignant du premier degré</t>
        </is>
      </c>
      <c r="G4605" s="49">
        <f>E4605&amp;" - "&amp;F4605</f>
        <v/>
      </c>
      <c r="H4605" s="36" t="inlineStr">
        <is>
          <t>RAS</t>
        </is>
      </c>
      <c r="I4605" s="45" t="inlineStr"/>
      <c r="J4605" s="45" t="inlineStr">
        <is>
          <t>RNCP37525</t>
        </is>
      </c>
      <c r="K4605" s="45" t="inlineStr">
        <is>
          <t>Enseignant du premier degré</t>
        </is>
      </c>
      <c r="L4605" s="45" t="inlineStr">
        <is>
          <t>31/12/2030</t>
        </is>
      </c>
      <c r="M4605" s="45" t="inlineStr"/>
      <c r="N4605" s="50" t="inlineStr">
        <is>
          <t>NON</t>
        </is>
      </c>
      <c r="O4605" s="45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31/12/2030</t>
        </is>
      </c>
      <c r="M4606" s="45" t="inlineStr"/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31/12/2030</t>
        </is>
      </c>
      <c r="M4607" s="45" t="inlineStr"/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31/12/2030</t>
        </is>
      </c>
      <c r="M4608" s="45" t="inlineStr"/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31/12/2030</t>
        </is>
      </c>
      <c r="M4609" s="45" t="inlineStr"/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TP - Assistant ressources humaines</t>
        </is>
      </c>
      <c r="L4610" s="45" t="inlineStr">
        <is>
          <t>31/12/2030</t>
        </is>
      </c>
      <c r="M4610" s="45" t="inlineStr"/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31/12/2030</t>
        </is>
      </c>
      <c r="M4611" s="45" t="inlineStr"/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TP - Conseiller en insertion professionnelle</t>
        </is>
      </c>
      <c r="L4612" s="45" t="inlineStr">
        <is>
          <t>31/12/2030</t>
        </is>
      </c>
      <c r="M4612" s="45" t="inlineStr"/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31/12/2030</t>
        </is>
      </c>
      <c r="M4613" s="45" t="inlineStr"/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31/12/2030</t>
        </is>
      </c>
      <c r="M4614" s="45" t="inlineStr"/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TP - Encadrant technique d'insertion</t>
        </is>
      </c>
      <c r="L4615" s="45" t="inlineStr">
        <is>
          <t>31/12/2030</t>
        </is>
      </c>
      <c r="M4615" s="45" t="inlineStr"/>
      <c r="N4615" s="50" t="inlineStr">
        <is>
          <t>NON</t>
        </is>
      </c>
      <c r="O4615" s="45" t="inlineStr"/>
    </row>
    <row r="4616" customFormat="1" s="3">
      <c r="A4616" s="45" t="n"/>
      <c r="B4616" s="46" t="inlineStr">
        <is>
          <t>45020</t>
        </is>
      </c>
      <c r="C4616" s="46">
        <f>LEFT(Tableau1[[#This Row],[Formacode]],3)</f>
        <v/>
      </c>
      <c r="D4616" s="47" t="n">
        <v>37742</v>
      </c>
      <c r="E4616" s="48">
        <f>"RNCP"&amp;D4616</f>
        <v/>
      </c>
      <c r="F4616" s="48" t="inlineStr">
        <is>
          <t>Initiateur aux arts du cirque</t>
        </is>
      </c>
      <c r="G4616" s="49">
        <f>E4616&amp;" - "&amp;F4616</f>
        <v/>
      </c>
      <c r="H4616" s="36" t="inlineStr">
        <is>
          <t>RAS</t>
        </is>
      </c>
      <c r="I4616" s="45" t="inlineStr"/>
      <c r="J4616" s="45" t="inlineStr">
        <is>
          <t>RNCP37742</t>
        </is>
      </c>
      <c r="K4616" s="45" t="inlineStr">
        <is>
          <t>Initiateur aux arts du cirque</t>
        </is>
      </c>
      <c r="L4616" s="45" t="inlineStr">
        <is>
          <t>31/12/2030</t>
        </is>
      </c>
      <c r="M4616" s="45" t="inlineStr"/>
      <c r="N4616" s="50" t="inlineStr">
        <is>
          <t>NON</t>
        </is>
      </c>
      <c r="O4616" s="45" t="inlineStr"/>
    </row>
    <row r="4617" customFormat="1" s="3">
      <c r="A4617" s="45" t="n"/>
      <c r="B4617" s="46" t="inlineStr">
        <is>
          <t>45027</t>
        </is>
      </c>
      <c r="C4617" s="46">
        <f>LEFT(Tableau1[[#This Row],[Formacode]],3)</f>
        <v/>
      </c>
      <c r="D4617" s="47" t="n">
        <v>36112</v>
      </c>
      <c r="E4617" s="48">
        <f>"RNCP"&amp;D4617</f>
        <v/>
      </c>
      <c r="F4617" s="48" t="inlineStr">
        <is>
          <t>CAP - Menuisier fabricant</t>
        </is>
      </c>
      <c r="G4617" s="49">
        <f>E4617&amp;" - "&amp;F4617</f>
        <v/>
      </c>
      <c r="H4617" s="36" t="inlineStr">
        <is>
          <t>RAS</t>
        </is>
      </c>
      <c r="I4617" s="45" t="inlineStr"/>
      <c r="J4617" s="45" t="inlineStr">
        <is>
          <t>RNCP36112</t>
        </is>
      </c>
      <c r="K4617" s="45" t="inlineStr">
        <is>
          <t>CAP - Menuisier fabricant</t>
        </is>
      </c>
      <c r="L4617" s="45" t="inlineStr">
        <is>
          <t>31/12/2030</t>
        </is>
      </c>
      <c r="M4617" s="45" t="inlineStr"/>
      <c r="N4617" s="50" t="inlineStr">
        <is>
          <t>NON</t>
        </is>
      </c>
      <c r="O4617" s="45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TP - Restaurateur de meubles d'art, anciens et contemporains</t>
        </is>
      </c>
      <c r="L4618" s="45" t="inlineStr">
        <is>
          <t>31/12/2030</t>
        </is>
      </c>
      <c r="M4618" s="45" t="inlineStr"/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TP - Tapissier-couturier d'ameublement</t>
        </is>
      </c>
      <c r="L4619" s="45" t="inlineStr">
        <is>
          <t>31/12/2030</t>
        </is>
      </c>
      <c r="M4619" s="45" t="inlineStr"/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TP - Tapissier garnisseur</t>
        </is>
      </c>
      <c r="L4620" s="45" t="inlineStr">
        <is>
          <t>31/12/2030</t>
        </is>
      </c>
      <c r="M4620" s="45" t="inlineStr"/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BAC PRO - Technicien fabrication bois et matériaux associés</t>
        </is>
      </c>
      <c r="L4621" s="45" t="inlineStr">
        <is>
          <t>31/12/2030</t>
        </is>
      </c>
      <c r="M4621" s="45" t="inlineStr"/>
      <c r="N4621" s="50" t="inlineStr">
        <is>
          <t>NON</t>
        </is>
      </c>
      <c r="O4621" s="45" t="inlineStr"/>
    </row>
    <row r="4622" customFormat="1" s="3">
      <c r="A4622" s="45" t="n"/>
      <c r="B4622" s="46" t="inlineStr">
        <is>
          <t>45027</t>
        </is>
      </c>
      <c r="C4622" s="46">
        <f>LEFT(Tableau1[[#This Row],[Formacode]],3)</f>
        <v/>
      </c>
      <c r="D4622" s="47" t="n">
        <v>37828</v>
      </c>
      <c r="E4622" s="48">
        <f>"RNCP"&amp;D4622</f>
        <v/>
      </c>
      <c r="F4622" s="48" t="inlineStr">
        <is>
          <t>Designer créateur de produit de mode et textile</t>
        </is>
      </c>
      <c r="G4622" s="49">
        <f>E4622&amp;" - "&amp;F4622</f>
        <v/>
      </c>
      <c r="H4622" s="36" t="inlineStr">
        <is>
          <t>RAS</t>
        </is>
      </c>
      <c r="I4622" s="45" t="inlineStr"/>
      <c r="J4622" s="45" t="inlineStr">
        <is>
          <t>RNCP37828</t>
        </is>
      </c>
      <c r="K4622" s="45" t="inlineStr">
        <is>
          <t>Designer créateur de produit de mode et textile</t>
        </is>
      </c>
      <c r="L4622" s="45" t="inlineStr">
        <is>
          <t>31/12/2030</t>
        </is>
      </c>
      <c r="M4622" s="45" t="inlineStr"/>
      <c r="N4622" s="50" t="inlineStr">
        <is>
          <t>NON</t>
        </is>
      </c>
      <c r="O4622" s="45" t="inlineStr"/>
    </row>
    <row r="4623" customFormat="1" s="3">
      <c r="A4623" s="45" t="n"/>
      <c r="B4623" s="46" t="inlineStr">
        <is>
          <t>45027</t>
        </is>
      </c>
      <c r="C4623" s="46">
        <f>LEFT(Tableau1[[#This Row],[Formacode]],3)</f>
        <v/>
      </c>
      <c r="D4623" s="47" t="n">
        <v>37842</v>
      </c>
      <c r="E4623" s="48">
        <f>"RNCP"&amp;D4623</f>
        <v/>
      </c>
      <c r="F4623" s="48" t="inlineStr">
        <is>
          <t>Chef de projet design d'espace et produit</t>
        </is>
      </c>
      <c r="G4623" s="49">
        <f>E4623&amp;" - "&amp;F4623</f>
        <v/>
      </c>
      <c r="H4623" s="36" t="inlineStr">
        <is>
          <t>RAS</t>
        </is>
      </c>
      <c r="I4623" s="45" t="inlineStr"/>
      <c r="J4623" s="45" t="inlineStr">
        <is>
          <t>RNCP37842</t>
        </is>
      </c>
      <c r="K4623" s="45" t="inlineStr">
        <is>
          <t>Chef de projet design d'espace et produit</t>
        </is>
      </c>
      <c r="L4623" s="45" t="inlineStr">
        <is>
          <t>31/12/2030</t>
        </is>
      </c>
      <c r="M4623" s="45" t="inlineStr"/>
      <c r="N4623" s="50" t="inlineStr">
        <is>
          <t>NON</t>
        </is>
      </c>
      <c r="O4623" s="45" t="inlineStr"/>
    </row>
    <row r="4624" customFormat="1" s="3">
      <c r="A4624" s="45" t="n"/>
      <c r="B4624" s="46" t="inlineStr">
        <is>
          <t>45027</t>
        </is>
      </c>
      <c r="C4624" s="46">
        <f>LEFT(Tableau1[[#This Row],[Formacode]],3)</f>
        <v/>
      </c>
      <c r="D4624" s="47" t="n">
        <v>37911</v>
      </c>
      <c r="E4624" s="48">
        <f>"RNCP"&amp;D4624</f>
        <v/>
      </c>
      <c r="F4624" s="48" t="inlineStr">
        <is>
          <t>BAC PRO - Etude et réalisation d'agencement</t>
        </is>
      </c>
      <c r="G4624" s="49">
        <f>E4624&amp;" - "&amp;F4624</f>
        <v/>
      </c>
      <c r="H4624" s="36" t="inlineStr">
        <is>
          <t>RAS</t>
        </is>
      </c>
      <c r="I4624" s="45" t="inlineStr"/>
      <c r="J4624" s="45" t="inlineStr">
        <is>
          <t>RNCP37911</t>
        </is>
      </c>
      <c r="K4624" s="45" t="inlineStr">
        <is>
          <t>BAC PRO - Etude et réalisation d'agencement</t>
        </is>
      </c>
      <c r="L4624" s="45" t="inlineStr">
        <is>
          <t>31/12/2030</t>
        </is>
      </c>
      <c r="M4624" s="45" t="inlineStr"/>
      <c r="N4624" s="50" t="inlineStr">
        <is>
          <t>NON</t>
        </is>
      </c>
      <c r="O4624" s="45" t="inlineStr"/>
    </row>
    <row r="4625" customFormat="1" s="3">
      <c r="A4625" s="45" t="n"/>
      <c r="B4625" s="46" t="inlineStr">
        <is>
          <t>45027</t>
        </is>
      </c>
      <c r="C4625" s="46">
        <f>LEFT(Tableau1[[#This Row],[Formacode]],3)</f>
        <v/>
      </c>
      <c r="D4625" s="47" t="n">
        <v>38012</v>
      </c>
      <c r="E4625" s="48">
        <f>"RNCP"&amp;D4625</f>
        <v/>
      </c>
      <c r="F4625" s="48" t="inlineStr">
        <is>
          <t>Designer en architecture d'intérieur</t>
        </is>
      </c>
      <c r="G4625" s="49">
        <f>E4625&amp;" - "&amp;F4625</f>
        <v/>
      </c>
      <c r="H4625" s="36" t="inlineStr">
        <is>
          <t>RAS</t>
        </is>
      </c>
      <c r="I4625" s="45" t="inlineStr"/>
      <c r="J4625" s="45" t="inlineStr">
        <is>
          <t>RNCP38012</t>
        </is>
      </c>
      <c r="K4625" s="45" t="inlineStr">
        <is>
          <t>Designer en architecture d'intérieur</t>
        </is>
      </c>
      <c r="L4625" s="45" t="inlineStr">
        <is>
          <t>31/12/2030</t>
        </is>
      </c>
      <c r="M4625" s="45" t="inlineStr"/>
      <c r="N4625" s="50" t="inlineStr">
        <is>
          <t>NON</t>
        </is>
      </c>
      <c r="O4625" s="45" t="inlineStr"/>
    </row>
    <row r="4626" customFormat="1" s="3">
      <c r="A4626" s="45" t="n"/>
      <c r="B4626" s="46" t="inlineStr">
        <is>
          <t>45027</t>
        </is>
      </c>
      <c r="C4626" s="46">
        <f>LEFT(Tableau1[[#This Row],[Formacode]],3)</f>
        <v/>
      </c>
      <c r="D4626" s="47" t="n">
        <v>38022</v>
      </c>
      <c r="E4626" s="48">
        <f>"RNCP"&amp;D4626</f>
        <v/>
      </c>
      <c r="F4626" s="48" t="inlineStr">
        <is>
          <t>Designer en architecture d'intérieur</t>
        </is>
      </c>
      <c r="G4626" s="49">
        <f>E4626&amp;" - "&amp;F4626</f>
        <v/>
      </c>
      <c r="H4626" s="36" t="inlineStr">
        <is>
          <t>RAS</t>
        </is>
      </c>
      <c r="I4626" s="45" t="inlineStr"/>
      <c r="J4626" s="45" t="inlineStr">
        <is>
          <t>RNCP38022</t>
        </is>
      </c>
      <c r="K4626" s="45" t="inlineStr">
        <is>
          <t>Designer en architecture d'intérieur</t>
        </is>
      </c>
      <c r="L4626" s="45" t="inlineStr">
        <is>
          <t>31/12/2030</t>
        </is>
      </c>
      <c r="M4626" s="45" t="inlineStr"/>
      <c r="N4626" s="50" t="inlineStr">
        <is>
          <t>NON</t>
        </is>
      </c>
      <c r="O4626" s="45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BTSA - Aménagements paysagers</t>
        </is>
      </c>
      <c r="L4627" s="45" t="inlineStr">
        <is>
          <t>31/12/2030</t>
        </is>
      </c>
      <c r="M4627" s="45" t="inlineStr"/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BTS - Etude et réalisation d'agencement</t>
        </is>
      </c>
      <c r="L4628" s="45" t="inlineStr">
        <is>
          <t>31/12/2030</t>
        </is>
      </c>
      <c r="M4628" s="45" t="inlineStr"/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31/12/2030</t>
        </is>
      </c>
      <c r="M4629" s="45" t="inlineStr"/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31/12/2030</t>
        </is>
      </c>
      <c r="M4630" s="45" t="inlineStr"/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CAP - Menuisier en sièges</t>
        </is>
      </c>
      <c r="L4631" s="45" t="inlineStr">
        <is>
          <t>31/12/2030</t>
        </is>
      </c>
      <c r="M4631" s="45" t="inlineStr"/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31/12/2030</t>
        </is>
      </c>
      <c r="M4632" s="45" t="inlineStr"/>
      <c r="N4632" s="50" t="inlineStr">
        <is>
          <t>NON</t>
        </is>
      </c>
      <c r="O4632" s="45" t="inlineStr"/>
    </row>
    <row r="4633" customFormat="1" s="3">
      <c r="A4633" s="45" t="n"/>
      <c r="B4633" s="46" t="inlineStr">
        <is>
          <t>45027</t>
        </is>
      </c>
      <c r="C4633" s="46">
        <f>LEFT(Tableau1[[#This Row],[Formacode]],3)</f>
        <v/>
      </c>
      <c r="D4633" s="47" t="n">
        <v>40003</v>
      </c>
      <c r="E4633" s="48">
        <f>"RNCP"&amp;D4633</f>
        <v/>
      </c>
      <c r="F4633" s="48" t="inlineStr">
        <is>
          <t>Décorateur</t>
        </is>
      </c>
      <c r="G4633" s="49">
        <f>E4633&amp;" - "&amp;F4633</f>
        <v/>
      </c>
      <c r="H4633" s="36" t="inlineStr">
        <is>
          <t>RAS</t>
        </is>
      </c>
      <c r="I4633" s="45" t="inlineStr"/>
      <c r="J4633" s="45" t="inlineStr">
        <is>
          <t>RNCP40003</t>
        </is>
      </c>
      <c r="K4633" s="45" t="inlineStr">
        <is>
          <t>Décorateur</t>
        </is>
      </c>
      <c r="L4633" s="45" t="inlineStr">
        <is>
          <t>31/12/2030</t>
        </is>
      </c>
      <c r="M4633" s="45" t="inlineStr"/>
      <c r="N4633" s="50" t="inlineStr">
        <is>
          <t>NON</t>
        </is>
      </c>
      <c r="O4633" s="45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31/12/2030</t>
        </is>
      </c>
      <c r="M4634" s="45" t="inlineStr"/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31/12/2030</t>
        </is>
      </c>
      <c r="M4635" s="45" t="inlineStr"/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31/12/2030</t>
        </is>
      </c>
      <c r="M4636" s="45" t="inlineStr"/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31/12/2030</t>
        </is>
      </c>
      <c r="M4637" s="45" t="inlineStr"/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31/12/2030</t>
        </is>
      </c>
      <c r="M4638" s="45" t="inlineStr"/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31/12/2030</t>
        </is>
      </c>
      <c r="M4639" s="45" t="inlineStr"/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31/12/2030</t>
        </is>
      </c>
      <c r="M4640" s="45" t="inlineStr"/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Grade_Master - Créateur industriel</t>
        </is>
      </c>
      <c r="L4641" s="45" t="inlineStr">
        <is>
          <t>31/12/2030</t>
        </is>
      </c>
      <c r="M4641" s="45" t="inlineStr"/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31/12/2030</t>
        </is>
      </c>
      <c r="M4642" s="45" t="inlineStr"/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TP - Restaurateur de meubles d'art, anciens et contemporains</t>
        </is>
      </c>
      <c r="L4643" s="45" t="inlineStr">
        <is>
          <t>31/12/2030</t>
        </is>
      </c>
      <c r="M4643" s="45" t="inlineStr"/>
      <c r="N4643" s="50" t="inlineStr">
        <is>
          <t>NON</t>
        </is>
      </c>
      <c r="O4643" s="45" t="inlineStr"/>
    </row>
    <row r="4644" customFormat="1" s="3">
      <c r="A4644" s="45" t="n"/>
      <c r="B4644" s="46" t="inlineStr">
        <is>
          <t>45038</t>
        </is>
      </c>
      <c r="C4644" s="46">
        <f>LEFT(Tableau1[[#This Row],[Formacode]],3)</f>
        <v/>
      </c>
      <c r="D4644" s="47" t="n">
        <v>39492</v>
      </c>
      <c r="E4644" s="48">
        <f>"RNCP"&amp;D4644</f>
        <v/>
      </c>
      <c r="F4644" s="48" t="inlineStr">
        <is>
          <t>CAP - Rentrayeur - option A tapis, option B tapisserie</t>
        </is>
      </c>
      <c r="G4644" s="49">
        <f>E4644&amp;" - "&amp;F4644</f>
        <v/>
      </c>
      <c r="H4644" s="36" t="inlineStr">
        <is>
          <t>RAS</t>
        </is>
      </c>
      <c r="I4644" s="45" t="inlineStr"/>
      <c r="J4644" s="45" t="inlineStr">
        <is>
          <t>RNCP39492</t>
        </is>
      </c>
      <c r="K4644" s="45" t="inlineStr">
        <is>
          <t>CAP - Rentrayeur - option A tapis, option B tapisserie</t>
        </is>
      </c>
      <c r="L4644" s="45" t="inlineStr">
        <is>
          <t>31/12/2030</t>
        </is>
      </c>
      <c r="M4644" s="45" t="inlineStr"/>
      <c r="N4644" s="50" t="inlineStr">
        <is>
          <t>NON</t>
        </is>
      </c>
      <c r="O4644" s="45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CAP - Accessoiriste réalisateur</t>
        </is>
      </c>
      <c r="L4645" s="45" t="inlineStr">
        <is>
          <t>31/12/2030</t>
        </is>
      </c>
      <c r="M4645" s="45" t="inlineStr"/>
      <c r="N4645" s="50" t="inlineStr">
        <is>
          <t>NON</t>
        </is>
      </c>
      <c r="O4645" s="45" t="inlineStr"/>
    </row>
    <row r="4646" customFormat="1" s="3">
      <c r="A4646" s="45" t="n"/>
      <c r="B4646" s="46" t="inlineStr">
        <is>
          <t>45042</t>
        </is>
      </c>
      <c r="C4646" s="46">
        <f>LEFT(Tableau1[[#This Row],[Formacode]],3)</f>
        <v/>
      </c>
      <c r="D4646" s="47" t="n">
        <v>37611</v>
      </c>
      <c r="E4646" s="48">
        <f>"RNCP"&amp;D4646</f>
        <v/>
      </c>
      <c r="F4646" s="48" t="inlineStr">
        <is>
          <t>Régisseur général du spectacle et de l'évènementiel</t>
        </is>
      </c>
      <c r="G4646" s="49">
        <f>E4646&amp;" - "&amp;F4646</f>
        <v/>
      </c>
      <c r="H4646" s="36" t="inlineStr">
        <is>
          <t>RAS</t>
        </is>
      </c>
      <c r="I4646" s="45" t="inlineStr"/>
      <c r="J4646" s="45" t="inlineStr">
        <is>
          <t>RNCP37611</t>
        </is>
      </c>
      <c r="K4646" s="45" t="inlineStr">
        <is>
          <t>Régisseur général du spectacle et de l'évènementiel</t>
        </is>
      </c>
      <c r="L4646" s="45" t="inlineStr">
        <is>
          <t>31/12/2030</t>
        </is>
      </c>
      <c r="M4646" s="45" t="inlineStr"/>
      <c r="N4646" s="50" t="inlineStr">
        <is>
          <t>NON</t>
        </is>
      </c>
      <c r="O4646" s="45" t="inlineStr"/>
    </row>
    <row r="4647" customFormat="1" s="3">
      <c r="A4647" s="45" t="n"/>
      <c r="B4647" s="46" t="inlineStr">
        <is>
          <t>45042</t>
        </is>
      </c>
      <c r="C4647" s="46">
        <f>LEFT(Tableau1[[#This Row],[Formacode]],3)</f>
        <v/>
      </c>
      <c r="D4647" s="47" t="n">
        <v>37634</v>
      </c>
      <c r="E4647" s="48">
        <f>"RNCP"&amp;D4647</f>
        <v/>
      </c>
      <c r="F4647" s="48" t="inlineStr">
        <is>
          <t>Régisseur technique du spectacle et de l'évènementiel</t>
        </is>
      </c>
      <c r="G4647" s="49">
        <f>E4647&amp;" - "&amp;F4647</f>
        <v/>
      </c>
      <c r="H4647" s="36" t="inlineStr">
        <is>
          <t>RAS</t>
        </is>
      </c>
      <c r="I4647" s="45" t="inlineStr"/>
      <c r="J4647" s="45" t="inlineStr">
        <is>
          <t>RNCP37634</t>
        </is>
      </c>
      <c r="K4647" s="45" t="inlineStr">
        <is>
          <t>Régisseur technique du spectacle et de l'évènementiel</t>
        </is>
      </c>
      <c r="L4647" s="45" t="inlineStr">
        <is>
          <t>31/12/2030</t>
        </is>
      </c>
      <c r="M4647" s="45" t="inlineStr"/>
      <c r="N4647" s="50" t="inlineStr">
        <is>
          <t>NON</t>
        </is>
      </c>
      <c r="O4647" s="45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31/12/2030</t>
        </is>
      </c>
      <c r="M4648" s="45" t="inlineStr"/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31/12/2030</t>
        </is>
      </c>
      <c r="M4649" s="45" t="inlineStr"/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31/12/2030</t>
        </is>
      </c>
      <c r="M4650" s="45" t="inlineStr"/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31/12/2030</t>
        </is>
      </c>
      <c r="M4651" s="45" t="inlineStr"/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31/12/2030</t>
        </is>
      </c>
      <c r="M4652" s="45" t="inlineStr"/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31/12/2030</t>
        </is>
      </c>
      <c r="M4653" s="45" t="inlineStr"/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TP - Peintre décorateur</t>
        </is>
      </c>
      <c r="L4654" s="45" t="inlineStr">
        <is>
          <t>31/12/2030</t>
        </is>
      </c>
      <c r="M4654" s="45" t="inlineStr"/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31/12/2030</t>
        </is>
      </c>
      <c r="M4655" s="45" t="inlineStr"/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31/12/2030</t>
        </is>
      </c>
      <c r="M4656" s="45" t="inlineStr"/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31/12/2030</t>
        </is>
      </c>
      <c r="M4657" s="45" t="inlineStr"/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31/12/2030</t>
        </is>
      </c>
      <c r="M4658" s="45" t="inlineStr"/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31/12/2030</t>
        </is>
      </c>
      <c r="M4659" s="45" t="inlineStr"/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31/12/2030</t>
        </is>
      </c>
      <c r="M4660" s="45" t="inlineStr"/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CAP - Arts du bois</t>
        </is>
      </c>
      <c r="L4661" s="45" t="inlineStr">
        <is>
          <t>31/12/2030</t>
        </is>
      </c>
      <c r="M4661" s="45" t="inlineStr"/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BAC PRO - Métiers et arts de la pierre</t>
        </is>
      </c>
      <c r="L4662" s="45" t="inlineStr">
        <is>
          <t>31/12/2030</t>
        </is>
      </c>
      <c r="M4662" s="45" t="inlineStr"/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CAP - Métiers de la gravure options "gravure d'ornementation", "gravure d'impression", "gravure en modelé", "marquage poinçonnage"</t>
        </is>
      </c>
      <c r="L4663" s="45" t="inlineStr">
        <is>
          <t>31/12/2030</t>
        </is>
      </c>
      <c r="M4663" s="45" t="inlineStr"/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31/12/2030</t>
        </is>
      </c>
      <c r="M4664" s="45" t="inlineStr"/>
      <c r="N4664" s="50" t="inlineStr">
        <is>
          <t>NON</t>
        </is>
      </c>
      <c r="O4664" s="45" t="inlineStr"/>
    </row>
    <row r="4665" customFormat="1" s="3">
      <c r="A4665" s="45" t="n"/>
      <c r="B4665" s="46" t="inlineStr">
        <is>
          <t>45075</t>
        </is>
      </c>
      <c r="C4665" s="46">
        <f>LEFT(Tableau1[[#This Row],[Formacode]],3)</f>
        <v/>
      </c>
      <c r="D4665" s="47" t="n">
        <v>38947</v>
      </c>
      <c r="E4665" s="48">
        <f>"RNCP"&amp;D4665</f>
        <v/>
      </c>
      <c r="F4665" s="48" t="inlineStr">
        <is>
          <t>Manager du commerce de l'art</t>
        </is>
      </c>
      <c r="G4665" s="49">
        <f>E4665&amp;" - "&amp;F4665</f>
        <v/>
      </c>
      <c r="H4665" s="36" t="inlineStr">
        <is>
          <t>RAS</t>
        </is>
      </c>
      <c r="I4665" s="45" t="inlineStr"/>
      <c r="J4665" s="45" t="inlineStr">
        <is>
          <t>RNCP38947</t>
        </is>
      </c>
      <c r="K4665" s="45" t="inlineStr">
        <is>
          <t>Manager du commerce de l'art</t>
        </is>
      </c>
      <c r="L4665" s="45" t="inlineStr">
        <is>
          <t>31/12/2030</t>
        </is>
      </c>
      <c r="M4665" s="45" t="inlineStr"/>
      <c r="N4665" s="50" t="inlineStr">
        <is>
          <t>NON</t>
        </is>
      </c>
      <c r="O4665" s="45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31/12/2030</t>
        </is>
      </c>
      <c r="M4666" s="45" t="inlineStr"/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31/12/2030</t>
        </is>
      </c>
      <c r="M4667" s="45" t="inlineStr"/>
      <c r="N4667" s="50" t="inlineStr">
        <is>
          <t>NON</t>
        </is>
      </c>
      <c r="O4667" s="45" t="inlineStr"/>
    </row>
    <row r="4668" customFormat="1" s="3">
      <c r="A4668" s="45" t="n"/>
      <c r="B4668" s="46" t="inlineStr">
        <is>
          <t>45085</t>
        </is>
      </c>
      <c r="C4668" s="46">
        <f>LEFT(Tableau1[[#This Row],[Formacode]],3)</f>
        <v/>
      </c>
      <c r="D4668" s="47" t="n">
        <v>37742</v>
      </c>
      <c r="E4668" s="48">
        <f>"RNCP"&amp;D4668</f>
        <v/>
      </c>
      <c r="F4668" s="48" t="inlineStr">
        <is>
          <t>Initiateur aux arts du cirque</t>
        </is>
      </c>
      <c r="G4668" s="49">
        <f>E4668&amp;" - "&amp;F4668</f>
        <v/>
      </c>
      <c r="H4668" s="36" t="inlineStr">
        <is>
          <t>RAS</t>
        </is>
      </c>
      <c r="I4668" s="45" t="inlineStr"/>
      <c r="J4668" s="45" t="inlineStr">
        <is>
          <t>RNCP37742</t>
        </is>
      </c>
      <c r="K4668" s="45" t="inlineStr">
        <is>
          <t>Initiateur aux arts du cirque</t>
        </is>
      </c>
      <c r="L4668" s="45" t="inlineStr">
        <is>
          <t>31/12/2030</t>
        </is>
      </c>
      <c r="M4668" s="45" t="inlineStr"/>
      <c r="N4668" s="50" t="inlineStr">
        <is>
          <t>NON</t>
        </is>
      </c>
      <c r="O4668" s="45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CAP - Staffeur ornemaniste</t>
        </is>
      </c>
      <c r="L4669" s="45" t="inlineStr">
        <is>
          <t>31/12/2030</t>
        </is>
      </c>
      <c r="M4669" s="45" t="inlineStr"/>
      <c r="N4669" s="50" t="inlineStr">
        <is>
          <t>NON</t>
        </is>
      </c>
      <c r="O4669" s="45" t="inlineStr"/>
    </row>
    <row r="4670" customFormat="1" s="3">
      <c r="A4670" s="45" t="n"/>
      <c r="B4670" s="46" t="inlineStr">
        <is>
          <t>45501</t>
        </is>
      </c>
      <c r="C4670" s="46">
        <f>LEFT(Tableau1[[#This Row],[Formacode]],3)</f>
        <v/>
      </c>
      <c r="D4670" s="47" t="n">
        <v>38711</v>
      </c>
      <c r="E4670" s="48">
        <f>"RNCP"&amp;D4670</f>
        <v/>
      </c>
      <c r="F4670" s="48" t="inlineStr">
        <is>
          <t>CS - Peinture décoration</t>
        </is>
      </c>
      <c r="G4670" s="49">
        <f>E4670&amp;" - "&amp;F4670</f>
        <v/>
      </c>
      <c r="H4670" s="36" t="inlineStr">
        <is>
          <t>RAS</t>
        </is>
      </c>
      <c r="I4670" s="45" t="inlineStr"/>
      <c r="J4670" s="45" t="inlineStr">
        <is>
          <t>RNCP38711</t>
        </is>
      </c>
      <c r="K4670" s="45" t="inlineStr">
        <is>
          <t>CS - Peinture décoration</t>
        </is>
      </c>
      <c r="L4670" s="45" t="inlineStr">
        <is>
          <t>31/12/2030</t>
        </is>
      </c>
      <c r="M4670" s="45" t="inlineStr"/>
      <c r="N4670" s="50" t="inlineStr">
        <is>
          <t>NON</t>
        </is>
      </c>
      <c r="O4670" s="45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CAP - Menuisier en sièges</t>
        </is>
      </c>
      <c r="L4671" s="45" t="inlineStr">
        <is>
          <t>31/12/2030</t>
        </is>
      </c>
      <c r="M4671" s="45" t="inlineStr"/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TP - Peintre décorateur</t>
        </is>
      </c>
      <c r="L4672" s="45" t="inlineStr">
        <is>
          <t>31/12/2030</t>
        </is>
      </c>
      <c r="M4672" s="45" t="inlineStr"/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TP - Peintre applicateur de revêtements techniques</t>
        </is>
      </c>
      <c r="L4673" s="45" t="inlineStr">
        <is>
          <t>31/12/2030</t>
        </is>
      </c>
      <c r="M4673" s="45" t="inlineStr"/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31/12/2030</t>
        </is>
      </c>
      <c r="M4674" s="45" t="inlineStr"/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31/12/2030</t>
        </is>
      </c>
      <c r="M4675" s="45" t="inlineStr"/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CAP - Staffeur ornemaniste</t>
        </is>
      </c>
      <c r="L4676" s="45" t="inlineStr">
        <is>
          <t>31/12/2030</t>
        </is>
      </c>
      <c r="M4676" s="45" t="inlineStr"/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BAC PRO - Métiers et arts de la pierre</t>
        </is>
      </c>
      <c r="L4677" s="45" t="inlineStr">
        <is>
          <t>31/12/2030</t>
        </is>
      </c>
      <c r="M4677" s="45" t="inlineStr"/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CAP - Tailleur de pierre</t>
        </is>
      </c>
      <c r="L4678" s="45" t="inlineStr">
        <is>
          <t>31/12/2030</t>
        </is>
      </c>
      <c r="M4678" s="45" t="inlineStr"/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CAP - Marbrier du bâtiment et de la décoration</t>
        </is>
      </c>
      <c r="L4679" s="45" t="inlineStr">
        <is>
          <t>31/12/2030</t>
        </is>
      </c>
      <c r="M4679" s="45" t="inlineStr"/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TP - Tailleur de pierre</t>
        </is>
      </c>
      <c r="L4680" s="45" t="inlineStr">
        <is>
          <t>31/12/2030</t>
        </is>
      </c>
      <c r="M4680" s="45" t="inlineStr"/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BP - Métiers de la pierre</t>
        </is>
      </c>
      <c r="L4681" s="45" t="inlineStr">
        <is>
          <t>31/12/2030</t>
        </is>
      </c>
      <c r="M4681" s="45" t="inlineStr"/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CAP - Menuisier en sièges</t>
        </is>
      </c>
      <c r="L4682" s="45" t="inlineStr">
        <is>
          <t>31/12/2030</t>
        </is>
      </c>
      <c r="M4682" s="45" t="inlineStr"/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BP - Tailleur de pierre / Appareilleur monuments historiques</t>
        </is>
      </c>
      <c r="L4683" s="45" t="inlineStr">
        <is>
          <t>31/12/2030</t>
        </is>
      </c>
      <c r="M4683" s="45" t="inlineStr"/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CAP - Staffeur ornemaniste</t>
        </is>
      </c>
      <c r="L4684" s="45" t="inlineStr">
        <is>
          <t>31/12/2030</t>
        </is>
      </c>
      <c r="M4684" s="45" t="inlineStr"/>
      <c r="N4684" s="50" t="inlineStr">
        <is>
          <t>NON</t>
        </is>
      </c>
      <c r="O4684" s="45" t="inlineStr"/>
    </row>
    <row r="4685" customFormat="1" s="3">
      <c r="A4685" s="45" t="n"/>
      <c r="B4685" s="46" t="inlineStr">
        <is>
          <t>45504</t>
        </is>
      </c>
      <c r="C4685" s="46">
        <f>LEFT(Tableau1[[#This Row],[Formacode]],3)</f>
        <v/>
      </c>
      <c r="D4685" s="47" t="n">
        <v>39492</v>
      </c>
      <c r="E4685" s="48">
        <f>"RNCP"&amp;D4685</f>
        <v/>
      </c>
      <c r="F4685" s="48" t="inlineStr">
        <is>
          <t>CAP - Rentrayeur - option A tapis, option B tapisserie</t>
        </is>
      </c>
      <c r="G4685" s="49">
        <f>E4685&amp;" - "&amp;F4685</f>
        <v/>
      </c>
      <c r="H4685" s="36" t="inlineStr">
        <is>
          <t>RAS</t>
        </is>
      </c>
      <c r="I4685" s="45" t="inlineStr"/>
      <c r="J4685" s="45" t="inlineStr">
        <is>
          <t>RNCP39492</t>
        </is>
      </c>
      <c r="K4685" s="45" t="inlineStr">
        <is>
          <t>CAP - Rentrayeur - option A tapis, option B tapisserie</t>
        </is>
      </c>
      <c r="L4685" s="45" t="inlineStr">
        <is>
          <t>31/12/2030</t>
        </is>
      </c>
      <c r="M4685" s="45" t="inlineStr"/>
      <c r="N4685" s="50" t="inlineStr">
        <is>
          <t>NON</t>
        </is>
      </c>
      <c r="O4685" s="45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CAP - Menuisier en sièges</t>
        </is>
      </c>
      <c r="L4686" s="45" t="inlineStr">
        <is>
          <t>31/12/2030</t>
        </is>
      </c>
      <c r="M4686" s="45" t="inlineStr"/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CAP - Staffeur ornemaniste</t>
        </is>
      </c>
      <c r="L4687" s="45" t="inlineStr">
        <is>
          <t>31/12/2030</t>
        </is>
      </c>
      <c r="M4687" s="45" t="inlineStr"/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CAP - Menuisier en sièges</t>
        </is>
      </c>
      <c r="L4688" s="45" t="inlineStr">
        <is>
          <t>31/12/2030</t>
        </is>
      </c>
      <c r="M4688" s="45" t="inlineStr"/>
      <c r="N4688" s="50" t="inlineStr">
        <is>
          <t>NON</t>
        </is>
      </c>
      <c r="O4688" s="45" t="inlineStr"/>
    </row>
    <row r="4689" customFormat="1" s="3">
      <c r="A4689" s="45" t="n"/>
      <c r="B4689" s="46" t="inlineStr">
        <is>
          <t>45511</t>
        </is>
      </c>
      <c r="C4689" s="46">
        <f>LEFT(Tableau1[[#This Row],[Formacode]],3)</f>
        <v/>
      </c>
      <c r="D4689" s="47" t="n">
        <v>39714</v>
      </c>
      <c r="E4689" s="48">
        <f>"RNCP"&amp;D4689</f>
        <v/>
      </c>
      <c r="F4689" s="48" t="inlineStr">
        <is>
          <t>CAP - Arts du tapis et de la  tapisserie de lisse</t>
        </is>
      </c>
      <c r="G4689" s="49">
        <f>E4689&amp;" - "&amp;F4689</f>
        <v/>
      </c>
      <c r="H4689" s="36" t="inlineStr">
        <is>
          <t>RAS</t>
        </is>
      </c>
      <c r="I4689" s="45" t="inlineStr"/>
      <c r="J4689" s="45" t="inlineStr">
        <is>
          <t>RNCP39714</t>
        </is>
      </c>
      <c r="K4689" s="45" t="inlineStr">
        <is>
          <t>CAP - Arts du tapis et de la  tapisserie de lisse</t>
        </is>
      </c>
      <c r="L4689" s="45" t="inlineStr">
        <is>
          <t>31/12/2030</t>
        </is>
      </c>
      <c r="M4689" s="45" t="inlineStr"/>
      <c r="N4689" s="50" t="inlineStr">
        <is>
          <t>NON</t>
        </is>
      </c>
      <c r="O4689" s="45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CAP - Staffeur ornemaniste</t>
        </is>
      </c>
      <c r="L4690" s="45" t="inlineStr">
        <is>
          <t>31/12/2030</t>
        </is>
      </c>
      <c r="M4690" s="45" t="inlineStr"/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CAP - Menuisier en sièges</t>
        </is>
      </c>
      <c r="L4691" s="45" t="inlineStr">
        <is>
          <t>31/12/2030</t>
        </is>
      </c>
      <c r="M4691" s="45" t="inlineStr"/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CAP - Staffeur ornemaniste</t>
        </is>
      </c>
      <c r="L4692" s="45" t="inlineStr">
        <is>
          <t>31/12/2030</t>
        </is>
      </c>
      <c r="M4692" s="45" t="inlineStr"/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CAP - Encadreur</t>
        </is>
      </c>
      <c r="L4693" s="45" t="inlineStr">
        <is>
          <t>31/12/2030</t>
        </is>
      </c>
      <c r="M4693" s="45" t="inlineStr"/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CAP - Menuisier en sièges</t>
        </is>
      </c>
      <c r="L4694" s="45" t="inlineStr">
        <is>
          <t>31/12/2030</t>
        </is>
      </c>
      <c r="M4694" s="45" t="inlineStr"/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CAP - Staffeur ornemaniste</t>
        </is>
      </c>
      <c r="L4695" s="45" t="inlineStr">
        <is>
          <t>31/12/2030</t>
        </is>
      </c>
      <c r="M4695" s="45" t="inlineStr"/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CAP - Menuisier en sièges</t>
        </is>
      </c>
      <c r="L4696" s="45" t="inlineStr">
        <is>
          <t>31/12/2030</t>
        </is>
      </c>
      <c r="M4696" s="45" t="inlineStr"/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CAP - Staffeur ornemaniste</t>
        </is>
      </c>
      <c r="L4697" s="45" t="inlineStr">
        <is>
          <t>31/12/2030</t>
        </is>
      </c>
      <c r="M4697" s="45" t="inlineStr"/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CAP - Menuisier en sièges</t>
        </is>
      </c>
      <c r="L4698" s="45" t="inlineStr">
        <is>
          <t>31/12/2030</t>
        </is>
      </c>
      <c r="M4698" s="45" t="inlineStr"/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CAP - Staffeur ornemaniste</t>
        </is>
      </c>
      <c r="L4699" s="45" t="inlineStr">
        <is>
          <t>31/12/2030</t>
        </is>
      </c>
      <c r="M4699" s="45" t="inlineStr"/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CAP - Menuisier en sièges</t>
        </is>
      </c>
      <c r="L4700" s="45" t="inlineStr">
        <is>
          <t>31/12/2030</t>
        </is>
      </c>
      <c r="M4700" s="45" t="inlineStr"/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CAP - Staffeur ornemaniste</t>
        </is>
      </c>
      <c r="L4701" s="45" t="inlineStr">
        <is>
          <t>31/12/2030</t>
        </is>
      </c>
      <c r="M4701" s="45" t="inlineStr"/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CAP - Vannerie</t>
        </is>
      </c>
      <c r="L4702" s="45" t="inlineStr">
        <is>
          <t>31/12/2030</t>
        </is>
      </c>
      <c r="M4702" s="45" t="inlineStr"/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CAP - Menuisier en sièges</t>
        </is>
      </c>
      <c r="L4703" s="45" t="inlineStr">
        <is>
          <t>31/12/2030</t>
        </is>
      </c>
      <c r="M4703" s="45" t="inlineStr"/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CAP - Cannage et paillage en ameublement</t>
        </is>
      </c>
      <c r="L4704" s="45" t="inlineStr">
        <is>
          <t>31/12/2030</t>
        </is>
      </c>
      <c r="M4704" s="45" t="inlineStr"/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CAP - Staffeur ornemaniste</t>
        </is>
      </c>
      <c r="L4705" s="45" t="inlineStr">
        <is>
          <t>31/12/2030</t>
        </is>
      </c>
      <c r="M4705" s="45" t="inlineStr"/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CAP - Menuisier en sièges</t>
        </is>
      </c>
      <c r="L4706" s="45" t="inlineStr">
        <is>
          <t>31/12/2030</t>
        </is>
      </c>
      <c r="M4706" s="45" t="inlineStr"/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TP - Tapissier-couturier d'ameublement</t>
        </is>
      </c>
      <c r="L4707" s="45" t="inlineStr">
        <is>
          <t>31/12/2030</t>
        </is>
      </c>
      <c r="M4707" s="45" t="inlineStr"/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TP - Tapissier garnisseur</t>
        </is>
      </c>
      <c r="L4708" s="45" t="inlineStr">
        <is>
          <t>31/12/2030</t>
        </is>
      </c>
      <c r="M4708" s="45" t="inlineStr"/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CAP - Staffeur ornemaniste</t>
        </is>
      </c>
      <c r="L4709" s="45" t="inlineStr">
        <is>
          <t>31/12/2030</t>
        </is>
      </c>
      <c r="M4709" s="45" t="inlineStr"/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BP - Ameublement tapisserie décoration</t>
        </is>
      </c>
      <c r="L4710" s="45" t="inlineStr">
        <is>
          <t>31/12/2030</t>
        </is>
      </c>
      <c r="M4710" s="45" t="inlineStr"/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CAP - Tapissier d'ameublement en décor</t>
        </is>
      </c>
      <c r="L4711" s="45" t="inlineStr">
        <is>
          <t>31/12/2030</t>
        </is>
      </c>
      <c r="M4711" s="45" t="inlineStr"/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CAP - Tapissier d'ameublement en siège</t>
        </is>
      </c>
      <c r="L4712" s="45" t="inlineStr">
        <is>
          <t>31/12/2030</t>
        </is>
      </c>
      <c r="M4712" s="45" t="inlineStr"/>
      <c r="N4712" s="50" t="inlineStr">
        <is>
          <t>NON</t>
        </is>
      </c>
      <c r="O4712" s="45" t="inlineStr"/>
    </row>
    <row r="4713" customFormat="1" s="3">
      <c r="A4713" s="45" t="n"/>
      <c r="B4713" s="46" t="inlineStr">
        <is>
          <t>45523</t>
        </is>
      </c>
      <c r="C4713" s="46">
        <f>LEFT(Tableau1[[#This Row],[Formacode]],3)</f>
        <v/>
      </c>
      <c r="D4713" s="47" t="n">
        <v>39492</v>
      </c>
      <c r="E4713" s="48">
        <f>"RNCP"&amp;D4713</f>
        <v/>
      </c>
      <c r="F4713" s="48" t="inlineStr">
        <is>
          <t>CAP - Rentrayeur - option A tapis, option B tapisserie</t>
        </is>
      </c>
      <c r="G4713" s="49">
        <f>E4713&amp;" - "&amp;F4713</f>
        <v/>
      </c>
      <c r="H4713" s="36" t="inlineStr">
        <is>
          <t>RAS</t>
        </is>
      </c>
      <c r="I4713" s="45" t="inlineStr"/>
      <c r="J4713" s="45" t="inlineStr">
        <is>
          <t>RNCP39492</t>
        </is>
      </c>
      <c r="K4713" s="45" t="inlineStr">
        <is>
          <t>CAP - Rentrayeur - option A tapis, option B tapisserie</t>
        </is>
      </c>
      <c r="L4713" s="45" t="inlineStr">
        <is>
          <t>31/12/2030</t>
        </is>
      </c>
      <c r="M4713" s="45" t="inlineStr"/>
      <c r="N4713" s="50" t="inlineStr">
        <is>
          <t>NON</t>
        </is>
      </c>
      <c r="O4713" s="45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CAP - Menuisier en sièges</t>
        </is>
      </c>
      <c r="L4714" s="45" t="inlineStr">
        <is>
          <t>31/12/2030</t>
        </is>
      </c>
      <c r="M4714" s="45" t="inlineStr"/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CAP - Staffeur ornemaniste</t>
        </is>
      </c>
      <c r="L4715" s="45" t="inlineStr">
        <is>
          <t>31/12/2030</t>
        </is>
      </c>
      <c r="M4715" s="45" t="inlineStr"/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CAP - Menuisier en sièges</t>
        </is>
      </c>
      <c r="L4716" s="45" t="inlineStr">
        <is>
          <t>31/12/2030</t>
        </is>
      </c>
      <c r="M4716" s="45" t="inlineStr"/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CAP - Art et techniques de la bijouterie-joaillerie options bijouterie-joaillerie, bijouterie sertissage et polissage finition</t>
        </is>
      </c>
      <c r="L4717" s="45" t="inlineStr">
        <is>
          <t>31/12/2030</t>
        </is>
      </c>
      <c r="M4717" s="45" t="inlineStr"/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CAP - Staffeur ornemaniste</t>
        </is>
      </c>
      <c r="L4718" s="45" t="inlineStr">
        <is>
          <t>31/12/2030</t>
        </is>
      </c>
      <c r="M4718" s="45" t="inlineStr"/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CS - Joaillerie</t>
        </is>
      </c>
      <c r="L4719" s="45" t="inlineStr">
        <is>
          <t>31/12/2030</t>
        </is>
      </c>
      <c r="M4719" s="45" t="inlineStr"/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BP - Gemmologue</t>
        </is>
      </c>
      <c r="L4720" s="45" t="inlineStr">
        <is>
          <t>31/12/2030</t>
        </is>
      </c>
      <c r="M4720" s="45" t="inlineStr"/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CS - Bijoux de mode</t>
        </is>
      </c>
      <c r="L4721" s="45" t="inlineStr">
        <is>
          <t>31/12/2030</t>
        </is>
      </c>
      <c r="M4721" s="45" t="inlineStr"/>
      <c r="N4721" s="50" t="inlineStr">
        <is>
          <t>NON</t>
        </is>
      </c>
      <c r="O4721" s="45" t="inlineStr"/>
    </row>
    <row r="4722" customFormat="1" s="3">
      <c r="A4722" s="45" t="n"/>
      <c r="B4722" s="46" t="inlineStr">
        <is>
          <t>45529</t>
        </is>
      </c>
      <c r="C4722" s="46">
        <f>LEFT(Tableau1[[#This Row],[Formacode]],3)</f>
        <v/>
      </c>
      <c r="D4722" s="47" t="n">
        <v>39031</v>
      </c>
      <c r="E4722" s="48">
        <f>"RNCP"&amp;D4722</f>
        <v/>
      </c>
      <c r="F4722" s="48" t="inlineStr">
        <is>
          <t>CAP - Emailleur d'art sur métaux</t>
        </is>
      </c>
      <c r="G4722" s="49">
        <f>E4722&amp;" - "&amp;F4722</f>
        <v/>
      </c>
      <c r="H4722" s="36" t="inlineStr">
        <is>
          <t>RAS</t>
        </is>
      </c>
      <c r="I4722" s="45" t="inlineStr"/>
      <c r="J4722" s="45" t="inlineStr">
        <is>
          <t>RNCP39031</t>
        </is>
      </c>
      <c r="K4722" s="45" t="inlineStr">
        <is>
          <t>CAP - Emailleur d'art sur métaux</t>
        </is>
      </c>
      <c r="L4722" s="45" t="inlineStr">
        <is>
          <t>31/12/2030</t>
        </is>
      </c>
      <c r="M4722" s="45" t="inlineStr"/>
      <c r="N4722" s="50" t="inlineStr">
        <is>
          <t>NON</t>
        </is>
      </c>
      <c r="O4722" s="45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CAP - Menuisier en sièges</t>
        </is>
      </c>
      <c r="L4723" s="45" t="inlineStr">
        <is>
          <t>31/12/2030</t>
        </is>
      </c>
      <c r="M4723" s="45" t="inlineStr"/>
      <c r="N4723" s="50" t="inlineStr">
        <is>
          <t>NON</t>
        </is>
      </c>
      <c r="O4723" s="45" t="inlineStr"/>
    </row>
    <row r="4724" ht="28.8" customFormat="1" customHeight="1" s="3">
      <c r="A4724" s="45" t="n"/>
      <c r="B4724" s="46" t="inlineStr">
        <is>
          <t>45529</t>
        </is>
      </c>
      <c r="C4724" s="46">
        <f>LEFT(Tableau1[[#This Row],[Formacode]],3)</f>
        <v/>
      </c>
      <c r="D4724" s="47" t="n">
        <v>39788</v>
      </c>
      <c r="E4724" s="48">
        <f>"RNCP"&amp;D4724</f>
        <v/>
      </c>
      <c r="F4724" s="48" t="inlineStr">
        <is>
          <t>CAP - Orfèvre options : A : monteur en orfèvrerie ; B : tourneur repousseur en orfèvrerie ; C : polisseur aviveur en orfèvrerie ; D : planeur en orfèvrerie</t>
        </is>
      </c>
      <c r="G4724" s="49">
        <f>E4724&amp;" - "&amp;F4724</f>
        <v/>
      </c>
      <c r="H4724" s="36" t="inlineStr">
        <is>
          <t>RAS</t>
        </is>
      </c>
      <c r="I4724" s="45" t="inlineStr"/>
      <c r="J4724" s="45" t="inlineStr">
        <is>
          <t>RNCP39788</t>
        </is>
      </c>
      <c r="K4724" s="45" t="inlineStr">
        <is>
          <t>CAP - Orfèvre options : A : monteur en orfèvrerie ; B : tourneur repousseur en orfèvrerie ; C : polisseur aviveur en orfèvrerie ; D : planeur en orfèvrerie</t>
        </is>
      </c>
      <c r="L4724" s="45" t="inlineStr">
        <is>
          <t>31/12/2030</t>
        </is>
      </c>
      <c r="M4724" s="45" t="inlineStr"/>
      <c r="N4724" s="50" t="inlineStr">
        <is>
          <t>NON</t>
        </is>
      </c>
      <c r="O4724" s="45" t="inlineStr"/>
    </row>
    <row r="4725" customFormat="1" s="3">
      <c r="A4725" s="45" t="n"/>
      <c r="B4725" s="46" t="inlineStr">
        <is>
          <t>45529</t>
        </is>
      </c>
      <c r="C4725" s="46">
        <f>LEFT(Tableau1[[#This Row],[Formacode]],3)</f>
        <v/>
      </c>
      <c r="D4725" s="47" t="n">
        <v>39807</v>
      </c>
      <c r="E4725" s="48">
        <f>"RNCP"&amp;D4725</f>
        <v/>
      </c>
      <c r="F4725" s="48" t="inlineStr">
        <is>
          <t>CAP - Lapidaire options Diamant et Pierres de couleur</t>
        </is>
      </c>
      <c r="G4725" s="49">
        <f>E4725&amp;" - "&amp;F4725</f>
        <v/>
      </c>
      <c r="H4725" s="36" t="inlineStr">
        <is>
          <t>RAS</t>
        </is>
      </c>
      <c r="I4725" s="45" t="inlineStr"/>
      <c r="J4725" s="45" t="inlineStr">
        <is>
          <t>RNCP39807</t>
        </is>
      </c>
      <c r="K4725" s="45" t="inlineStr">
        <is>
          <t>CAP - Lapidaire options Diamant et Pierres de couleur</t>
        </is>
      </c>
      <c r="L4725" s="45" t="inlineStr">
        <is>
          <t>31/12/2030</t>
        </is>
      </c>
      <c r="M4725" s="45" t="inlineStr"/>
      <c r="N4725" s="50" t="inlineStr">
        <is>
          <t>NON</t>
        </is>
      </c>
      <c r="O4725" s="45" t="inlineStr"/>
    </row>
    <row r="4726" customFormat="1" s="3">
      <c r="A4726" s="45" t="n"/>
      <c r="B4726" s="46" t="inlineStr">
        <is>
          <t>45531</t>
        </is>
      </c>
      <c r="C4726" s="46">
        <f>LEFT(Tableau1[[#This Row],[Formacode]],3)</f>
        <v/>
      </c>
      <c r="D4726" s="47" t="n">
        <v>35640</v>
      </c>
      <c r="E4726" s="48">
        <f>"RNCP"&amp;D4726</f>
        <v/>
      </c>
      <c r="F4726" s="48" t="inlineStr">
        <is>
          <t>CAP - Arts de la dentelle, options fuseaux et aiguille</t>
        </is>
      </c>
      <c r="G4726" s="49">
        <f>E4726&amp;" - "&amp;F4726</f>
        <v/>
      </c>
      <c r="H4726" s="36" t="inlineStr">
        <is>
          <t>RAS</t>
        </is>
      </c>
      <c r="I4726" s="45" t="inlineStr"/>
      <c r="J4726" s="45" t="inlineStr">
        <is>
          <t>RNCP35640</t>
        </is>
      </c>
      <c r="K4726" s="45" t="inlineStr">
        <is>
          <t>CAP - Arts de la dentelle, options fuseaux et aiguille</t>
        </is>
      </c>
      <c r="L4726" s="45" t="inlineStr">
        <is>
          <t>31/12/2030</t>
        </is>
      </c>
      <c r="M4726" s="45" t="inlineStr"/>
      <c r="N4726" s="50" t="inlineStr">
        <is>
          <t>NON</t>
        </is>
      </c>
      <c r="O4726" s="45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CAP - Staffeur ornemaniste</t>
        </is>
      </c>
      <c r="L4727" s="45" t="inlineStr">
        <is>
          <t>31/12/2030</t>
        </is>
      </c>
      <c r="M4727" s="45" t="inlineStr"/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CAP - Menuisier en sièges</t>
        </is>
      </c>
      <c r="L4728" s="45" t="inlineStr">
        <is>
          <t>31/12/2030</t>
        </is>
      </c>
      <c r="M4728" s="45" t="inlineStr"/>
      <c r="N4728" s="50" t="inlineStr">
        <is>
          <t>NON</t>
        </is>
      </c>
      <c r="O4728" s="45" t="inlineStr"/>
    </row>
    <row r="4729" customFormat="1" s="3">
      <c r="A4729" s="45" t="n"/>
      <c r="B4729" s="46" t="inlineStr">
        <is>
          <t>45531</t>
        </is>
      </c>
      <c r="C4729" s="46">
        <f>LEFT(Tableau1[[#This Row],[Formacode]],3)</f>
        <v/>
      </c>
      <c r="D4729" s="47" t="n">
        <v>39706</v>
      </c>
      <c r="E4729" s="48">
        <f>"RNCP"&amp;D4729</f>
        <v/>
      </c>
      <c r="F4729" s="48" t="inlineStr">
        <is>
          <t>CAP - Arts de la broderie</t>
        </is>
      </c>
      <c r="G4729" s="49">
        <f>E4729&amp;" - "&amp;F4729</f>
        <v/>
      </c>
      <c r="H4729" s="36" t="inlineStr">
        <is>
          <t>RAS</t>
        </is>
      </c>
      <c r="I4729" s="45" t="inlineStr"/>
      <c r="J4729" s="45" t="inlineStr">
        <is>
          <t>RNCP39706</t>
        </is>
      </c>
      <c r="K4729" s="45" t="inlineStr">
        <is>
          <t>CAP - Arts de la broderie</t>
        </is>
      </c>
      <c r="L4729" s="45" t="inlineStr">
        <is>
          <t>31/12/2030</t>
        </is>
      </c>
      <c r="M4729" s="45" t="inlineStr"/>
      <c r="N4729" s="50" t="inlineStr">
        <is>
          <t>NON</t>
        </is>
      </c>
      <c r="O4729" s="45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CAP - Staffeur ornemaniste</t>
        </is>
      </c>
      <c r="L4730" s="45" t="inlineStr">
        <is>
          <t>31/12/2030</t>
        </is>
      </c>
      <c r="M4730" s="45" t="inlineStr"/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CAP - Menuisier en sièges</t>
        </is>
      </c>
      <c r="L4731" s="45" t="inlineStr">
        <is>
          <t>31/12/2030</t>
        </is>
      </c>
      <c r="M4731" s="45" t="inlineStr"/>
      <c r="N4731" s="50" t="inlineStr">
        <is>
          <t>NON</t>
        </is>
      </c>
      <c r="O4731" s="45" t="inlineStr"/>
    </row>
    <row r="4732" customFormat="1" s="3">
      <c r="A4732" s="45" t="n"/>
      <c r="B4732" s="46" t="inlineStr">
        <is>
          <t>45540</t>
        </is>
      </c>
      <c r="C4732" s="46">
        <f>LEFT(Tableau1[[#This Row],[Formacode]],3)</f>
        <v/>
      </c>
      <c r="D4732" s="47" t="n">
        <v>35639</v>
      </c>
      <c r="E4732" s="48">
        <f>"RNCP"&amp;D4732</f>
        <v/>
      </c>
      <c r="F4732" s="48" t="inlineStr">
        <is>
          <t>CS - Art de la dorure à chaud</t>
        </is>
      </c>
      <c r="G4732" s="49">
        <f>E4732&amp;" - "&amp;F4732</f>
        <v/>
      </c>
      <c r="H4732" s="36" t="inlineStr">
        <is>
          <t>RAS</t>
        </is>
      </c>
      <c r="I4732" s="45" t="inlineStr"/>
      <c r="J4732" s="45" t="inlineStr">
        <is>
          <t>RNCP35639</t>
        </is>
      </c>
      <c r="K4732" s="45" t="inlineStr">
        <is>
          <t>CS - Art de la dorure à chaud</t>
        </is>
      </c>
      <c r="L4732" s="45" t="inlineStr">
        <is>
          <t>31/12/2030</t>
        </is>
      </c>
      <c r="M4732" s="45" t="inlineStr"/>
      <c r="N4732" s="50" t="inlineStr">
        <is>
          <t>NON</t>
        </is>
      </c>
      <c r="O4732" s="45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CAP - Staffeur ornemaniste</t>
        </is>
      </c>
      <c r="L4733" s="45" t="inlineStr">
        <is>
          <t>31/12/2030</t>
        </is>
      </c>
      <c r="M4733" s="45" t="inlineStr"/>
      <c r="N4733" s="50" t="inlineStr">
        <is>
          <t>NON</t>
        </is>
      </c>
      <c r="O4733" s="45" t="inlineStr"/>
    </row>
    <row r="4734" customFormat="1" s="3">
      <c r="A4734" s="45" t="n"/>
      <c r="B4734" s="46" t="inlineStr">
        <is>
          <t>45540</t>
        </is>
      </c>
      <c r="C4734" s="46">
        <f>LEFT(Tableau1[[#This Row],[Formacode]],3)</f>
        <v/>
      </c>
      <c r="D4734" s="47" t="n">
        <v>36683</v>
      </c>
      <c r="E4734" s="48">
        <f>"RNCP"&amp;D4734</f>
        <v/>
      </c>
      <c r="F4734" s="48" t="inlineStr">
        <is>
          <t>CAP - Doreur à la feuille ornemaniste</t>
        </is>
      </c>
      <c r="G4734" s="49">
        <f>E4734&amp;" - "&amp;F4734</f>
        <v/>
      </c>
      <c r="H4734" s="36" t="inlineStr">
        <is>
          <t>RAS</t>
        </is>
      </c>
      <c r="I4734" s="45" t="inlineStr"/>
      <c r="J4734" s="45" t="inlineStr">
        <is>
          <t>RNCP36683</t>
        </is>
      </c>
      <c r="K4734" s="45" t="inlineStr">
        <is>
          <t>CAP - Doreur à la feuille ornemaniste</t>
        </is>
      </c>
      <c r="L4734" s="45" t="inlineStr">
        <is>
          <t>31/12/2030</t>
        </is>
      </c>
      <c r="M4734" s="45" t="inlineStr"/>
      <c r="N4734" s="50" t="inlineStr">
        <is>
          <t>NON</t>
        </is>
      </c>
      <c r="O4734" s="45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CAP - Menuisier en sièges</t>
        </is>
      </c>
      <c r="L4735" s="45" t="inlineStr">
        <is>
          <t>31/12/2030</t>
        </is>
      </c>
      <c r="M4735" s="45" t="inlineStr"/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CAP - Staffeur ornemaniste</t>
        </is>
      </c>
      <c r="L4736" s="45" t="inlineStr">
        <is>
          <t>31/12/2030</t>
        </is>
      </c>
      <c r="M4736" s="45" t="inlineStr"/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CAP - Menuisier en sièges</t>
        </is>
      </c>
      <c r="L4737" s="45" t="inlineStr">
        <is>
          <t>31/12/2030</t>
        </is>
      </c>
      <c r="M4737" s="45" t="inlineStr"/>
      <c r="N4737" s="50" t="inlineStr">
        <is>
          <t>NON</t>
        </is>
      </c>
      <c r="O4737" s="45" t="inlineStr"/>
    </row>
    <row r="4738" ht="28.8" customFormat="1" customHeight="1" s="3">
      <c r="A4738" s="45" t="n"/>
      <c r="B4738" s="46" t="inlineStr">
        <is>
          <t>45549</t>
        </is>
      </c>
      <c r="C4738" s="46">
        <f>LEFT(Tableau1[[#This Row],[Formacode]],3)</f>
        <v/>
      </c>
      <c r="D4738" s="47" t="n">
        <v>39716</v>
      </c>
      <c r="E4738" s="48">
        <f>"RNCP"&amp;D4738</f>
        <v/>
      </c>
      <c r="F4738" s="48" t="inlineStr">
        <is>
          <t>CAP - Bronzier options : A : Monteur en bronze B : Ciseleur sur bronze C : Tourneur sur bronze</t>
        </is>
      </c>
      <c r="G4738" s="49">
        <f>E4738&amp;" - "&amp;F4738</f>
        <v/>
      </c>
      <c r="H4738" s="36" t="inlineStr">
        <is>
          <t>RAS</t>
        </is>
      </c>
      <c r="I4738" s="45" t="inlineStr"/>
      <c r="J4738" s="45" t="inlineStr">
        <is>
          <t>RNCP39716</t>
        </is>
      </c>
      <c r="K4738" s="45" t="inlineStr">
        <is>
          <t>CAP - Bronzier options : A : Monteur en bronze B : Ciseleur sur bronze C : Tourneur sur bronze</t>
        </is>
      </c>
      <c r="L4738" s="45" t="inlineStr">
        <is>
          <t>31/12/2030</t>
        </is>
      </c>
      <c r="M4738" s="45" t="inlineStr"/>
      <c r="N4738" s="50" t="inlineStr">
        <is>
          <t>NON</t>
        </is>
      </c>
      <c r="O4738" s="45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CAP - Staffeur ornemaniste</t>
        </is>
      </c>
      <c r="L4739" s="45" t="inlineStr">
        <is>
          <t>31/12/2030</t>
        </is>
      </c>
      <c r="M4739" s="45" t="inlineStr"/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CAP - Ferronnier d'art</t>
        </is>
      </c>
      <c r="L4740" s="45" t="inlineStr">
        <is>
          <t>31/12/2030</t>
        </is>
      </c>
      <c r="M4740" s="45" t="inlineStr"/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CAP - Menuisier en sièges</t>
        </is>
      </c>
      <c r="L4741" s="45" t="inlineStr">
        <is>
          <t>31/12/2030</t>
        </is>
      </c>
      <c r="M4741" s="45" t="inlineStr"/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CAP - Staffeur ornemaniste</t>
        </is>
      </c>
      <c r="L4742" s="45" t="inlineStr">
        <is>
          <t>31/12/2030</t>
        </is>
      </c>
      <c r="M4742" s="45" t="inlineStr"/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CAP - Arts du bois</t>
        </is>
      </c>
      <c r="L4743" s="45" t="inlineStr">
        <is>
          <t>31/12/2030</t>
        </is>
      </c>
      <c r="M4743" s="45" t="inlineStr"/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CAP - Menuisier en sièges</t>
        </is>
      </c>
      <c r="L4744" s="45" t="inlineStr">
        <is>
          <t>31/12/2030</t>
        </is>
      </c>
      <c r="M4744" s="45" t="inlineStr"/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CAP - Arts de verre et du cristal</t>
        </is>
      </c>
      <c r="L4745" s="45" t="inlineStr">
        <is>
          <t>31/12/2030</t>
        </is>
      </c>
      <c r="M4745" s="45" t="inlineStr"/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CAP - Staffeur ornemaniste</t>
        </is>
      </c>
      <c r="L4746" s="45" t="inlineStr">
        <is>
          <t>31/12/2030</t>
        </is>
      </c>
      <c r="M4746" s="45" t="inlineStr"/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CAP - Arts et techniques du verre  option Vitrailliste et option Décorateur sur verre</t>
        </is>
      </c>
      <c r="L4747" s="45" t="inlineStr">
        <is>
          <t>31/12/2030</t>
        </is>
      </c>
      <c r="M4747" s="45" t="inlineStr"/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CAP - Menuisier en sièges</t>
        </is>
      </c>
      <c r="L4748" s="45" t="inlineStr">
        <is>
          <t>31/12/2030</t>
        </is>
      </c>
      <c r="M4748" s="45" t="inlineStr"/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CAP - Souffleur de verre options Enseigne lumineuse et Verrerie scientifique</t>
        </is>
      </c>
      <c r="L4749" s="45" t="inlineStr">
        <is>
          <t>31/12/2030</t>
        </is>
      </c>
      <c r="M4749" s="45" t="inlineStr"/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CAP - Staffeur ornemaniste</t>
        </is>
      </c>
      <c r="L4750" s="45" t="inlineStr">
        <is>
          <t>31/12/2030</t>
        </is>
      </c>
      <c r="M4750" s="45" t="inlineStr"/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CAP - Menuisier en sièges</t>
        </is>
      </c>
      <c r="L4751" s="45" t="inlineStr">
        <is>
          <t>31/12/2030</t>
        </is>
      </c>
      <c r="M4751" s="45" t="inlineStr"/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CAP - Staffeur ornemaniste</t>
        </is>
      </c>
      <c r="L4752" s="45" t="inlineStr">
        <is>
          <t>31/12/2030</t>
        </is>
      </c>
      <c r="M4752" s="45" t="inlineStr"/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CAP - Menuisier en sièges</t>
        </is>
      </c>
      <c r="L4753" s="45" t="inlineStr">
        <is>
          <t>31/12/2030</t>
        </is>
      </c>
      <c r="M4753" s="45" t="inlineStr"/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TP - Restaurateur de meubles d'art, anciens et contemporains</t>
        </is>
      </c>
      <c r="L4754" s="45" t="inlineStr">
        <is>
          <t>31/12/2030</t>
        </is>
      </c>
      <c r="M4754" s="45" t="inlineStr"/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CAP - Staffeur ornemaniste</t>
        </is>
      </c>
      <c r="L4755" s="45" t="inlineStr">
        <is>
          <t>31/12/2030</t>
        </is>
      </c>
      <c r="M4755" s="45" t="inlineStr"/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CAP - Arts du bois</t>
        </is>
      </c>
      <c r="L4756" s="45" t="inlineStr">
        <is>
          <t>31/12/2030</t>
        </is>
      </c>
      <c r="M4756" s="45" t="inlineStr"/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CAP - Ebeniste</t>
        </is>
      </c>
      <c r="L4757" s="45" t="inlineStr">
        <is>
          <t>31/12/2030</t>
        </is>
      </c>
      <c r="M4757" s="45" t="inlineStr"/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CAP - Menuisier en sièges</t>
        </is>
      </c>
      <c r="L4758" s="45" t="inlineStr">
        <is>
          <t>31/12/2030</t>
        </is>
      </c>
      <c r="M4758" s="45" t="inlineStr"/>
      <c r="N4758" s="50" t="inlineStr">
        <is>
          <t>NON</t>
        </is>
      </c>
      <c r="O4758" s="45" t="inlineStr"/>
    </row>
    <row r="4759" customFormat="1" s="3">
      <c r="A4759" s="45" t="n"/>
      <c r="B4759" s="46" t="inlineStr">
        <is>
          <t>45583</t>
        </is>
      </c>
      <c r="C4759" s="46">
        <f>LEFT(Tableau1[[#This Row],[Formacode]],3)</f>
        <v/>
      </c>
      <c r="D4759" s="47" t="n">
        <v>35699</v>
      </c>
      <c r="E4759" s="48">
        <f>"RNCP"&amp;D4759</f>
        <v/>
      </c>
      <c r="F4759" s="48" t="inlineStr">
        <is>
          <t>CAP - Assistant luthier du quatuor</t>
        </is>
      </c>
      <c r="G4759" s="49">
        <f>E4759&amp;" - "&amp;F4759</f>
        <v/>
      </c>
      <c r="H4759" s="36" t="inlineStr">
        <is>
          <t>RAS</t>
        </is>
      </c>
      <c r="I4759" s="45" t="inlineStr"/>
      <c r="J4759" s="45" t="inlineStr">
        <is>
          <t>RNCP35699</t>
        </is>
      </c>
      <c r="K4759" s="45" t="inlineStr">
        <is>
          <t>CAP - Assistant luthier du quatuor</t>
        </is>
      </c>
      <c r="L4759" s="45" t="inlineStr">
        <is>
          <t>31/12/2030</t>
        </is>
      </c>
      <c r="M4759" s="45" t="inlineStr"/>
      <c r="N4759" s="50" t="inlineStr">
        <is>
          <t>NON</t>
        </is>
      </c>
      <c r="O4759" s="45" t="inlineStr"/>
    </row>
    <row r="4760" ht="28.8" customFormat="1" customHeight="1" s="3">
      <c r="A4760" s="45" t="n"/>
      <c r="B4760" s="46" t="inlineStr">
        <is>
          <t>45583</t>
        </is>
      </c>
      <c r="C4760" s="46">
        <f>LEFT(Tableau1[[#This Row],[Formacode]],3)</f>
        <v/>
      </c>
      <c r="D4760" s="47" t="n">
        <v>36255</v>
      </c>
      <c r="E4760" s="48">
        <f>"RNCP"&amp;D4760</f>
        <v/>
      </c>
      <c r="F4760" s="48" t="inlineStr">
        <is>
          <t>CAP - Assistant technique en instruments de musique options : Accordéon, Guitare, Instruments à vent, Piano</t>
        </is>
      </c>
      <c r="G4760" s="49">
        <f>E4760&amp;" - "&amp;F4760</f>
        <v/>
      </c>
      <c r="H4760" s="36" t="inlineStr">
        <is>
          <t>RAS</t>
        </is>
      </c>
      <c r="I4760" s="45" t="inlineStr"/>
      <c r="J4760" s="45" t="inlineStr">
        <is>
          <t>RNCP36255</t>
        </is>
      </c>
      <c r="K4760" s="45" t="inlineStr">
        <is>
          <t>CAP - Assistant technique en instruments de musique options : Accordéon, Guitare, Instruments à vent, Piano</t>
        </is>
      </c>
      <c r="L4760" s="45" t="inlineStr">
        <is>
          <t>31/12/2030</t>
        </is>
      </c>
      <c r="M4760" s="45" t="inlineStr"/>
      <c r="N4760" s="50" t="inlineStr">
        <is>
          <t>NON</t>
        </is>
      </c>
      <c r="O4760" s="45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CAP - Accordeur de pianos</t>
        </is>
      </c>
      <c r="L4761" s="45" t="inlineStr">
        <is>
          <t>31/12/2030</t>
        </is>
      </c>
      <c r="M4761" s="45" t="inlineStr"/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CAP - Staffeur ornemaniste</t>
        </is>
      </c>
      <c r="L4762" s="45" t="inlineStr">
        <is>
          <t>31/12/2030</t>
        </is>
      </c>
      <c r="M4762" s="45" t="inlineStr"/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CAP - Menuisier en sièges</t>
        </is>
      </c>
      <c r="L4763" s="45" t="inlineStr">
        <is>
          <t>31/12/2030</t>
        </is>
      </c>
      <c r="M4763" s="45" t="inlineStr"/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CAP - Ouvrier archetier</t>
        </is>
      </c>
      <c r="L4764" s="45" t="inlineStr">
        <is>
          <t>31/12/2030</t>
        </is>
      </c>
      <c r="M4764" s="45" t="inlineStr"/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CAP - Staffeur ornemaniste</t>
        </is>
      </c>
      <c r="L4765" s="45" t="inlineStr">
        <is>
          <t>31/12/2030</t>
        </is>
      </c>
      <c r="M4765" s="45" t="inlineStr"/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CAP - Menuisier en sièges</t>
        </is>
      </c>
      <c r="L4766" s="45" t="inlineStr">
        <is>
          <t>31/12/2030</t>
        </is>
      </c>
      <c r="M4766" s="45" t="inlineStr"/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CAP - Staffeur ornemaniste</t>
        </is>
      </c>
      <c r="L4767" s="45" t="inlineStr">
        <is>
          <t>31/12/2030</t>
        </is>
      </c>
      <c r="M4767" s="45" t="inlineStr"/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CAP - Arts de la reliure</t>
        </is>
      </c>
      <c r="L4768" s="45" t="inlineStr">
        <is>
          <t>31/12/2030</t>
        </is>
      </c>
      <c r="M4768" s="45" t="inlineStr"/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CAP - Menuisier en sièges</t>
        </is>
      </c>
      <c r="L4769" s="45" t="inlineStr">
        <is>
          <t>31/12/2030</t>
        </is>
      </c>
      <c r="M4769" s="45" t="inlineStr"/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CAP - Tournage en céramique</t>
        </is>
      </c>
      <c r="L4770" s="45" t="inlineStr">
        <is>
          <t>31/12/2030</t>
        </is>
      </c>
      <c r="M4770" s="45" t="inlineStr"/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CAP - Décoration en céramique</t>
        </is>
      </c>
      <c r="L4771" s="45" t="inlineStr">
        <is>
          <t>31/12/2030</t>
        </is>
      </c>
      <c r="M4771" s="45" t="inlineStr"/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CAP - Staffeur ornemaniste</t>
        </is>
      </c>
      <c r="L4772" s="45" t="inlineStr">
        <is>
          <t>31/12/2030</t>
        </is>
      </c>
      <c r="M4772" s="45" t="inlineStr"/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CAP - Modèles et moules céramiques</t>
        </is>
      </c>
      <c r="L4773" s="45" t="inlineStr">
        <is>
          <t>31/12/2030</t>
        </is>
      </c>
      <c r="M4773" s="45" t="inlineStr"/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CAP - Menuisier en sièges</t>
        </is>
      </c>
      <c r="L4774" s="45" t="inlineStr">
        <is>
          <t>31/12/2030</t>
        </is>
      </c>
      <c r="M4774" s="45" t="inlineStr"/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CAP - Staffeur ornemaniste</t>
        </is>
      </c>
      <c r="L4775" s="45" t="inlineStr">
        <is>
          <t>31/12/2030</t>
        </is>
      </c>
      <c r="M4775" s="45" t="inlineStr"/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CAP - Menuisier en sièges</t>
        </is>
      </c>
      <c r="L4776" s="45" t="inlineStr">
        <is>
          <t>31/12/2030</t>
        </is>
      </c>
      <c r="M4776" s="45" t="inlineStr"/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CAP - Staffeur ornemaniste</t>
        </is>
      </c>
      <c r="L4777" s="45" t="inlineStr">
        <is>
          <t>31/12/2030</t>
        </is>
      </c>
      <c r="M4777" s="45" t="inlineStr"/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CAP - Menuisier en sièges</t>
        </is>
      </c>
      <c r="L4778" s="45" t="inlineStr">
        <is>
          <t>31/12/2030</t>
        </is>
      </c>
      <c r="M4778" s="45" t="inlineStr"/>
      <c r="N4778" s="50" t="inlineStr">
        <is>
          <t>NON</t>
        </is>
      </c>
      <c r="O4778" s="45" t="inlineStr"/>
    </row>
    <row r="4779" customFormat="1" s="3">
      <c r="A4779" s="45" t="n"/>
      <c r="B4779" s="46" t="inlineStr">
        <is>
          <t>46072</t>
        </is>
      </c>
      <c r="C4779" s="46">
        <f>LEFT(Tableau1[[#This Row],[Formacode]],3)</f>
        <v/>
      </c>
      <c r="D4779" s="47" t="n">
        <v>35634</v>
      </c>
      <c r="E4779" s="48">
        <f>"RNCP"&amp;D4779</f>
        <v/>
      </c>
      <c r="F4779" s="48" t="inlineStr">
        <is>
          <t>TP - Concepteur designer UI</t>
        </is>
      </c>
      <c r="G4779" s="49">
        <f>E4779&amp;" - "&amp;F4779</f>
        <v/>
      </c>
      <c r="H4779" s="36" t="inlineStr">
        <is>
          <t>RAS</t>
        </is>
      </c>
      <c r="I4779" s="45" t="inlineStr"/>
      <c r="J4779" s="45" t="inlineStr">
        <is>
          <t>RNCP35634</t>
        </is>
      </c>
      <c r="K4779" s="45" t="inlineStr">
        <is>
          <t>TP - Concepteur designer UI</t>
        </is>
      </c>
      <c r="L4779" s="45" t="inlineStr">
        <is>
          <t>31/12/2030</t>
        </is>
      </c>
      <c r="M4779" s="45" t="inlineStr"/>
      <c r="N4779" s="50" t="inlineStr">
        <is>
          <t>NON</t>
        </is>
      </c>
      <c r="O4779" s="45" t="inlineStr"/>
    </row>
    <row r="4780" customFormat="1" s="3">
      <c r="A4780" s="45" t="n"/>
      <c r="B4780" s="46" t="inlineStr">
        <is>
          <t>46072</t>
        </is>
      </c>
      <c r="C4780" s="46">
        <f>LEFT(Tableau1[[#This Row],[Formacode]],3)</f>
        <v/>
      </c>
      <c r="D4780" s="47" t="n">
        <v>35874</v>
      </c>
      <c r="E4780" s="48">
        <f>"RNCP"&amp;D4780</f>
        <v/>
      </c>
      <c r="F4780" s="48" t="inlineStr">
        <is>
          <t>Graphiste motion designer</t>
        </is>
      </c>
      <c r="G4780" s="49">
        <f>E4780&amp;" - "&amp;F4780</f>
        <v/>
      </c>
      <c r="H4780" s="36" t="inlineStr">
        <is>
          <t>RAS</t>
        </is>
      </c>
      <c r="I4780" s="45" t="inlineStr"/>
      <c r="J4780" s="45" t="inlineStr">
        <is>
          <t>RNCP35874</t>
        </is>
      </c>
      <c r="K4780" s="45" t="inlineStr">
        <is>
          <t>Graphiste motion designer</t>
        </is>
      </c>
      <c r="L4780" s="45" t="inlineStr">
        <is>
          <t>31/12/2030</t>
        </is>
      </c>
      <c r="M4780" s="45" t="inlineStr"/>
      <c r="N4780" s="50" t="inlineStr">
        <is>
          <t>NON</t>
        </is>
      </c>
      <c r="O4780" s="45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31/12/2030</t>
        </is>
      </c>
      <c r="M4781" s="45" t="inlineStr"/>
      <c r="N4781" s="50" t="inlineStr">
        <is>
          <t>NON</t>
        </is>
      </c>
      <c r="O4781" s="45" t="inlineStr"/>
    </row>
    <row r="4782" customFormat="1" s="3">
      <c r="A4782" s="45" t="n"/>
      <c r="B4782" s="46" t="inlineStr">
        <is>
          <t>46072</t>
        </is>
      </c>
      <c r="C4782" s="46">
        <f>LEFT(Tableau1[[#This Row],[Formacode]],3)</f>
        <v/>
      </c>
      <c r="D4782" s="47" t="n">
        <v>37828</v>
      </c>
      <c r="E4782" s="48">
        <f>"RNCP"&amp;D4782</f>
        <v/>
      </c>
      <c r="F4782" s="48" t="inlineStr">
        <is>
          <t>Designer créateur de produit de mode et textile</t>
        </is>
      </c>
      <c r="G4782" s="49">
        <f>E4782&amp;" - "&amp;F4782</f>
        <v/>
      </c>
      <c r="H4782" s="36" t="inlineStr">
        <is>
          <t>RAS</t>
        </is>
      </c>
      <c r="I4782" s="45" t="inlineStr"/>
      <c r="J4782" s="45" t="inlineStr">
        <is>
          <t>RNCP37828</t>
        </is>
      </c>
      <c r="K4782" s="45" t="inlineStr">
        <is>
          <t>Designer créateur de produit de mode et textile</t>
        </is>
      </c>
      <c r="L4782" s="45" t="inlineStr">
        <is>
          <t>31/12/2030</t>
        </is>
      </c>
      <c r="M4782" s="45" t="inlineStr"/>
      <c r="N4782" s="50" t="inlineStr">
        <is>
          <t>NON</t>
        </is>
      </c>
      <c r="O4782" s="45" t="inlineStr"/>
    </row>
    <row r="4783" customFormat="1" s="3">
      <c r="A4783" s="45" t="n"/>
      <c r="B4783" s="46" t="inlineStr">
        <is>
          <t>46072</t>
        </is>
      </c>
      <c r="C4783" s="46">
        <f>LEFT(Tableau1[[#This Row],[Formacode]],3)</f>
        <v/>
      </c>
      <c r="D4783" s="47" t="n">
        <v>38143</v>
      </c>
      <c r="E4783" s="48">
        <f>"RNCP"&amp;D4783</f>
        <v/>
      </c>
      <c r="F4783" s="48" t="inlineStr">
        <is>
          <t>Graphiste motion designer</t>
        </is>
      </c>
      <c r="G4783" s="49">
        <f>E4783&amp;" - "&amp;F4783</f>
        <v/>
      </c>
      <c r="H4783" s="36" t="inlineStr">
        <is>
          <t>RAS</t>
        </is>
      </c>
      <c r="I4783" s="45" t="inlineStr"/>
      <c r="J4783" s="45" t="inlineStr">
        <is>
          <t>RNCP38143</t>
        </is>
      </c>
      <c r="K4783" s="45" t="inlineStr">
        <is>
          <t>Graphiste motion designer</t>
        </is>
      </c>
      <c r="L4783" s="45" t="inlineStr">
        <is>
          <t>31/12/2030</t>
        </is>
      </c>
      <c r="M4783" s="45" t="inlineStr"/>
      <c r="N4783" s="50" t="inlineStr">
        <is>
          <t>NON</t>
        </is>
      </c>
      <c r="O4783" s="45" t="inlineStr"/>
    </row>
    <row r="4784" customFormat="1" s="3">
      <c r="A4784" s="45" t="n"/>
      <c r="B4784" s="46" t="inlineStr">
        <is>
          <t>46072</t>
        </is>
      </c>
      <c r="C4784" s="46">
        <f>LEFT(Tableau1[[#This Row],[Formacode]],3)</f>
        <v/>
      </c>
      <c r="D4784" s="47" t="n">
        <v>38244</v>
      </c>
      <c r="E4784" s="48">
        <f>"RNCP"&amp;D4784</f>
        <v/>
      </c>
      <c r="F4784" s="48" t="inlineStr">
        <is>
          <t>Concepteur UI et webdesign</t>
        </is>
      </c>
      <c r="G4784" s="49">
        <f>E4784&amp;" - "&amp;F4784</f>
        <v/>
      </c>
      <c r="H4784" s="36" t="inlineStr">
        <is>
          <t>RAS</t>
        </is>
      </c>
      <c r="I4784" s="45" t="inlineStr"/>
      <c r="J4784" s="45" t="inlineStr">
        <is>
          <t>RNCP38244</t>
        </is>
      </c>
      <c r="K4784" s="45" t="inlineStr">
        <is>
          <t>Concepteur UI et webdesign</t>
        </is>
      </c>
      <c r="L4784" s="45" t="inlineStr">
        <is>
          <t>31/12/2030</t>
        </is>
      </c>
      <c r="M4784" s="45" t="inlineStr"/>
      <c r="N4784" s="50" t="inlineStr">
        <is>
          <t>NON</t>
        </is>
      </c>
      <c r="O4784" s="45" t="inlineStr"/>
    </row>
    <row r="4785" customFormat="1" s="3">
      <c r="A4785" s="45" t="n"/>
      <c r="B4785" s="46" t="inlineStr">
        <is>
          <t>46072</t>
        </is>
      </c>
      <c r="C4785" s="46">
        <f>LEFT(Tableau1[[#This Row],[Formacode]],3)</f>
        <v/>
      </c>
      <c r="D4785" s="47" t="n">
        <v>38268</v>
      </c>
      <c r="E4785" s="48">
        <f>"RNCP"&amp;D4785</f>
        <v/>
      </c>
      <c r="F4785" s="48" t="inlineStr">
        <is>
          <t>Motion designer</t>
        </is>
      </c>
      <c r="G4785" s="49">
        <f>E4785&amp;" - "&amp;F4785</f>
        <v/>
      </c>
      <c r="H4785" s="36" t="inlineStr">
        <is>
          <t>RAS</t>
        </is>
      </c>
      <c r="I4785" s="45" t="inlineStr"/>
      <c r="J4785" s="45" t="inlineStr">
        <is>
          <t>RNCP38268</t>
        </is>
      </c>
      <c r="K4785" s="45" t="inlineStr">
        <is>
          <t>Motion designer</t>
        </is>
      </c>
      <c r="L4785" s="45" t="inlineStr">
        <is>
          <t>31/12/2030</t>
        </is>
      </c>
      <c r="M4785" s="45" t="inlineStr"/>
      <c r="N4785" s="50" t="inlineStr">
        <is>
          <t>NON</t>
        </is>
      </c>
      <c r="O4785" s="45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BTS - Etudes de réalisation d'un projet de communication - Option A : Études de réalisation de produits plurimédia et B : Études de réalisation de produits imprimés</t>
        </is>
      </c>
      <c r="L4786" s="45" t="inlineStr">
        <is>
          <t>31/12/2030</t>
        </is>
      </c>
      <c r="M4786" s="45" t="inlineStr"/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31/12/2030</t>
        </is>
      </c>
      <c r="M4787" s="45" t="inlineStr"/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31/12/2030</t>
        </is>
      </c>
      <c r="M4788" s="45" t="inlineStr"/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31/12/2030</t>
        </is>
      </c>
      <c r="M4789" s="45" t="inlineStr"/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31/12/2030</t>
        </is>
      </c>
      <c r="M4790" s="45" t="inlineStr"/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31/12/2030</t>
        </is>
      </c>
      <c r="M4791" s="45" t="inlineStr"/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TP - Graphiste</t>
        </is>
      </c>
      <c r="L4792" s="45" t="inlineStr">
        <is>
          <t>31/12/2030</t>
        </is>
      </c>
      <c r="M4792" s="45" t="inlineStr"/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31/12/2030</t>
        </is>
      </c>
      <c r="M4793" s="45" t="inlineStr"/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31/12/2030</t>
        </is>
      </c>
      <c r="M4794" s="45" t="inlineStr"/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31/12/2030</t>
        </is>
      </c>
      <c r="M4795" s="45" t="inlineStr"/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31/12/2030</t>
        </is>
      </c>
      <c r="M4796" s="45" t="inlineStr"/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31/12/2030</t>
        </is>
      </c>
      <c r="M4797" s="45" t="inlineStr"/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31/12/2030</t>
        </is>
      </c>
      <c r="M4798" s="45" t="inlineStr"/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31/12/2030</t>
        </is>
      </c>
      <c r="M4799" s="45" t="inlineStr"/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BTS - Etudes de réalisation d'un projet de communication - Option A : Études de réalisation de produits plurimédia et B : Études de réalisation de produits imprimés</t>
        </is>
      </c>
      <c r="L4800" s="45" t="inlineStr">
        <is>
          <t>31/12/2030</t>
        </is>
      </c>
      <c r="M4800" s="45" t="inlineStr"/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BTS - Etudes de réalisation d'un projet de communication - Option A : Études de réalisation de produits plurimédia et B : Études de réalisation de produits imprimés</t>
        </is>
      </c>
      <c r="L4801" s="45" t="inlineStr">
        <is>
          <t>31/12/2030</t>
        </is>
      </c>
      <c r="M4801" s="45" t="inlineStr"/>
      <c r="N4801" s="50" t="inlineStr">
        <is>
          <t>NON</t>
        </is>
      </c>
      <c r="O4801" s="45" t="inlineStr"/>
    </row>
    <row r="4802" customFormat="1" s="3">
      <c r="A4802" s="45" t="n"/>
      <c r="B4802" s="46" t="inlineStr">
        <is>
          <t>46093</t>
        </is>
      </c>
      <c r="C4802" s="46">
        <f>LEFT(Tableau1[[#This Row],[Formacode]],3)</f>
        <v/>
      </c>
      <c r="D4802" s="47" t="n">
        <v>37333</v>
      </c>
      <c r="E4802" s="48">
        <f>"RNCP"&amp;D4802</f>
        <v/>
      </c>
      <c r="F4802" s="48" t="inlineStr">
        <is>
          <t>Photographe</t>
        </is>
      </c>
      <c r="G4802" s="49">
        <f>E4802&amp;" - "&amp;F4802</f>
        <v/>
      </c>
      <c r="H4802" s="36" t="inlineStr">
        <is>
          <t>RAS</t>
        </is>
      </c>
      <c r="I4802" s="45" t="inlineStr"/>
      <c r="J4802" s="45" t="inlineStr">
        <is>
          <t>RNCP37333</t>
        </is>
      </c>
      <c r="K4802" s="45" t="inlineStr">
        <is>
          <t>Photographe</t>
        </is>
      </c>
      <c r="L4802" s="45" t="inlineStr">
        <is>
          <t>31/12/2030</t>
        </is>
      </c>
      <c r="M4802" s="45" t="inlineStr"/>
      <c r="N4802" s="50" t="inlineStr">
        <is>
          <t>NON</t>
        </is>
      </c>
      <c r="O4802" s="45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CAP - Sérigraphie industrielle</t>
        </is>
      </c>
      <c r="L4803" s="45" t="inlineStr">
        <is>
          <t>31/12/2030</t>
        </is>
      </c>
      <c r="M4803" s="45" t="inlineStr"/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BTS - Etudes de réalisation d'un projet de communication - Option A : Études de réalisation de produits plurimédia et B : Études de réalisation de produits imprimés</t>
        </is>
      </c>
      <c r="L4804" s="45" t="inlineStr">
        <is>
          <t>31/12/2030</t>
        </is>
      </c>
      <c r="M4804" s="45" t="inlineStr"/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TP - Graphiste</t>
        </is>
      </c>
      <c r="L4805" s="45" t="inlineStr">
        <is>
          <t>31/12/2030</t>
        </is>
      </c>
      <c r="M4805" s="45" t="inlineStr"/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31/12/2030</t>
        </is>
      </c>
      <c r="M4806" s="45" t="inlineStr"/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31/12/2030</t>
        </is>
      </c>
      <c r="M4807" s="45" t="inlineStr"/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31/12/2030</t>
        </is>
      </c>
      <c r="M4808" s="45" t="inlineStr"/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31/12/2030</t>
        </is>
      </c>
      <c r="M4809" s="45" t="inlineStr"/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31/12/2030</t>
        </is>
      </c>
      <c r="M4810" s="45" t="inlineStr"/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31/12/2030</t>
        </is>
      </c>
      <c r="M4811" s="45" t="inlineStr"/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BTS - Métiers de l’audiovisuel option techniques d’ingénierie et exploitation des équipements</t>
        </is>
      </c>
      <c r="L4812" s="45" t="inlineStr">
        <is>
          <t>31/12/2030</t>
        </is>
      </c>
      <c r="M4812" s="45" t="inlineStr"/>
      <c r="N4812" s="50" t="inlineStr">
        <is>
          <t>NON</t>
        </is>
      </c>
      <c r="O4812" s="45" t="inlineStr"/>
    </row>
    <row r="4813" customFormat="1" s="3">
      <c r="A4813" s="45" t="n"/>
      <c r="B4813" s="46" t="inlineStr">
        <is>
          <t>46236</t>
        </is>
      </c>
      <c r="C4813" s="46">
        <f>LEFT(Tableau1[[#This Row],[Formacode]],3)</f>
        <v/>
      </c>
      <c r="D4813" s="47" t="n">
        <v>36156</v>
      </c>
      <c r="E4813" s="48">
        <f>"RNCP"&amp;D4813</f>
        <v/>
      </c>
      <c r="F4813" s="48" t="inlineStr">
        <is>
          <t>Technicien d'exploitation son</t>
        </is>
      </c>
      <c r="G4813" s="49">
        <f>E4813&amp;" - "&amp;F4813</f>
        <v/>
      </c>
      <c r="H4813" s="36" t="inlineStr">
        <is>
          <t>RAS</t>
        </is>
      </c>
      <c r="I4813" s="45" t="inlineStr"/>
      <c r="J4813" s="45" t="inlineStr">
        <is>
          <t>RNCP36156</t>
        </is>
      </c>
      <c r="K4813" s="45" t="inlineStr">
        <is>
          <t>Technicien d'exploitation son</t>
        </is>
      </c>
      <c r="L4813" s="45" t="inlineStr">
        <is>
          <t>31/12/2030</t>
        </is>
      </c>
      <c r="M4813" s="45" t="inlineStr"/>
      <c r="N4813" s="50" t="inlineStr">
        <is>
          <t>NON</t>
        </is>
      </c>
      <c r="O4813" s="45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BTS - Métiers de l’audiovisuel option métiers du son</t>
        </is>
      </c>
      <c r="L4814" s="45" t="inlineStr">
        <is>
          <t>31/12/2030</t>
        </is>
      </c>
      <c r="M4814" s="45" t="inlineStr"/>
      <c r="N4814" s="50" t="inlineStr">
        <is>
          <t>NON</t>
        </is>
      </c>
      <c r="O4814" s="45" t="inlineStr"/>
    </row>
    <row r="4815" customFormat="1" s="3">
      <c r="A4815" s="45" t="n"/>
      <c r="B4815" s="46" t="inlineStr">
        <is>
          <t>46236</t>
        </is>
      </c>
      <c r="C4815" s="46">
        <f>LEFT(Tableau1[[#This Row],[Formacode]],3)</f>
        <v/>
      </c>
      <c r="D4815" s="47" t="n">
        <v>37853</v>
      </c>
      <c r="E4815" s="48">
        <f>"RNCP"&amp;D4815</f>
        <v/>
      </c>
      <c r="F4815" s="48" t="inlineStr">
        <is>
          <t>Opérateur son</t>
        </is>
      </c>
      <c r="G4815" s="49">
        <f>E4815&amp;" - "&amp;F4815</f>
        <v/>
      </c>
      <c r="H4815" s="36" t="inlineStr">
        <is>
          <t>RAS</t>
        </is>
      </c>
      <c r="I4815" s="45" t="inlineStr"/>
      <c r="J4815" s="45" t="inlineStr">
        <is>
          <t>RNCP37853</t>
        </is>
      </c>
      <c r="K4815" s="45" t="inlineStr">
        <is>
          <t>Opérateur son</t>
        </is>
      </c>
      <c r="L4815" s="45" t="inlineStr">
        <is>
          <t>31/12/2030</t>
        </is>
      </c>
      <c r="M4815" s="45" t="inlineStr"/>
      <c r="N4815" s="50" t="inlineStr">
        <is>
          <t>NON</t>
        </is>
      </c>
      <c r="O4815" s="45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31/12/2030</t>
        </is>
      </c>
      <c r="M4816" s="45" t="inlineStr"/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31/12/2030</t>
        </is>
      </c>
      <c r="M4817" s="45" t="inlineStr"/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BTS - Métiers de l’audiovisuel option gestion de la production</t>
        </is>
      </c>
      <c r="L4818" s="45" t="inlineStr">
        <is>
          <t>31/12/2030</t>
        </is>
      </c>
      <c r="M4818" s="45" t="inlineStr"/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31/12/2030</t>
        </is>
      </c>
      <c r="M4819" s="45" t="inlineStr"/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31/12/2030</t>
        </is>
      </c>
      <c r="M4820" s="45" t="inlineStr"/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31/12/2030</t>
        </is>
      </c>
      <c r="M4821" s="45" t="inlineStr"/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31/12/2030</t>
        </is>
      </c>
      <c r="M4822" s="45" t="inlineStr"/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31/12/2030</t>
        </is>
      </c>
      <c r="M4823" s="45" t="inlineStr"/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31/12/2030</t>
        </is>
      </c>
      <c r="M4824" s="45" t="inlineStr"/>
      <c r="N4824" s="50" t="inlineStr">
        <is>
          <t>NON</t>
        </is>
      </c>
      <c r="O4824" s="45" t="inlineStr"/>
    </row>
    <row r="4825" customFormat="1" s="3">
      <c r="A4825" s="45" t="n"/>
      <c r="B4825" s="46" t="inlineStr">
        <is>
          <t>46245</t>
        </is>
      </c>
      <c r="C4825" s="46">
        <f>LEFT(Tableau1[[#This Row],[Formacode]],3)</f>
        <v/>
      </c>
      <c r="D4825" s="47" t="n">
        <v>39392</v>
      </c>
      <c r="E4825" s="48">
        <f>"RNCP"&amp;D4825</f>
        <v/>
      </c>
      <c r="F4825" s="48" t="inlineStr">
        <is>
          <t>Assistant réalisateur</t>
        </is>
      </c>
      <c r="G4825" s="49">
        <f>E4825&amp;" - "&amp;F4825</f>
        <v/>
      </c>
      <c r="H4825" s="36" t="inlineStr">
        <is>
          <t>RAS</t>
        </is>
      </c>
      <c r="I4825" s="45" t="inlineStr"/>
      <c r="J4825" s="45" t="inlineStr">
        <is>
          <t>RNCP39392</t>
        </is>
      </c>
      <c r="K4825" s="45" t="inlineStr">
        <is>
          <t>Assistant réalisateur</t>
        </is>
      </c>
      <c r="L4825" s="45" t="inlineStr">
        <is>
          <t>31/12/2030</t>
        </is>
      </c>
      <c r="M4825" s="45" t="inlineStr"/>
      <c r="N4825" s="50" t="inlineStr">
        <is>
          <t>NON</t>
        </is>
      </c>
      <c r="O4825" s="45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31/12/2030</t>
        </is>
      </c>
      <c r="M4826" s="45" t="inlineStr"/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31/12/2030</t>
        </is>
      </c>
      <c r="M4827" s="45" t="inlineStr"/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31/12/2030</t>
        </is>
      </c>
      <c r="M4828" s="45" t="inlineStr"/>
      <c r="N4828" s="50" t="inlineStr">
        <is>
          <t>NON</t>
        </is>
      </c>
      <c r="O4828" s="45" t="inlineStr"/>
    </row>
    <row r="4829" customFormat="1" s="3">
      <c r="A4829" s="45" t="n"/>
      <c r="B4829" s="46" t="inlineStr">
        <is>
          <t>46264</t>
        </is>
      </c>
      <c r="C4829" s="46">
        <f>LEFT(Tableau1[[#This Row],[Formacode]],3)</f>
        <v/>
      </c>
      <c r="D4829" s="47" t="n">
        <v>36842</v>
      </c>
      <c r="E4829" s="48">
        <f>"RNCP"&amp;D4829</f>
        <v/>
      </c>
      <c r="F4829" s="48" t="inlineStr">
        <is>
          <t>DIPLOVIS - Concepteur réalisateur de films d'animation</t>
        </is>
      </c>
      <c r="G4829" s="49">
        <f>E4829&amp;" - "&amp;F4829</f>
        <v/>
      </c>
      <c r="H4829" s="36" t="inlineStr">
        <is>
          <t>RAS</t>
        </is>
      </c>
      <c r="I4829" s="45" t="inlineStr"/>
      <c r="J4829" s="45" t="inlineStr">
        <is>
          <t>RNCP36842</t>
        </is>
      </c>
      <c r="K4829" s="45" t="inlineStr">
        <is>
          <t>DIPLOVIS - Concepteur réalisateur de films d'animation</t>
        </is>
      </c>
      <c r="L4829" s="45" t="inlineStr">
        <is>
          <t>31/12/2030</t>
        </is>
      </c>
      <c r="M4829" s="45" t="inlineStr"/>
      <c r="N4829" s="50" t="inlineStr">
        <is>
          <t>NON</t>
        </is>
      </c>
      <c r="O4829" s="45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BTS - Métiers de l’audiovisuel option métiers du montage et de la postproduction</t>
        </is>
      </c>
      <c r="L4830" s="45" t="inlineStr">
        <is>
          <t>31/12/2030</t>
        </is>
      </c>
      <c r="M4830" s="45" t="inlineStr"/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BTS - Métiers de l’audiovisuel option métiers de l’image</t>
        </is>
      </c>
      <c r="L4831" s="45" t="inlineStr">
        <is>
          <t>31/12/2030</t>
        </is>
      </c>
      <c r="M4831" s="45" t="inlineStr"/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31/12/2030</t>
        </is>
      </c>
      <c r="M4832" s="45" t="inlineStr"/>
      <c r="N4832" s="50" t="inlineStr">
        <is>
          <t>NON</t>
        </is>
      </c>
      <c r="O4832" s="45" t="inlineStr"/>
    </row>
    <row r="4833" customFormat="1" s="3">
      <c r="A4833" s="45" t="n"/>
      <c r="B4833" s="46" t="inlineStr">
        <is>
          <t>46264</t>
        </is>
      </c>
      <c r="C4833" s="46">
        <f>LEFT(Tableau1[[#This Row],[Formacode]],3)</f>
        <v/>
      </c>
      <c r="D4833" s="47" t="n">
        <v>37854</v>
      </c>
      <c r="E4833" s="48">
        <f>"RNCP"&amp;D4833</f>
        <v/>
      </c>
      <c r="F4833" s="48" t="inlineStr">
        <is>
          <t>Opérateur de prise de vue</t>
        </is>
      </c>
      <c r="G4833" s="49">
        <f>E4833&amp;" - "&amp;F4833</f>
        <v/>
      </c>
      <c r="H4833" s="36" t="inlineStr">
        <is>
          <t>RAS</t>
        </is>
      </c>
      <c r="I4833" s="45" t="inlineStr"/>
      <c r="J4833" s="45" t="inlineStr">
        <is>
          <t>RNCP37854</t>
        </is>
      </c>
      <c r="K4833" s="45" t="inlineStr">
        <is>
          <t>Opérateur de prise de vue</t>
        </is>
      </c>
      <c r="L4833" s="45" t="inlineStr">
        <is>
          <t>31/12/2030</t>
        </is>
      </c>
      <c r="M4833" s="45" t="inlineStr"/>
      <c r="N4833" s="50" t="inlineStr">
        <is>
          <t>NON</t>
        </is>
      </c>
      <c r="O4833" s="45" t="inlineStr"/>
    </row>
    <row r="4834" customFormat="1" s="3">
      <c r="A4834" s="45" t="n"/>
      <c r="B4834" s="46" t="inlineStr">
        <is>
          <t>46264</t>
        </is>
      </c>
      <c r="C4834" s="46">
        <f>LEFT(Tableau1[[#This Row],[Formacode]],3)</f>
        <v/>
      </c>
      <c r="D4834" s="47" t="n">
        <v>38143</v>
      </c>
      <c r="E4834" s="48">
        <f>"RNCP"&amp;D4834</f>
        <v/>
      </c>
      <c r="F4834" s="48" t="inlineStr">
        <is>
          <t>Graphiste motion designer</t>
        </is>
      </c>
      <c r="G4834" s="49">
        <f>E4834&amp;" - "&amp;F4834</f>
        <v/>
      </c>
      <c r="H4834" s="36" t="inlineStr">
        <is>
          <t>RAS</t>
        </is>
      </c>
      <c r="I4834" s="45" t="inlineStr"/>
      <c r="J4834" s="45" t="inlineStr">
        <is>
          <t>RNCP38143</t>
        </is>
      </c>
      <c r="K4834" s="45" t="inlineStr">
        <is>
          <t>Graphiste motion designer</t>
        </is>
      </c>
      <c r="L4834" s="45" t="inlineStr">
        <is>
          <t>31/12/2030</t>
        </is>
      </c>
      <c r="M4834" s="45" t="inlineStr"/>
      <c r="N4834" s="50" t="inlineStr">
        <is>
          <t>NON</t>
        </is>
      </c>
      <c r="O4834" s="45" t="inlineStr"/>
    </row>
    <row r="4835" customFormat="1" s="3">
      <c r="A4835" s="45" t="n"/>
      <c r="B4835" s="46" t="inlineStr">
        <is>
          <t>46264</t>
        </is>
      </c>
      <c r="C4835" s="46">
        <f>LEFT(Tableau1[[#This Row],[Formacode]],3)</f>
        <v/>
      </c>
      <c r="D4835" s="47" t="n">
        <v>38268</v>
      </c>
      <c r="E4835" s="48">
        <f>"RNCP"&amp;D4835</f>
        <v/>
      </c>
      <c r="F4835" s="48" t="inlineStr">
        <is>
          <t>Motion designer</t>
        </is>
      </c>
      <c r="G4835" s="49">
        <f>E4835&amp;" - "&amp;F4835</f>
        <v/>
      </c>
      <c r="H4835" s="36" t="inlineStr">
        <is>
          <t>RAS</t>
        </is>
      </c>
      <c r="I4835" s="45" t="inlineStr"/>
      <c r="J4835" s="45" t="inlineStr">
        <is>
          <t>RNCP38268</t>
        </is>
      </c>
      <c r="K4835" s="45" t="inlineStr">
        <is>
          <t>Motion designer</t>
        </is>
      </c>
      <c r="L4835" s="45" t="inlineStr">
        <is>
          <t>31/12/2030</t>
        </is>
      </c>
      <c r="M4835" s="45" t="inlineStr"/>
      <c r="N4835" s="50" t="inlineStr">
        <is>
          <t>NON</t>
        </is>
      </c>
      <c r="O4835" s="45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31/12/2030</t>
        </is>
      </c>
      <c r="M4836" s="45" t="inlineStr"/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TP - Monteur audiovisuel</t>
        </is>
      </c>
      <c r="L4837" s="45" t="inlineStr">
        <is>
          <t>31/12/2030</t>
        </is>
      </c>
      <c r="M4837" s="45" t="inlineStr"/>
      <c r="N4837" s="50" t="inlineStr">
        <is>
          <t>NON</t>
        </is>
      </c>
      <c r="O4837" s="45" t="inlineStr"/>
    </row>
    <row r="4838" customFormat="1" s="3">
      <c r="A4838" s="45" t="n"/>
      <c r="B4838" s="46" t="inlineStr">
        <is>
          <t>46264</t>
        </is>
      </c>
      <c r="C4838" s="46">
        <f>LEFT(Tableau1[[#This Row],[Formacode]],3)</f>
        <v/>
      </c>
      <c r="D4838" s="47" t="n">
        <v>38803</v>
      </c>
      <c r="E4838" s="48">
        <f>"RNCP"&amp;D4838</f>
        <v/>
      </c>
      <c r="F4838" s="48" t="inlineStr">
        <is>
          <t>Cadreur monteur – vidéaste</t>
        </is>
      </c>
      <c r="G4838" s="49">
        <f>E4838&amp;" - "&amp;F4838</f>
        <v/>
      </c>
      <c r="H4838" s="36" t="inlineStr">
        <is>
          <t>RAS</t>
        </is>
      </c>
      <c r="I4838" s="45" t="inlineStr"/>
      <c r="J4838" s="45" t="inlineStr">
        <is>
          <t>RNCP38803</t>
        </is>
      </c>
      <c r="K4838" s="45" t="inlineStr">
        <is>
          <t>Cadreur monteur – vidéaste</t>
        </is>
      </c>
      <c r="L4838" s="45" t="inlineStr">
        <is>
          <t>31/12/2030</t>
        </is>
      </c>
      <c r="M4838" s="45" t="inlineStr"/>
      <c r="N4838" s="50" t="inlineStr">
        <is>
          <t>NON</t>
        </is>
      </c>
      <c r="O4838" s="45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31/12/2030</t>
        </is>
      </c>
      <c r="M4839" s="45" t="inlineStr"/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31/12/2030</t>
        </is>
      </c>
      <c r="M4840" s="45" t="inlineStr"/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31/12/2030</t>
        </is>
      </c>
      <c r="M4841" s="45" t="inlineStr"/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31/12/2030</t>
        </is>
      </c>
      <c r="M4842" s="45" t="inlineStr"/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31/12/2030</t>
        </is>
      </c>
      <c r="M4843" s="45" t="inlineStr"/>
      <c r="N4843" s="50" t="inlineStr">
        <is>
          <t>NON</t>
        </is>
      </c>
      <c r="O4843" s="45" t="inlineStr"/>
    </row>
    <row r="4844" customFormat="1" s="3">
      <c r="A4844" s="45" t="n"/>
      <c r="B4844" s="46" t="inlineStr">
        <is>
          <t>46264</t>
        </is>
      </c>
      <c r="C4844" s="46">
        <f>LEFT(Tableau1[[#This Row],[Formacode]],3)</f>
        <v/>
      </c>
      <c r="D4844" s="47" t="n">
        <v>39392</v>
      </c>
      <c r="E4844" s="48">
        <f>"RNCP"&amp;D4844</f>
        <v/>
      </c>
      <c r="F4844" s="48" t="inlineStr">
        <is>
          <t>Assistant réalisateur</t>
        </is>
      </c>
      <c r="G4844" s="49">
        <f>E4844&amp;" - "&amp;F4844</f>
        <v/>
      </c>
      <c r="H4844" s="36" t="inlineStr">
        <is>
          <t>RAS</t>
        </is>
      </c>
      <c r="I4844" s="45" t="inlineStr"/>
      <c r="J4844" s="45" t="inlineStr">
        <is>
          <t>RNCP39392</t>
        </is>
      </c>
      <c r="K4844" s="45" t="inlineStr">
        <is>
          <t>Assistant réalisateur</t>
        </is>
      </c>
      <c r="L4844" s="45" t="inlineStr">
        <is>
          <t>31/12/2030</t>
        </is>
      </c>
      <c r="M4844" s="45" t="inlineStr"/>
      <c r="N4844" s="50" t="inlineStr">
        <is>
          <t>NON</t>
        </is>
      </c>
      <c r="O4844" s="45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TP - Graphiste</t>
        </is>
      </c>
      <c r="L4845" s="45" t="inlineStr">
        <is>
          <t>31/12/2030</t>
        </is>
      </c>
      <c r="M4845" s="45" t="inlineStr"/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31/12/2030</t>
        </is>
      </c>
      <c r="M4846" s="45" t="inlineStr"/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31/12/2030</t>
        </is>
      </c>
      <c r="M4847" s="45" t="inlineStr"/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31/12/2030</t>
        </is>
      </c>
      <c r="M4848" s="45" t="inlineStr"/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31/12/2030</t>
        </is>
      </c>
      <c r="M4849" s="45" t="inlineStr"/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31/12/2030</t>
        </is>
      </c>
      <c r="M4850" s="45" t="inlineStr"/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31/12/2030</t>
        </is>
      </c>
      <c r="M4851" s="45" t="inlineStr"/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31/12/2030</t>
        </is>
      </c>
      <c r="M4852" s="45" t="inlineStr"/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31/12/2030</t>
        </is>
      </c>
      <c r="M4853" s="45" t="inlineStr"/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31/12/2030</t>
        </is>
      </c>
      <c r="M4854" s="45" t="inlineStr"/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31/12/2030</t>
        </is>
      </c>
      <c r="M4855" s="45" t="inlineStr"/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31/12/2030</t>
        </is>
      </c>
      <c r="M4856" s="45" t="inlineStr"/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31/12/2030</t>
        </is>
      </c>
      <c r="M4857" s="45" t="inlineStr"/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31/12/2030</t>
        </is>
      </c>
      <c r="M4858" s="45" t="inlineStr"/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31/12/2030</t>
        </is>
      </c>
      <c r="M4859" s="45" t="inlineStr"/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31/12/2030</t>
        </is>
      </c>
      <c r="M4860" s="45" t="inlineStr"/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CAP - Accessoiriste réalisateur</t>
        </is>
      </c>
      <c r="L4861" s="45" t="inlineStr">
        <is>
          <t>31/12/2030</t>
        </is>
      </c>
      <c r="M4861" s="45" t="inlineStr"/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31/12/2030</t>
        </is>
      </c>
      <c r="M4862" s="45" t="inlineStr"/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31/12/2030</t>
        </is>
      </c>
      <c r="M4863" s="45" t="inlineStr"/>
      <c r="N4863" s="50" t="inlineStr">
        <is>
          <t>NON</t>
        </is>
      </c>
      <c r="O4863" s="45" t="inlineStr"/>
    </row>
    <row r="4864" customFormat="1" s="3">
      <c r="A4864" s="45" t="n"/>
      <c r="B4864" s="46" t="inlineStr">
        <is>
          <t>46274</t>
        </is>
      </c>
      <c r="C4864" s="46">
        <f>LEFT(Tableau1[[#This Row],[Formacode]],3)</f>
        <v/>
      </c>
      <c r="D4864" s="47" t="n">
        <v>39392</v>
      </c>
      <c r="E4864" s="48">
        <f>"RNCP"&amp;D4864</f>
        <v/>
      </c>
      <c r="F4864" s="48" t="inlineStr">
        <is>
          <t>Assistant réalisateur</t>
        </is>
      </c>
      <c r="G4864" s="49">
        <f>E4864&amp;" - "&amp;F4864</f>
        <v/>
      </c>
      <c r="H4864" s="36" t="inlineStr">
        <is>
          <t>RAS</t>
        </is>
      </c>
      <c r="I4864" s="45" t="inlineStr"/>
      <c r="J4864" s="45" t="inlineStr">
        <is>
          <t>RNCP39392</t>
        </is>
      </c>
      <c r="K4864" s="45" t="inlineStr">
        <is>
          <t>Assistant réalisateur</t>
        </is>
      </c>
      <c r="L4864" s="45" t="inlineStr">
        <is>
          <t>31/12/2030</t>
        </is>
      </c>
      <c r="M4864" s="45" t="inlineStr"/>
      <c r="N4864" s="50" t="inlineStr">
        <is>
          <t>NON</t>
        </is>
      </c>
      <c r="O4864" s="45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31/12/2030</t>
        </is>
      </c>
      <c r="M4865" s="45" t="inlineStr"/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31/12/2030</t>
        </is>
      </c>
      <c r="M4866" s="45" t="inlineStr"/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31/12/2030</t>
        </is>
      </c>
      <c r="M4867" s="45" t="inlineStr"/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31/12/2030</t>
        </is>
      </c>
      <c r="M4868" s="45" t="inlineStr"/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BTS - Photographie</t>
        </is>
      </c>
      <c r="L4869" s="45" t="inlineStr">
        <is>
          <t>31/12/2030</t>
        </is>
      </c>
      <c r="M4869" s="45" t="inlineStr"/>
      <c r="N4869" s="50" t="inlineStr">
        <is>
          <t>NON</t>
        </is>
      </c>
      <c r="O4869" s="45" t="inlineStr"/>
    </row>
    <row r="4870" customFormat="1" s="3">
      <c r="A4870" s="45" t="n"/>
      <c r="B4870" s="46" t="inlineStr">
        <is>
          <t>46278</t>
        </is>
      </c>
      <c r="C4870" s="46">
        <f>LEFT(Tableau1[[#This Row],[Formacode]],3)</f>
        <v/>
      </c>
      <c r="D4870" s="47" t="n">
        <v>37333</v>
      </c>
      <c r="E4870" s="48">
        <f>"RNCP"&amp;D4870</f>
        <v/>
      </c>
      <c r="F4870" s="48" t="inlineStr">
        <is>
          <t>Photographe</t>
        </is>
      </c>
      <c r="G4870" s="49">
        <f>E4870&amp;" - "&amp;F4870</f>
        <v/>
      </c>
      <c r="H4870" s="36" t="inlineStr">
        <is>
          <t>RAS</t>
        </is>
      </c>
      <c r="I4870" s="45" t="inlineStr"/>
      <c r="J4870" s="45" t="inlineStr">
        <is>
          <t>RNCP37333</t>
        </is>
      </c>
      <c r="K4870" s="45" t="inlineStr">
        <is>
          <t>Photographe</t>
        </is>
      </c>
      <c r="L4870" s="45" t="inlineStr">
        <is>
          <t>31/12/2030</t>
        </is>
      </c>
      <c r="M4870" s="45" t="inlineStr"/>
      <c r="N4870" s="50" t="inlineStr">
        <is>
          <t>NON</t>
        </is>
      </c>
      <c r="O4870" s="45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31/12/2030</t>
        </is>
      </c>
      <c r="M4871" s="45" t="inlineStr"/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31/12/2030</t>
        </is>
      </c>
      <c r="M4872" s="45" t="inlineStr"/>
      <c r="N4872" s="50" t="inlineStr">
        <is>
          <t>NON</t>
        </is>
      </c>
      <c r="O4872" s="45" t="inlineStr"/>
    </row>
    <row r="4873" customFormat="1" s="3">
      <c r="A4873" s="45" t="n"/>
      <c r="B4873" s="46" t="inlineStr">
        <is>
          <t>46301</t>
        </is>
      </c>
      <c r="C4873" s="46">
        <f>LEFT(Tableau1[[#This Row],[Formacode]],3)</f>
        <v/>
      </c>
      <c r="D4873" s="47" t="n">
        <v>35959</v>
      </c>
      <c r="E4873" s="48">
        <f>"RNCP"&amp;D4873</f>
        <v/>
      </c>
      <c r="F4873" s="48" t="inlineStr">
        <is>
          <t>Développeur web</t>
        </is>
      </c>
      <c r="G4873" s="49">
        <f>E4873&amp;" - "&amp;F4873</f>
        <v/>
      </c>
      <c r="H4873" s="36" t="inlineStr">
        <is>
          <t>RAS</t>
        </is>
      </c>
      <c r="I4873" s="45" t="inlineStr"/>
      <c r="J4873" s="45" t="inlineStr">
        <is>
          <t>RNCP35959</t>
        </is>
      </c>
      <c r="K4873" s="45" t="inlineStr">
        <is>
          <t>Développeur web</t>
        </is>
      </c>
      <c r="L4873" s="45" t="inlineStr">
        <is>
          <t>31/12/2030</t>
        </is>
      </c>
      <c r="M4873" s="45" t="inlineStr"/>
      <c r="N4873" s="50" t="inlineStr">
        <is>
          <t>NON</t>
        </is>
      </c>
      <c r="O4873" s="45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31/12/2030</t>
        </is>
      </c>
      <c r="M4874" s="45" t="inlineStr"/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31/12/2030</t>
        </is>
      </c>
      <c r="M4875" s="45" t="inlineStr"/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Brevet de technicien supérieur - Communication</t>
        </is>
      </c>
      <c r="L4876" s="45" t="inlineStr">
        <is>
          <t>31/12/2030</t>
        </is>
      </c>
      <c r="M4876" s="45" t="inlineStr"/>
      <c r="N4876" s="50" t="inlineStr">
        <is>
          <t>NON</t>
        </is>
      </c>
      <c r="O4876" s="45" t="inlineStr"/>
    </row>
    <row r="4877" customFormat="1" s="3">
      <c r="A4877" s="45" t="n"/>
      <c r="B4877" s="46" t="inlineStr">
        <is>
          <t>46301</t>
        </is>
      </c>
      <c r="C4877" s="46">
        <f>LEFT(Tableau1[[#This Row],[Formacode]],3)</f>
        <v/>
      </c>
      <c r="D4877" s="47" t="n">
        <v>37611</v>
      </c>
      <c r="E4877" s="48">
        <f>"RNCP"&amp;D4877</f>
        <v/>
      </c>
      <c r="F4877" s="48" t="inlineStr">
        <is>
          <t>Régisseur général du spectacle et de l'évènementiel</t>
        </is>
      </c>
      <c r="G4877" s="49">
        <f>E4877&amp;" - "&amp;F4877</f>
        <v/>
      </c>
      <c r="H4877" s="36" t="inlineStr">
        <is>
          <t>RAS</t>
        </is>
      </c>
      <c r="I4877" s="45" t="inlineStr"/>
      <c r="J4877" s="45" t="inlineStr">
        <is>
          <t>RNCP37611</t>
        </is>
      </c>
      <c r="K4877" s="45" t="inlineStr">
        <is>
          <t>Régisseur général du spectacle et de l'évènementiel</t>
        </is>
      </c>
      <c r="L4877" s="45" t="inlineStr">
        <is>
          <t>31/12/2030</t>
        </is>
      </c>
      <c r="M4877" s="45" t="inlineStr"/>
      <c r="N4877" s="50" t="inlineStr">
        <is>
          <t>NON</t>
        </is>
      </c>
      <c r="O4877" s="45" t="inlineStr"/>
    </row>
    <row r="4878" customFormat="1" s="3">
      <c r="A4878" s="45" t="n"/>
      <c r="B4878" s="46" t="inlineStr">
        <is>
          <t>46301</t>
        </is>
      </c>
      <c r="C4878" s="46">
        <f>LEFT(Tableau1[[#This Row],[Formacode]],3)</f>
        <v/>
      </c>
      <c r="D4878" s="47" t="n">
        <v>37658</v>
      </c>
      <c r="E4878" s="48">
        <f>"RNCP"&amp;D4878</f>
        <v/>
      </c>
      <c r="F4878" s="48" t="inlineStr">
        <is>
          <t>Manager de la communication</t>
        </is>
      </c>
      <c r="G4878" s="49">
        <f>E4878&amp;" - "&amp;F4878</f>
        <v/>
      </c>
      <c r="H4878" s="36" t="inlineStr">
        <is>
          <t>RAS</t>
        </is>
      </c>
      <c r="I4878" s="45" t="inlineStr"/>
      <c r="J4878" s="45" t="inlineStr">
        <is>
          <t>RNCP37658</t>
        </is>
      </c>
      <c r="K4878" s="45" t="inlineStr">
        <is>
          <t>Manager de la communication</t>
        </is>
      </c>
      <c r="L4878" s="45" t="inlineStr">
        <is>
          <t>31/12/2030</t>
        </is>
      </c>
      <c r="M4878" s="45" t="inlineStr"/>
      <c r="N4878" s="50" t="inlineStr">
        <is>
          <t>NON</t>
        </is>
      </c>
      <c r="O4878" s="45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31/12/2030</t>
        </is>
      </c>
      <c r="M4879" s="45" t="inlineStr"/>
      <c r="N4879" s="50" t="inlineStr">
        <is>
          <t>NON</t>
        </is>
      </c>
      <c r="O4879" s="45" t="inlineStr"/>
    </row>
    <row r="4880" customFormat="1" s="3">
      <c r="A4880" s="45" t="n"/>
      <c r="B4880" s="46" t="inlineStr">
        <is>
          <t>46301</t>
        </is>
      </c>
      <c r="C4880" s="46">
        <f>LEFT(Tableau1[[#This Row],[Formacode]],3)</f>
        <v/>
      </c>
      <c r="D4880" s="47" t="n">
        <v>37775</v>
      </c>
      <c r="E4880" s="48">
        <f>"RNCP"&amp;D4880</f>
        <v/>
      </c>
      <c r="F4880" s="48" t="inlineStr">
        <is>
          <t>Manager de la communication de marque</t>
        </is>
      </c>
      <c r="G4880" s="49">
        <f>E4880&amp;" - "&amp;F4880</f>
        <v/>
      </c>
      <c r="H4880" s="36" t="inlineStr">
        <is>
          <t>RAS</t>
        </is>
      </c>
      <c r="I4880" s="45" t="inlineStr"/>
      <c r="J4880" s="45" t="inlineStr">
        <is>
          <t>RNCP37775</t>
        </is>
      </c>
      <c r="K4880" s="45" t="inlineStr">
        <is>
          <t>Manager de la communication de marque</t>
        </is>
      </c>
      <c r="L4880" s="45" t="inlineStr">
        <is>
          <t>31/12/2030</t>
        </is>
      </c>
      <c r="M4880" s="45" t="inlineStr"/>
      <c r="N4880" s="50" t="inlineStr">
        <is>
          <t>NON</t>
        </is>
      </c>
      <c r="O4880" s="45" t="inlineStr"/>
    </row>
    <row r="4881" customFormat="1" s="3">
      <c r="A4881" s="45" t="n"/>
      <c r="B4881" s="46" t="inlineStr">
        <is>
          <t>46301</t>
        </is>
      </c>
      <c r="C4881" s="46">
        <f>LEFT(Tableau1[[#This Row],[Formacode]],3)</f>
        <v/>
      </c>
      <c r="D4881" s="47" t="n">
        <v>37776</v>
      </c>
      <c r="E4881" s="48">
        <f>"RNCP"&amp;D4881</f>
        <v/>
      </c>
      <c r="F4881" s="48" t="inlineStr">
        <is>
          <t>Manager du contenu - content manager</t>
        </is>
      </c>
      <c r="G4881" s="49">
        <f>E4881&amp;" - "&amp;F4881</f>
        <v/>
      </c>
      <c r="H4881" s="36" t="inlineStr">
        <is>
          <t>RAS</t>
        </is>
      </c>
      <c r="I4881" s="45" t="inlineStr"/>
      <c r="J4881" s="45" t="inlineStr">
        <is>
          <t>RNCP37776</t>
        </is>
      </c>
      <c r="K4881" s="45" t="inlineStr">
        <is>
          <t>Manager du contenu - content manager</t>
        </is>
      </c>
      <c r="L4881" s="45" t="inlineStr">
        <is>
          <t>31/12/2030</t>
        </is>
      </c>
      <c r="M4881" s="45" t="inlineStr"/>
      <c r="N4881" s="50" t="inlineStr">
        <is>
          <t>NON</t>
        </is>
      </c>
      <c r="O4881" s="45" t="inlineStr"/>
    </row>
    <row r="4882" customFormat="1" s="3">
      <c r="A4882" s="45" t="n"/>
      <c r="B4882" s="46" t="inlineStr">
        <is>
          <t>46301</t>
        </is>
      </c>
      <c r="C4882" s="46">
        <f>LEFT(Tableau1[[#This Row],[Formacode]],3)</f>
        <v/>
      </c>
      <c r="D4882" s="47" t="n">
        <v>37777</v>
      </c>
      <c r="E4882" s="48">
        <f>"RNCP"&amp;D4882</f>
        <v/>
      </c>
      <c r="F4882" s="48" t="inlineStr">
        <is>
          <t>Responsable de communication</t>
        </is>
      </c>
      <c r="G4882" s="49">
        <f>E4882&amp;" - "&amp;F4882</f>
        <v/>
      </c>
      <c r="H4882" s="36" t="inlineStr">
        <is>
          <t>RAS</t>
        </is>
      </c>
      <c r="I4882" s="45" t="inlineStr"/>
      <c r="J4882" s="45" t="inlineStr">
        <is>
          <t>RNCP37777</t>
        </is>
      </c>
      <c r="K4882" s="45" t="inlineStr">
        <is>
          <t>Responsable de communication</t>
        </is>
      </c>
      <c r="L4882" s="45" t="inlineStr">
        <is>
          <t>31/12/2030</t>
        </is>
      </c>
      <c r="M4882" s="45" t="inlineStr"/>
      <c r="N4882" s="50" t="inlineStr">
        <is>
          <t>NON</t>
        </is>
      </c>
      <c r="O4882" s="45" t="inlineStr"/>
    </row>
    <row r="4883" customFormat="1" s="3">
      <c r="A4883" s="45" t="n"/>
      <c r="B4883" s="46" t="inlineStr">
        <is>
          <t>46301</t>
        </is>
      </c>
      <c r="C4883" s="46">
        <f>LEFT(Tableau1[[#This Row],[Formacode]],3)</f>
        <v/>
      </c>
      <c r="D4883" s="47" t="n">
        <v>37786</v>
      </c>
      <c r="E4883" s="48">
        <f>"RNCP"&amp;D4883</f>
        <v/>
      </c>
      <c r="F4883" s="48" t="inlineStr">
        <is>
          <t>Chargé de marketing et communication</t>
        </is>
      </c>
      <c r="G4883" s="49">
        <f>E4883&amp;" - "&amp;F4883</f>
        <v/>
      </c>
      <c r="H4883" s="36" t="inlineStr">
        <is>
          <t>RAS</t>
        </is>
      </c>
      <c r="I4883" s="45" t="inlineStr"/>
      <c r="J4883" s="45" t="inlineStr">
        <is>
          <t>RNCP37786</t>
        </is>
      </c>
      <c r="K4883" s="45" t="inlineStr">
        <is>
          <t>Chargé de marketing et communication</t>
        </is>
      </c>
      <c r="L4883" s="45" t="inlineStr">
        <is>
          <t>31/12/2030</t>
        </is>
      </c>
      <c r="M4883" s="45" t="inlineStr"/>
      <c r="N4883" s="50" t="inlineStr">
        <is>
          <t>NON</t>
        </is>
      </c>
      <c r="O4883" s="45" t="inlineStr"/>
    </row>
    <row r="4884" customFormat="1" s="3">
      <c r="A4884" s="45" t="n"/>
      <c r="B4884" s="46" t="inlineStr">
        <is>
          <t>46301</t>
        </is>
      </c>
      <c r="C4884" s="46">
        <f>LEFT(Tableau1[[#This Row],[Formacode]],3)</f>
        <v/>
      </c>
      <c r="D4884" s="47" t="n">
        <v>38125</v>
      </c>
      <c r="E4884" s="48">
        <f>"RNCP"&amp;D4884</f>
        <v/>
      </c>
      <c r="F4884" s="48" t="inlineStr">
        <is>
          <t>Responsable projet communication</t>
        </is>
      </c>
      <c r="G4884" s="49">
        <f>E4884&amp;" - "&amp;F4884</f>
        <v/>
      </c>
      <c r="H4884" s="36" t="inlineStr">
        <is>
          <t>RAS</t>
        </is>
      </c>
      <c r="I4884" s="45" t="inlineStr"/>
      <c r="J4884" s="45" t="inlineStr">
        <is>
          <t>RNCP38125</t>
        </is>
      </c>
      <c r="K4884" s="45" t="inlineStr">
        <is>
          <t>Responsable projet communication</t>
        </is>
      </c>
      <c r="L4884" s="45" t="inlineStr">
        <is>
          <t>31/12/2030</t>
        </is>
      </c>
      <c r="M4884" s="45" t="inlineStr"/>
      <c r="N4884" s="50" t="inlineStr">
        <is>
          <t>NON</t>
        </is>
      </c>
      <c r="O4884" s="45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31/12/2030</t>
        </is>
      </c>
      <c r="M4885" s="45" t="inlineStr"/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31/12/2030</t>
        </is>
      </c>
      <c r="M4886" s="45" t="inlineStr"/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31/12/2030</t>
        </is>
      </c>
      <c r="M4887" s="45" t="inlineStr"/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Grade_Master - Diplôme des Instituts d’Études Politiques – Sciences Po</t>
        </is>
      </c>
      <c r="L4888" s="45" t="inlineStr">
        <is>
          <t>31/12/2030</t>
        </is>
      </c>
      <c r="M4888" s="45" t="inlineStr"/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31/12/2030</t>
        </is>
      </c>
      <c r="M4889" s="45" t="inlineStr"/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31/12/2030</t>
        </is>
      </c>
      <c r="M4890" s="45" t="inlineStr"/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31/12/2030</t>
        </is>
      </c>
      <c r="M4891" s="45" t="inlineStr"/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31/12/2030</t>
        </is>
      </c>
      <c r="M4892" s="45" t="inlineStr"/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31/12/2030</t>
        </is>
      </c>
      <c r="M4893" s="45" t="inlineStr"/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31/12/2030</t>
        </is>
      </c>
      <c r="M4894" s="45" t="inlineStr"/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31/12/2030</t>
        </is>
      </c>
      <c r="M4895" s="45" t="inlineStr"/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31/12/2030</t>
        </is>
      </c>
      <c r="M4896" s="45" t="inlineStr"/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31/12/2030</t>
        </is>
      </c>
      <c r="M4897" s="45" t="inlineStr"/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31/12/2030</t>
        </is>
      </c>
      <c r="M4898" s="45" t="inlineStr"/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31/12/2030</t>
        </is>
      </c>
      <c r="M4899" s="45" t="inlineStr"/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31/12/2030</t>
        </is>
      </c>
      <c r="M4900" s="45" t="inlineStr"/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31/12/2030</t>
        </is>
      </c>
      <c r="M4901" s="45" t="inlineStr"/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31/12/2030</t>
        </is>
      </c>
      <c r="M4902" s="45" t="inlineStr"/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31/12/2030</t>
        </is>
      </c>
      <c r="M4903" s="45" t="inlineStr"/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31/12/2030</t>
        </is>
      </c>
      <c r="M4904" s="45" t="inlineStr"/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31/12/2030</t>
        </is>
      </c>
      <c r="M4905" s="45" t="inlineStr"/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BTS - Etudes de réalisation d'un projet de communication - Option A : Études de réalisation de produits plurimédia et B : Études de réalisation de produits imprimés</t>
        </is>
      </c>
      <c r="L4906" s="45" t="inlineStr">
        <is>
          <t>31/12/2030</t>
        </is>
      </c>
      <c r="M4906" s="45" t="inlineStr"/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Grade_Master - Diplôme des Instituts d’Études Politiques – Sciences Po</t>
        </is>
      </c>
      <c r="L4907" s="45" t="inlineStr">
        <is>
          <t>31/12/2030</t>
        </is>
      </c>
      <c r="M4907" s="45" t="inlineStr"/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31/12/2030</t>
        </is>
      </c>
      <c r="M4908" s="45" t="inlineStr"/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31/12/2030</t>
        </is>
      </c>
      <c r="M4909" s="45" t="inlineStr"/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31/12/2030</t>
        </is>
      </c>
      <c r="M4910" s="45" t="inlineStr"/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Grade_Master - Diplôme des Instituts d’Études Politiques – Sciences Po</t>
        </is>
      </c>
      <c r="L4911" s="45" t="inlineStr">
        <is>
          <t>31/12/2030</t>
        </is>
      </c>
      <c r="M4911" s="45" t="inlineStr"/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31/12/2030</t>
        </is>
      </c>
      <c r="M4912" s="45" t="inlineStr"/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31/12/2030</t>
        </is>
      </c>
      <c r="M4913" s="45" t="inlineStr"/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31/12/2030</t>
        </is>
      </c>
      <c r="M4914" s="45" t="inlineStr"/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Grade_Master - Diplôme des Instituts d’Études Politiques – Sciences Po</t>
        </is>
      </c>
      <c r="L4915" s="45" t="inlineStr">
        <is>
          <t>31/12/2030</t>
        </is>
      </c>
      <c r="M4915" s="45" t="inlineStr"/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31/12/2030</t>
        </is>
      </c>
      <c r="M4916" s="45" t="inlineStr"/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TP - Médiateur numérique</t>
        </is>
      </c>
      <c r="L4917" s="45" t="inlineStr">
        <is>
          <t>31/12/2030</t>
        </is>
      </c>
      <c r="M4917" s="45" t="inlineStr"/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31/12/2030</t>
        </is>
      </c>
      <c r="M4918" s="45" t="inlineStr"/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31/12/2030</t>
        </is>
      </c>
      <c r="M4919" s="45" t="inlineStr"/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Grade_Master - Diplôme des Instituts d’Études Politiques – Sciences Po</t>
        </is>
      </c>
      <c r="L4920" s="45" t="inlineStr">
        <is>
          <t>31/12/2030</t>
        </is>
      </c>
      <c r="M4920" s="45" t="inlineStr"/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31/12/2030</t>
        </is>
      </c>
      <c r="M4921" s="45" t="inlineStr"/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31/12/2030</t>
        </is>
      </c>
      <c r="M4922" s="45" t="inlineStr"/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BTS - Edition</t>
        </is>
      </c>
      <c r="L4923" s="45" t="inlineStr">
        <is>
          <t>31/12/2030</t>
        </is>
      </c>
      <c r="M4923" s="45" t="inlineStr"/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31/12/2030</t>
        </is>
      </c>
      <c r="M4924" s="45" t="inlineStr"/>
      <c r="N4924" s="50" t="inlineStr">
        <is>
          <t>NON</t>
        </is>
      </c>
      <c r="O4924" s="45" t="inlineStr"/>
    </row>
    <row r="4925" customFormat="1" s="3">
      <c r="A4925" s="45" t="n"/>
      <c r="B4925" s="46" t="inlineStr">
        <is>
          <t>46324</t>
        </is>
      </c>
      <c r="C4925" s="46">
        <f>LEFT(Tableau1[[#This Row],[Formacode]],3)</f>
        <v/>
      </c>
      <c r="D4925" s="47" t="n">
        <v>38301</v>
      </c>
      <c r="E4925" s="48">
        <f>"RNCP"&amp;D4925</f>
        <v/>
      </c>
      <c r="F4925" s="48" t="inlineStr">
        <is>
          <t>Brevet professionnel - Libraire</t>
        </is>
      </c>
      <c r="G4925" s="49">
        <f>E4925&amp;" - "&amp;F4925</f>
        <v/>
      </c>
      <c r="H4925" s="36" t="inlineStr">
        <is>
          <t>RAS</t>
        </is>
      </c>
      <c r="I4925" s="45" t="inlineStr"/>
      <c r="J4925" s="45" t="inlineStr">
        <is>
          <t>RNCP38301</t>
        </is>
      </c>
      <c r="K4925" s="45" t="inlineStr">
        <is>
          <t>Brevet professionnel - Libraire</t>
        </is>
      </c>
      <c r="L4925" s="45" t="inlineStr">
        <is>
          <t>31/12/2030</t>
        </is>
      </c>
      <c r="M4925" s="45" t="inlineStr"/>
      <c r="N4925" s="50" t="inlineStr">
        <is>
          <t>NON</t>
        </is>
      </c>
      <c r="O4925" s="45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Grade_Master - Diplôme des Instituts d’Études Politiques – Sciences Po</t>
        </is>
      </c>
      <c r="L4926" s="45" t="inlineStr">
        <is>
          <t>31/12/2030</t>
        </is>
      </c>
      <c r="M4926" s="45" t="inlineStr"/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31/12/2030</t>
        </is>
      </c>
      <c r="M4927" s="45" t="inlineStr"/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31/12/2030</t>
        </is>
      </c>
      <c r="M4928" s="45" t="inlineStr"/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31/12/2030</t>
        </is>
      </c>
      <c r="M4929" s="45" t="inlineStr"/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31/12/2030</t>
        </is>
      </c>
      <c r="M4930" s="45" t="inlineStr"/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Grade_Master - Diplôme des Instituts d’Études Politiques – Sciences Po</t>
        </is>
      </c>
      <c r="L4931" s="45" t="inlineStr">
        <is>
          <t>31/12/2030</t>
        </is>
      </c>
      <c r="M4931" s="45" t="inlineStr"/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31/12/2030</t>
        </is>
      </c>
      <c r="M4932" s="45" t="inlineStr"/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31/12/2030</t>
        </is>
      </c>
      <c r="M4933" s="45" t="inlineStr"/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31/12/2030</t>
        </is>
      </c>
      <c r="M4934" s="45" t="inlineStr"/>
      <c r="N4934" s="50" t="inlineStr">
        <is>
          <t>NON</t>
        </is>
      </c>
      <c r="O4934" s="45" t="inlineStr"/>
    </row>
    <row r="4935" customFormat="1" s="3">
      <c r="A4935" s="45" t="n"/>
      <c r="B4935" s="46" t="inlineStr">
        <is>
          <t>46329</t>
        </is>
      </c>
      <c r="C4935" s="46">
        <f>LEFT(Tableau1[[#This Row],[Formacode]],3)</f>
        <v/>
      </c>
      <c r="D4935" s="47" t="n">
        <v>35593</v>
      </c>
      <c r="E4935" s="48">
        <f>"RNCP"&amp;D4935</f>
        <v/>
      </c>
      <c r="F4935" s="48" t="inlineStr">
        <is>
          <t>Directeur de projets image et communication</t>
        </is>
      </c>
      <c r="G4935" s="49">
        <f>E4935&amp;" - "&amp;F4935</f>
        <v/>
      </c>
      <c r="H4935" s="36" t="inlineStr">
        <is>
          <t>RAS</t>
        </is>
      </c>
      <c r="I4935" s="45" t="inlineStr"/>
      <c r="J4935" s="45" t="inlineStr">
        <is>
          <t>RNCP35593</t>
        </is>
      </c>
      <c r="K4935" s="45" t="inlineStr">
        <is>
          <t>Directeur de projets image et communication</t>
        </is>
      </c>
      <c r="L4935" s="45" t="inlineStr">
        <is>
          <t>31/12/2030</t>
        </is>
      </c>
      <c r="M4935" s="45" t="inlineStr"/>
      <c r="N4935" s="50" t="inlineStr">
        <is>
          <t>NON</t>
        </is>
      </c>
      <c r="O4935" s="45" t="inlineStr"/>
    </row>
    <row r="4936" customFormat="1" s="3">
      <c r="A4936" s="45" t="n"/>
      <c r="B4936" s="46" t="inlineStr">
        <is>
          <t>46329</t>
        </is>
      </c>
      <c r="C4936" s="46">
        <f>LEFT(Tableau1[[#This Row],[Formacode]],3)</f>
        <v/>
      </c>
      <c r="D4936" s="47" t="n">
        <v>35634</v>
      </c>
      <c r="E4936" s="48">
        <f>"RNCP"&amp;D4936</f>
        <v/>
      </c>
      <c r="F4936" s="48" t="inlineStr">
        <is>
          <t>TP - Concepteur designer UI</t>
        </is>
      </c>
      <c r="G4936" s="49">
        <f>E4936&amp;" - "&amp;F4936</f>
        <v/>
      </c>
      <c r="H4936" s="36" t="inlineStr">
        <is>
          <t>RAS</t>
        </is>
      </c>
      <c r="I4936" s="45" t="inlineStr"/>
      <c r="J4936" s="45" t="inlineStr">
        <is>
          <t>RNCP35634</t>
        </is>
      </c>
      <c r="K4936" s="45" t="inlineStr">
        <is>
          <t>TP - Concepteur designer UI</t>
        </is>
      </c>
      <c r="L4936" s="45" t="inlineStr">
        <is>
          <t>31/12/2030</t>
        </is>
      </c>
      <c r="M4936" s="45" t="inlineStr"/>
      <c r="N4936" s="50" t="inlineStr">
        <is>
          <t>NON</t>
        </is>
      </c>
      <c r="O4936" s="45" t="inlineStr"/>
    </row>
    <row r="4937" customFormat="1" s="3">
      <c r="A4937" s="45" t="n"/>
      <c r="B4937" s="46" t="inlineStr">
        <is>
          <t>46329</t>
        </is>
      </c>
      <c r="C4937" s="46">
        <f>LEFT(Tableau1[[#This Row],[Formacode]],3)</f>
        <v/>
      </c>
      <c r="D4937" s="47" t="n">
        <v>35864</v>
      </c>
      <c r="E4937" s="48">
        <f>"RNCP"&amp;D4937</f>
        <v/>
      </c>
      <c r="F4937" s="48" t="inlineStr">
        <is>
          <t>Manager/Designer de produits et services numériques</t>
        </is>
      </c>
      <c r="G4937" s="49">
        <f>E4937&amp;" - "&amp;F4937</f>
        <v/>
      </c>
      <c r="H4937" s="36" t="inlineStr">
        <is>
          <t>RAS</t>
        </is>
      </c>
      <c r="I4937" s="45" t="inlineStr"/>
      <c r="J4937" s="45" t="inlineStr">
        <is>
          <t>RNCP35864</t>
        </is>
      </c>
      <c r="K4937" s="45" t="inlineStr">
        <is>
          <t>Manager/Designer de produits et services numériques</t>
        </is>
      </c>
      <c r="L4937" s="45" t="inlineStr">
        <is>
          <t>31/12/2030</t>
        </is>
      </c>
      <c r="M4937" s="45" t="inlineStr"/>
      <c r="N4937" s="50" t="inlineStr">
        <is>
          <t>NON</t>
        </is>
      </c>
      <c r="O4937" s="45" t="inlineStr"/>
    </row>
    <row r="4938" customFormat="1" s="3">
      <c r="A4938" s="45" t="n"/>
      <c r="B4938" s="46" t="inlineStr">
        <is>
          <t>46329</t>
        </is>
      </c>
      <c r="C4938" s="46">
        <f>LEFT(Tableau1[[#This Row],[Formacode]],3)</f>
        <v/>
      </c>
      <c r="D4938" s="47" t="n">
        <v>35959</v>
      </c>
      <c r="E4938" s="48">
        <f>"RNCP"&amp;D4938</f>
        <v/>
      </c>
      <c r="F4938" s="48" t="inlineStr">
        <is>
          <t>Développeur web</t>
        </is>
      </c>
      <c r="G4938" s="49">
        <f>E4938&amp;" - "&amp;F4938</f>
        <v/>
      </c>
      <c r="H4938" s="36" t="inlineStr">
        <is>
          <t>RAS</t>
        </is>
      </c>
      <c r="I4938" s="45" t="inlineStr"/>
      <c r="J4938" s="45" t="inlineStr">
        <is>
          <t>RNCP35959</t>
        </is>
      </c>
      <c r="K4938" s="45" t="inlineStr">
        <is>
          <t>Développeur web</t>
        </is>
      </c>
      <c r="L4938" s="45" t="inlineStr">
        <is>
          <t>31/12/2030</t>
        </is>
      </c>
      <c r="M4938" s="45" t="inlineStr"/>
      <c r="N4938" s="50" t="inlineStr">
        <is>
          <t>NON</t>
        </is>
      </c>
      <c r="O4938" s="45" t="inlineStr"/>
    </row>
    <row r="4939" customFormat="1" s="3">
      <c r="A4939" s="45" t="n"/>
      <c r="B4939" s="46" t="inlineStr">
        <is>
          <t>46329</t>
        </is>
      </c>
      <c r="C4939" s="46">
        <f>LEFT(Tableau1[[#This Row],[Formacode]],3)</f>
        <v/>
      </c>
      <c r="D4939" s="47" t="n">
        <v>36119</v>
      </c>
      <c r="E4939" s="48">
        <f>"RNCP"&amp;D4939</f>
        <v/>
      </c>
      <c r="F4939" s="48" t="inlineStr">
        <is>
          <t>Manager du marketing et de la transformation digitale</t>
        </is>
      </c>
      <c r="G4939" s="49">
        <f>E4939&amp;" - "&amp;F4939</f>
        <v/>
      </c>
      <c r="H4939" s="36" t="inlineStr">
        <is>
          <t>RAS</t>
        </is>
      </c>
      <c r="I4939" s="45" t="inlineStr"/>
      <c r="J4939" s="45" t="inlineStr">
        <is>
          <t>RNCP36119</t>
        </is>
      </c>
      <c r="K4939" s="45" t="inlineStr">
        <is>
          <t>Manager du marketing et de la transformation digitale</t>
        </is>
      </c>
      <c r="L4939" s="45" t="inlineStr">
        <is>
          <t>31/12/2030</t>
        </is>
      </c>
      <c r="M4939" s="45" t="inlineStr"/>
      <c r="N4939" s="50" t="inlineStr">
        <is>
          <t>NON</t>
        </is>
      </c>
      <c r="O4939" s="45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31/12/2030</t>
        </is>
      </c>
      <c r="M4940" s="45" t="inlineStr"/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31/12/2030</t>
        </is>
      </c>
      <c r="M4941" s="45" t="inlineStr"/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31/12/2030</t>
        </is>
      </c>
      <c r="M4942" s="45" t="inlineStr"/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31/12/2030</t>
        </is>
      </c>
      <c r="M4943" s="45" t="inlineStr"/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31/12/2030</t>
        </is>
      </c>
      <c r="M4944" s="45" t="inlineStr"/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TP - Développeur web et web mobile</t>
        </is>
      </c>
      <c r="L4945" s="45" t="inlineStr">
        <is>
          <t>31/12/2030</t>
        </is>
      </c>
      <c r="M4945" s="45" t="inlineStr"/>
      <c r="N4945" s="50" t="inlineStr">
        <is>
          <t>NON</t>
        </is>
      </c>
      <c r="O4945" s="45" t="inlineStr"/>
    </row>
    <row r="4946" customFormat="1" s="3">
      <c r="A4946" s="45" t="n"/>
      <c r="B4946" s="46" t="inlineStr">
        <is>
          <t>46329</t>
        </is>
      </c>
      <c r="C4946" s="46">
        <f>LEFT(Tableau1[[#This Row],[Formacode]],3)</f>
        <v/>
      </c>
      <c r="D4946" s="47" t="n">
        <v>37776</v>
      </c>
      <c r="E4946" s="48">
        <f>"RNCP"&amp;D4946</f>
        <v/>
      </c>
      <c r="F4946" s="48" t="inlineStr">
        <is>
          <t>Manager du contenu - content manager</t>
        </is>
      </c>
      <c r="G4946" s="49">
        <f>E4946&amp;" - "&amp;F4946</f>
        <v/>
      </c>
      <c r="H4946" s="36" t="inlineStr">
        <is>
          <t>RAS</t>
        </is>
      </c>
      <c r="I4946" s="45" t="inlineStr"/>
      <c r="J4946" s="45" t="inlineStr">
        <is>
          <t>RNCP37776</t>
        </is>
      </c>
      <c r="K4946" s="45" t="inlineStr">
        <is>
          <t>Manager du contenu - content manager</t>
        </is>
      </c>
      <c r="L4946" s="45" t="inlineStr">
        <is>
          <t>31/12/2030</t>
        </is>
      </c>
      <c r="M4946" s="45" t="inlineStr"/>
      <c r="N4946" s="50" t="inlineStr">
        <is>
          <t>NON</t>
        </is>
      </c>
      <c r="O4946" s="45" t="inlineStr"/>
    </row>
    <row r="4947" customFormat="1" s="3">
      <c r="A4947" s="45" t="n"/>
      <c r="B4947" s="46" t="inlineStr">
        <is>
          <t>46329</t>
        </is>
      </c>
      <c r="C4947" s="46">
        <f>LEFT(Tableau1[[#This Row],[Formacode]],3)</f>
        <v/>
      </c>
      <c r="D4947" s="47" t="n">
        <v>37777</v>
      </c>
      <c r="E4947" s="48">
        <f>"RNCP"&amp;D4947</f>
        <v/>
      </c>
      <c r="F4947" s="48" t="inlineStr">
        <is>
          <t>Responsable de communication</t>
        </is>
      </c>
      <c r="G4947" s="49">
        <f>E4947&amp;" - "&amp;F4947</f>
        <v/>
      </c>
      <c r="H4947" s="36" t="inlineStr">
        <is>
          <t>RAS</t>
        </is>
      </c>
      <c r="I4947" s="45" t="inlineStr"/>
      <c r="J4947" s="45" t="inlineStr">
        <is>
          <t>RNCP37777</t>
        </is>
      </c>
      <c r="K4947" s="45" t="inlineStr">
        <is>
          <t>Responsable de communication</t>
        </is>
      </c>
      <c r="L4947" s="45" t="inlineStr">
        <is>
          <t>31/12/2030</t>
        </is>
      </c>
      <c r="M4947" s="45" t="inlineStr"/>
      <c r="N4947" s="50" t="inlineStr">
        <is>
          <t>NON</t>
        </is>
      </c>
      <c r="O4947" s="45" t="inlineStr"/>
    </row>
    <row r="4948" customFormat="1" s="3">
      <c r="A4948" s="45" t="n"/>
      <c r="B4948" s="46" t="inlineStr">
        <is>
          <t>46329</t>
        </is>
      </c>
      <c r="C4948" s="46">
        <f>LEFT(Tableau1[[#This Row],[Formacode]],3)</f>
        <v/>
      </c>
      <c r="D4948" s="47" t="n">
        <v>37793</v>
      </c>
      <c r="E4948" s="48">
        <f>"RNCP"&amp;D4948</f>
        <v/>
      </c>
      <c r="F4948" s="48" t="inlineStr">
        <is>
          <t>Manager de la stratégie digitale</t>
        </is>
      </c>
      <c r="G4948" s="49">
        <f>E4948&amp;" - "&amp;F4948</f>
        <v/>
      </c>
      <c r="H4948" s="36" t="inlineStr">
        <is>
          <t>RAS</t>
        </is>
      </c>
      <c r="I4948" s="45" t="inlineStr"/>
      <c r="J4948" s="45" t="inlineStr">
        <is>
          <t>RNCP37793</t>
        </is>
      </c>
      <c r="K4948" s="45" t="inlineStr">
        <is>
          <t>Manager de la stratégie digitale</t>
        </is>
      </c>
      <c r="L4948" s="45" t="inlineStr">
        <is>
          <t>31/12/2030</t>
        </is>
      </c>
      <c r="M4948" s="45" t="inlineStr"/>
      <c r="N4948" s="50" t="inlineStr">
        <is>
          <t>NON</t>
        </is>
      </c>
      <c r="O4948" s="45" t="inlineStr"/>
    </row>
    <row r="4949" customFormat="1" s="3">
      <c r="A4949" s="45" t="n"/>
      <c r="B4949" s="46" t="inlineStr">
        <is>
          <t>46329</t>
        </is>
      </c>
      <c r="C4949" s="46">
        <f>LEFT(Tableau1[[#This Row],[Formacode]],3)</f>
        <v/>
      </c>
      <c r="D4949" s="47" t="n">
        <v>38018</v>
      </c>
      <c r="E4949" s="48">
        <f>"RNCP"&amp;D4949</f>
        <v/>
      </c>
      <c r="F4949" s="48" t="inlineStr">
        <is>
          <t>Chef de projet digital</t>
        </is>
      </c>
      <c r="G4949" s="49">
        <f>E4949&amp;" - "&amp;F4949</f>
        <v/>
      </c>
      <c r="H4949" s="36" t="inlineStr">
        <is>
          <t>RAS</t>
        </is>
      </c>
      <c r="I4949" s="45" t="inlineStr"/>
      <c r="J4949" s="45" t="inlineStr">
        <is>
          <t>RNCP38018</t>
        </is>
      </c>
      <c r="K4949" s="45" t="inlineStr">
        <is>
          <t>Chef de projet digital</t>
        </is>
      </c>
      <c r="L4949" s="45" t="inlineStr">
        <is>
          <t>31/12/2030</t>
        </is>
      </c>
      <c r="M4949" s="45" t="inlineStr"/>
      <c r="N4949" s="50" t="inlineStr">
        <is>
          <t>NON</t>
        </is>
      </c>
      <c r="O4949" s="45" t="inlineStr"/>
    </row>
    <row r="4950" customFormat="1" s="3">
      <c r="A4950" s="45" t="n"/>
      <c r="B4950" s="46" t="inlineStr">
        <is>
          <t>46329</t>
        </is>
      </c>
      <c r="C4950" s="46">
        <f>LEFT(Tableau1[[#This Row],[Formacode]],3)</f>
        <v/>
      </c>
      <c r="D4950" s="47" t="n">
        <v>38125</v>
      </c>
      <c r="E4950" s="48">
        <f>"RNCP"&amp;D4950</f>
        <v/>
      </c>
      <c r="F4950" s="48" t="inlineStr">
        <is>
          <t>Responsable projet communication</t>
        </is>
      </c>
      <c r="G4950" s="49">
        <f>E4950&amp;" - "&amp;F4950</f>
        <v/>
      </c>
      <c r="H4950" s="36" t="inlineStr">
        <is>
          <t>RAS</t>
        </is>
      </c>
      <c r="I4950" s="45" t="inlineStr"/>
      <c r="J4950" s="45" t="inlineStr">
        <is>
          <t>RNCP38125</t>
        </is>
      </c>
      <c r="K4950" s="45" t="inlineStr">
        <is>
          <t>Responsable projet communication</t>
        </is>
      </c>
      <c r="L4950" s="45" t="inlineStr">
        <is>
          <t>31/12/2030</t>
        </is>
      </c>
      <c r="M4950" s="45" t="inlineStr"/>
      <c r="N4950" s="50" t="inlineStr">
        <is>
          <t>NON</t>
        </is>
      </c>
      <c r="O4950" s="45" t="inlineStr"/>
    </row>
    <row r="4951" customFormat="1" s="3">
      <c r="A4951" s="45" t="n"/>
      <c r="B4951" s="46" t="inlineStr">
        <is>
          <t>46329</t>
        </is>
      </c>
      <c r="C4951" s="46">
        <f>LEFT(Tableau1[[#This Row],[Formacode]],3)</f>
        <v/>
      </c>
      <c r="D4951" s="47" t="n">
        <v>38244</v>
      </c>
      <c r="E4951" s="48">
        <f>"RNCP"&amp;D4951</f>
        <v/>
      </c>
      <c r="F4951" s="48" t="inlineStr">
        <is>
          <t>Concepteur UI et webdesign</t>
        </is>
      </c>
      <c r="G4951" s="49">
        <f>E4951&amp;" - "&amp;F4951</f>
        <v/>
      </c>
      <c r="H4951" s="36" t="inlineStr">
        <is>
          <t>RAS</t>
        </is>
      </c>
      <c r="I4951" s="45" t="inlineStr"/>
      <c r="J4951" s="45" t="inlineStr">
        <is>
          <t>RNCP38244</t>
        </is>
      </c>
      <c r="K4951" s="45" t="inlineStr">
        <is>
          <t>Concepteur UI et webdesign</t>
        </is>
      </c>
      <c r="L4951" s="45" t="inlineStr">
        <is>
          <t>31/12/2030</t>
        </is>
      </c>
      <c r="M4951" s="45" t="inlineStr"/>
      <c r="N4951" s="50" t="inlineStr">
        <is>
          <t>NON</t>
        </is>
      </c>
      <c r="O4951" s="45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31/12/2030</t>
        </is>
      </c>
      <c r="M4952" s="45" t="inlineStr"/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31/12/2030</t>
        </is>
      </c>
      <c r="M4953" s="45" t="inlineStr"/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Grade_Master - Diplôme des Instituts d’Études Politiques – Sciences Po</t>
        </is>
      </c>
      <c r="L4954" s="45" t="inlineStr">
        <is>
          <t>31/12/2030</t>
        </is>
      </c>
      <c r="M4954" s="45" t="inlineStr"/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31/12/2030</t>
        </is>
      </c>
      <c r="M4955" s="45" t="inlineStr"/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31/12/2030</t>
        </is>
      </c>
      <c r="M4956" s="45" t="inlineStr"/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31/12/2030</t>
        </is>
      </c>
      <c r="M4957" s="45" t="inlineStr"/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31/12/2030</t>
        </is>
      </c>
      <c r="M4958" s="45" t="inlineStr"/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31/12/2030</t>
        </is>
      </c>
      <c r="M4959" s="45" t="inlineStr"/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31/12/2030</t>
        </is>
      </c>
      <c r="M4960" s="45" t="inlineStr"/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31/12/2030</t>
        </is>
      </c>
      <c r="M4961" s="45" t="inlineStr"/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31/12/2030</t>
        </is>
      </c>
      <c r="M4962" s="45" t="inlineStr"/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31/12/2030</t>
        </is>
      </c>
      <c r="M4963" s="45" t="inlineStr"/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31/12/2030</t>
        </is>
      </c>
      <c r="M4964" s="45" t="inlineStr"/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31/12/2030</t>
        </is>
      </c>
      <c r="M4965" s="45" t="inlineStr"/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31/12/2030</t>
        </is>
      </c>
      <c r="M4966" s="45" t="inlineStr"/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31/12/2030</t>
        </is>
      </c>
      <c r="M4967" s="45" t="inlineStr"/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31/12/2030</t>
        </is>
      </c>
      <c r="M4968" s="45" t="inlineStr"/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31/12/2030</t>
        </is>
      </c>
      <c r="M4969" s="45" t="inlineStr"/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31/12/2030</t>
        </is>
      </c>
      <c r="M4970" s="45" t="inlineStr"/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31/12/2030</t>
        </is>
      </c>
      <c r="M4971" s="45" t="inlineStr"/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31/12/2030</t>
        </is>
      </c>
      <c r="M4972" s="45" t="inlineStr"/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31/12/2030</t>
        </is>
      </c>
      <c r="M4973" s="45" t="inlineStr"/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31/12/2030</t>
        </is>
      </c>
      <c r="M4974" s="45" t="inlineStr"/>
      <c r="N4974" s="50" t="inlineStr">
        <is>
          <t>NON</t>
        </is>
      </c>
      <c r="O4974" s="45" t="inlineStr"/>
    </row>
    <row r="4975" customFormat="1" s="3">
      <c r="A4975" s="45" t="n"/>
      <c r="B4975" s="46" t="inlineStr">
        <is>
          <t>46339</t>
        </is>
      </c>
      <c r="C4975" s="46">
        <f>LEFT(Tableau1[[#This Row],[Formacode]],3)</f>
        <v/>
      </c>
      <c r="D4975" s="47" t="n">
        <v>35864</v>
      </c>
      <c r="E4975" s="48">
        <f>"RNCP"&amp;D4975</f>
        <v/>
      </c>
      <c r="F4975" s="48" t="inlineStr">
        <is>
          <t>Manager/Designer de produits et services numériques</t>
        </is>
      </c>
      <c r="G4975" s="49">
        <f>E4975&amp;" - "&amp;F4975</f>
        <v/>
      </c>
      <c r="H4975" s="36" t="inlineStr">
        <is>
          <t>RAS</t>
        </is>
      </c>
      <c r="I4975" s="45" t="inlineStr"/>
      <c r="J4975" s="45" t="inlineStr">
        <is>
          <t>RNCP35864</t>
        </is>
      </c>
      <c r="K4975" s="45" t="inlineStr">
        <is>
          <t>Manager/Designer de produits et services numériques</t>
        </is>
      </c>
      <c r="L4975" s="45" t="inlineStr">
        <is>
          <t>31/12/2030</t>
        </is>
      </c>
      <c r="M4975" s="45" t="inlineStr"/>
      <c r="N4975" s="50" t="inlineStr">
        <is>
          <t>NON</t>
        </is>
      </c>
      <c r="O4975" s="45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31/12/2030</t>
        </is>
      </c>
      <c r="M4976" s="45" t="inlineStr"/>
      <c r="N4976" s="50" t="inlineStr">
        <is>
          <t>NON</t>
        </is>
      </c>
      <c r="O4976" s="45" t="inlineStr"/>
    </row>
    <row r="4977" customFormat="1" s="3">
      <c r="A4977" s="45" t="n"/>
      <c r="B4977" s="46" t="inlineStr">
        <is>
          <t>46339</t>
        </is>
      </c>
      <c r="C4977" s="46">
        <f>LEFT(Tableau1[[#This Row],[Formacode]],3)</f>
        <v/>
      </c>
      <c r="D4977" s="47" t="n">
        <v>37793</v>
      </c>
      <c r="E4977" s="48">
        <f>"RNCP"&amp;D4977</f>
        <v/>
      </c>
      <c r="F4977" s="48" t="inlineStr">
        <is>
          <t>Manager de la stratégie digitale</t>
        </is>
      </c>
      <c r="G4977" s="49">
        <f>E4977&amp;" - "&amp;F4977</f>
        <v/>
      </c>
      <c r="H4977" s="36" t="inlineStr">
        <is>
          <t>RAS</t>
        </is>
      </c>
      <c r="I4977" s="45" t="inlineStr"/>
      <c r="J4977" s="45" t="inlineStr">
        <is>
          <t>RNCP37793</t>
        </is>
      </c>
      <c r="K4977" s="45" t="inlineStr">
        <is>
          <t>Manager de la stratégie digitale</t>
        </is>
      </c>
      <c r="L4977" s="45" t="inlineStr">
        <is>
          <t>31/12/2030</t>
        </is>
      </c>
      <c r="M4977" s="45" t="inlineStr"/>
      <c r="N4977" s="50" t="inlineStr">
        <is>
          <t>NON</t>
        </is>
      </c>
      <c r="O4977" s="45" t="inlineStr"/>
    </row>
    <row r="4978" customFormat="1" s="3">
      <c r="A4978" s="45" t="n"/>
      <c r="B4978" s="46" t="inlineStr">
        <is>
          <t>46339</t>
        </is>
      </c>
      <c r="C4978" s="46">
        <f>LEFT(Tableau1[[#This Row],[Formacode]],3)</f>
        <v/>
      </c>
      <c r="D4978" s="47" t="n">
        <v>38018</v>
      </c>
      <c r="E4978" s="48">
        <f>"RNCP"&amp;D4978</f>
        <v/>
      </c>
      <c r="F4978" s="48" t="inlineStr">
        <is>
          <t>Chef de projet digital</t>
        </is>
      </c>
      <c r="G4978" s="49">
        <f>E4978&amp;" - "&amp;F4978</f>
        <v/>
      </c>
      <c r="H4978" s="36" t="inlineStr">
        <is>
          <t>RAS</t>
        </is>
      </c>
      <c r="I4978" s="45" t="inlineStr"/>
      <c r="J4978" s="45" t="inlineStr">
        <is>
          <t>RNCP38018</t>
        </is>
      </c>
      <c r="K4978" s="45" t="inlineStr">
        <is>
          <t>Chef de projet digital</t>
        </is>
      </c>
      <c r="L4978" s="45" t="inlineStr">
        <is>
          <t>31/12/2030</t>
        </is>
      </c>
      <c r="M4978" s="45" t="inlineStr"/>
      <c r="N4978" s="50" t="inlineStr">
        <is>
          <t>NON</t>
        </is>
      </c>
      <c r="O4978" s="45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31/12/2030</t>
        </is>
      </c>
      <c r="M4979" s="45" t="inlineStr"/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Grade_Master - Diplôme des Instituts d’Études Politiques – Sciences Po</t>
        </is>
      </c>
      <c r="L4980" s="45" t="inlineStr">
        <is>
          <t>31/12/2030</t>
        </is>
      </c>
      <c r="M4980" s="45" t="inlineStr"/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31/12/2030</t>
        </is>
      </c>
      <c r="M4981" s="45" t="inlineStr"/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31/12/2030</t>
        </is>
      </c>
      <c r="M4982" s="45" t="inlineStr"/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31/12/2030</t>
        </is>
      </c>
      <c r="M4983" s="45" t="inlineStr"/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31/12/2030</t>
        </is>
      </c>
      <c r="M4984" s="45" t="inlineStr"/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31/12/2030</t>
        </is>
      </c>
      <c r="M4985" s="45" t="inlineStr"/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31/12/2030</t>
        </is>
      </c>
      <c r="M4986" s="45" t="inlineStr"/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31/12/2030</t>
        </is>
      </c>
      <c r="M4987" s="45" t="inlineStr"/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Grade_Master - Diplôme des Instituts d’Études Politiques – Sciences Po</t>
        </is>
      </c>
      <c r="L4988" s="45" t="inlineStr">
        <is>
          <t>31/12/2030</t>
        </is>
      </c>
      <c r="M4988" s="45" t="inlineStr"/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31/12/2030</t>
        </is>
      </c>
      <c r="M4989" s="45" t="inlineStr"/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31/12/2030</t>
        </is>
      </c>
      <c r="M4990" s="45" t="inlineStr"/>
      <c r="N4990" s="50" t="inlineStr">
        <is>
          <t>NON</t>
        </is>
      </c>
      <c r="O4990" s="45" t="inlineStr"/>
    </row>
    <row r="4991" customFormat="1" s="3">
      <c r="A4991" s="45" t="n"/>
      <c r="B4991" s="46" t="inlineStr">
        <is>
          <t>46373</t>
        </is>
      </c>
      <c r="C4991" s="46">
        <f>LEFT(Tableau1[[#This Row],[Formacode]],3)</f>
        <v/>
      </c>
      <c r="D4991" s="47" t="n">
        <v>37333</v>
      </c>
      <c r="E4991" s="48">
        <f>"RNCP"&amp;D4991</f>
        <v/>
      </c>
      <c r="F4991" s="48" t="inlineStr">
        <is>
          <t>Photographe</t>
        </is>
      </c>
      <c r="G4991" s="49">
        <f>E4991&amp;" - "&amp;F4991</f>
        <v/>
      </c>
      <c r="H4991" s="36" t="inlineStr">
        <is>
          <t>RAS</t>
        </is>
      </c>
      <c r="I4991" s="45" t="inlineStr"/>
      <c r="J4991" s="45" t="inlineStr">
        <is>
          <t>RNCP37333</t>
        </is>
      </c>
      <c r="K4991" s="45" t="inlineStr">
        <is>
          <t>Photographe</t>
        </is>
      </c>
      <c r="L4991" s="45" t="inlineStr">
        <is>
          <t>31/12/2030</t>
        </is>
      </c>
      <c r="M4991" s="45" t="inlineStr"/>
      <c r="N4991" s="50" t="inlineStr">
        <is>
          <t>NON</t>
        </is>
      </c>
      <c r="O4991" s="45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31/12/2030</t>
        </is>
      </c>
      <c r="M4992" s="45" t="inlineStr"/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Grade_Master - Diplôme des Instituts d’Études Politiques – Sciences Po</t>
        </is>
      </c>
      <c r="L4993" s="45" t="inlineStr">
        <is>
          <t>31/12/2030</t>
        </is>
      </c>
      <c r="M4993" s="45" t="inlineStr"/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31/12/2030</t>
        </is>
      </c>
      <c r="M4994" s="45" t="inlineStr"/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31/12/2030</t>
        </is>
      </c>
      <c r="M4995" s="45" t="inlineStr"/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31/12/2030</t>
        </is>
      </c>
      <c r="M4996" s="45" t="inlineStr"/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31/12/2030</t>
        </is>
      </c>
      <c r="M4997" s="45" t="inlineStr"/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31/12/2030</t>
        </is>
      </c>
      <c r="M4998" s="45" t="inlineStr"/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31/12/2030</t>
        </is>
      </c>
      <c r="M4999" s="45" t="inlineStr"/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31/12/2030</t>
        </is>
      </c>
      <c r="M5000" s="45" t="inlineStr"/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31/12/2030</t>
        </is>
      </c>
      <c r="M5001" s="45" t="inlineStr"/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Grade_Master - Diplôme des Instituts d’Études Politiques – Sciences Po</t>
        </is>
      </c>
      <c r="L5002" s="45" t="inlineStr">
        <is>
          <t>31/12/2030</t>
        </is>
      </c>
      <c r="M5002" s="45" t="inlineStr"/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31/12/2030</t>
        </is>
      </c>
      <c r="M5003" s="45" t="inlineStr"/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31/12/2030</t>
        </is>
      </c>
      <c r="M5004" s="45" t="inlineStr"/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RNCP38301</t>
        </is>
      </c>
      <c r="B3" s="48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48" t="inlineStr">
        <is>
          <t>RNCP39706</t>
        </is>
      </c>
      <c r="B9" s="48" t="inlineStr">
        <is>
          <t>CAP - Arts de la broderie</t>
        </is>
      </c>
    </row>
    <row r="10">
      <c r="A10" s="48" t="inlineStr">
        <is>
          <t>RNCP35640</t>
        </is>
      </c>
      <c r="B10" s="48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48" t="inlineStr">
        <is>
          <t>RNCP39714</t>
        </is>
      </c>
      <c r="B14" s="48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48" t="inlineStr">
        <is>
          <t>RNCP35699</t>
        </is>
      </c>
      <c r="B16" s="48" t="inlineStr">
        <is>
          <t>CAP - Assistant luthier du quatuor</t>
        </is>
      </c>
    </row>
    <row r="17">
      <c r="A17" s="48" t="inlineStr">
        <is>
          <t>RNCP36255</t>
        </is>
      </c>
      <c r="B17" s="48" t="inlineStr">
        <is>
          <t>CAP - Assistant technique en instruments de musique options : Accordéon, Guitare, Instruments à vent, Piano</t>
        </is>
      </c>
    </row>
    <row r="18">
      <c r="A18" s="48" t="inlineStr">
        <is>
          <t>RNCP39716</t>
        </is>
      </c>
      <c r="B18" s="48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48" t="inlineStr">
        <is>
          <t>RNCP36683</t>
        </is>
      </c>
      <c r="B21" s="48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48" t="inlineStr">
        <is>
          <t>RNCP39031</t>
        </is>
      </c>
      <c r="B23" s="48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48" t="inlineStr">
        <is>
          <t>RNCP39807</t>
        </is>
      </c>
      <c r="B26" s="48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48" t="inlineStr">
        <is>
          <t>RNCP39788</t>
        </is>
      </c>
      <c r="B30" s="48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48" t="inlineStr">
        <is>
          <t>RNCP39492</t>
        </is>
      </c>
      <c r="B32" s="48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48" t="inlineStr">
        <is>
          <t>RNCP35639</t>
        </is>
      </c>
      <c r="B40" s="48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48" t="inlineStr">
        <is>
          <t>RNCP38711</t>
        </is>
      </c>
      <c r="B43" s="48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RNCP37911</t>
        </is>
      </c>
      <c r="B2" s="48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48" t="inlineStr">
        <is>
          <t>RNCP36112</t>
        </is>
      </c>
      <c r="B9" s="48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48" t="inlineStr">
        <is>
          <t>RNCP39492</t>
        </is>
      </c>
      <c r="B11" s="48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48" t="inlineStr">
        <is>
          <t>RNCP35517</t>
        </is>
      </c>
      <c r="B3" s="48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48" t="inlineStr">
        <is>
          <t>RNCP36004</t>
        </is>
      </c>
      <c r="B10" s="48" t="inlineStr">
        <is>
          <t>DE - Accompagnant éducatif et social</t>
        </is>
      </c>
    </row>
    <row r="11">
      <c r="A11" s="48" t="inlineStr">
        <is>
          <t>RNCP37675</t>
        </is>
      </c>
      <c r="B11" s="48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48" t="inlineStr">
        <is>
          <t>RNCP37678</t>
        </is>
      </c>
      <c r="B13" s="48" t="inlineStr">
        <is>
          <t>DE - Conseiller en économie sociale familiale</t>
        </is>
      </c>
    </row>
    <row r="14">
      <c r="A14" s="48" t="inlineStr">
        <is>
          <t>RNCP37679</t>
        </is>
      </c>
      <c r="B14" s="48" t="inlineStr">
        <is>
          <t>DE - Educateur de jeunes enfants</t>
        </is>
      </c>
    </row>
    <row r="15">
      <c r="A15" s="48" t="inlineStr">
        <is>
          <t>RNCP37676</t>
        </is>
      </c>
      <c r="B15" s="48" t="inlineStr">
        <is>
          <t>DE - Educateur spécialisé</t>
        </is>
      </c>
    </row>
    <row r="16">
      <c r="A16" s="48" t="inlineStr">
        <is>
          <t>RNCP37677</t>
        </is>
      </c>
      <c r="B16" s="48" t="inlineStr">
        <is>
          <t>DE - Educateur technique spécialisé</t>
        </is>
      </c>
    </row>
    <row r="17">
      <c r="A17" s="48" t="inlineStr">
        <is>
          <t>RNCP39644</t>
        </is>
      </c>
      <c r="B17" s="48" t="inlineStr">
        <is>
          <t>DE - Ingénierie sociale</t>
        </is>
      </c>
    </row>
    <row r="18">
      <c r="A18" s="48" t="inlineStr">
        <is>
          <t>RNCP39645</t>
        </is>
      </c>
      <c r="B18" s="48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48" t="inlineStr">
        <is>
          <t>RNCP39643</t>
        </is>
      </c>
      <c r="B20" s="48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48" t="inlineStr">
        <is>
          <t>RNCP40692</t>
        </is>
      </c>
      <c r="B11" s="48" t="inlineStr">
        <is>
          <t>DE - Aide-Soignant (DEAS)</t>
        </is>
      </c>
    </row>
    <row r="12">
      <c r="A12" s="48" t="inlineStr">
        <is>
          <t>RNCP40743</t>
        </is>
      </c>
      <c r="B12" s="48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48" t="inlineStr">
        <is>
          <t>RNCP37492</t>
        </is>
      </c>
      <c r="B7" s="48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48" t="inlineStr">
        <is>
          <t>RNCP35317</t>
        </is>
      </c>
      <c r="B12" s="48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RNCP38380</t>
        </is>
      </c>
      <c r="B2" s="48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48" t="inlineStr">
        <is>
          <t>RNCP35807</t>
        </is>
      </c>
      <c r="B4" s="48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48" t="inlineStr">
        <is>
          <t>RNCP35808</t>
        </is>
      </c>
      <c r="B13" s="48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48" t="inlineStr">
        <is>
          <t>RNCP38225</t>
        </is>
      </c>
      <c r="B6" s="48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48" t="inlineStr">
        <is>
          <t>RNCP35185</t>
        </is>
      </c>
      <c r="B6" s="48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48" t="inlineStr">
        <is>
          <t>RNCP37310</t>
        </is>
      </c>
      <c r="B8" s="48" t="inlineStr">
        <is>
          <t>BP - Boucher</t>
        </is>
      </c>
    </row>
    <row r="9">
      <c r="A9" s="48" t="inlineStr">
        <is>
          <t>RNCP35800</t>
        </is>
      </c>
      <c r="B9" s="48" t="inlineStr">
        <is>
          <t>Brevet de technicien supérieur - Commerce international</t>
        </is>
      </c>
    </row>
    <row r="10">
      <c r="A10" s="48" t="inlineStr">
        <is>
          <t>RNCP35801</t>
        </is>
      </c>
      <c r="B10" s="48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48" t="inlineStr">
        <is>
          <t>RNCP37383</t>
        </is>
      </c>
      <c r="B16" s="48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RNCP35800</t>
        </is>
      </c>
      <c r="B2" s="48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RNCP38302</t>
        </is>
      </c>
      <c r="B2" s="48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48" t="inlineStr">
        <is>
          <t>RNCP37672</t>
        </is>
      </c>
      <c r="B9" s="48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48" t="inlineStr">
        <is>
          <t>RNCP38225</t>
        </is>
      </c>
      <c r="B15" s="48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RNCP38302</t>
        </is>
      </c>
      <c r="B2" s="48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48" t="inlineStr">
        <is>
          <t>RNCP38715</t>
        </is>
      </c>
      <c r="B5" s="48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48" t="inlineStr">
        <is>
          <t>RNCP37672</t>
        </is>
      </c>
      <c r="B11" s="48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48" t="inlineStr">
        <is>
          <t>RNCP37941</t>
        </is>
      </c>
      <c r="B13" s="48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RNCP38302</t>
        </is>
      </c>
      <c r="B2" s="48" t="inlineStr">
        <is>
          <t>BAC PRO - Logistique</t>
        </is>
      </c>
    </row>
    <row r="3">
      <c r="A3" s="48" t="inlineStr">
        <is>
          <t>RNCP35698</t>
        </is>
      </c>
      <c r="B3" s="48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48" t="inlineStr">
        <is>
          <t>RNCP37239</t>
        </is>
      </c>
      <c r="B13" s="48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48" t="inlineStr">
        <is>
          <t>RNCP35640</t>
        </is>
      </c>
      <c r="B21" s="48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48" t="inlineStr">
        <is>
          <t>RNCP35517</t>
        </is>
      </c>
      <c r="B6" s="48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48" t="inlineStr">
        <is>
          <t>RNCP37239</t>
        </is>
      </c>
      <c r="B3" s="48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48" t="inlineStr">
        <is>
          <t>RNCP36968</t>
        </is>
      </c>
      <c r="B7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48" t="inlineStr">
        <is>
          <t>RNCP36969</t>
        </is>
      </c>
      <c r="B8" s="48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48" t="inlineStr">
        <is>
          <t>RNCP37707</t>
        </is>
      </c>
      <c r="B5" s="48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RNCP35844</t>
        </is>
      </c>
      <c r="B2" s="48" t="inlineStr">
        <is>
          <t>BAC PRO - Maintenance et Efficacité Energétique</t>
        </is>
      </c>
    </row>
    <row r="3">
      <c r="A3" s="48" t="inlineStr">
        <is>
          <t>RNCP35846</t>
        </is>
      </c>
      <c r="B3" s="48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48" t="inlineStr">
        <is>
          <t>RNCP36334</t>
        </is>
      </c>
      <c r="B8" s="48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48" t="inlineStr">
        <is>
          <t>RNCP39192</t>
        </is>
      </c>
      <c r="B5" s="48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48" t="inlineStr">
        <is>
          <t>RNCP38410</t>
        </is>
      </c>
      <c r="B9" s="48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48" t="inlineStr">
        <is>
          <t>RNCP38367</t>
        </is>
      </c>
      <c r="B14" s="48" t="inlineStr">
        <is>
          <t>BTS - Maintenance des véhicules (Option A : Voitures particulières, Option B : Véhicules de transport routier, Option C : Motocycles)</t>
        </is>
      </c>
    </row>
    <row r="15">
      <c r="A15" s="48" t="inlineStr">
        <is>
          <t>RNCP36969</t>
        </is>
      </c>
      <c r="B15" s="48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48" t="inlineStr">
        <is>
          <t>RNCP39516</t>
        </is>
      </c>
      <c r="B7" s="48" t="inlineStr">
        <is>
          <t>BAC PRO - Traitements des matériaux</t>
        </is>
      </c>
    </row>
    <row r="8">
      <c r="A8" s="48" t="inlineStr">
        <is>
          <t>RNCP37378</t>
        </is>
      </c>
      <c r="B8" s="48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48" t="inlineStr">
        <is>
          <t>RNCP39296</t>
        </is>
      </c>
      <c r="B19" s="48" t="inlineStr">
        <is>
          <t>CAP - Mouleur noyauteur : cuivre et bronze</t>
        </is>
      </c>
    </row>
    <row r="20">
      <c r="A20" s="48" t="inlineStr">
        <is>
          <t>RNCP39491</t>
        </is>
      </c>
      <c r="B20" s="48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RNCP38410</t>
        </is>
      </c>
      <c r="B6" s="48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48" t="inlineStr">
        <is>
          <t>RNCP39191</t>
        </is>
      </c>
      <c r="B16" s="48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RNCP35845</t>
        </is>
      </c>
      <c r="B2" s="48" t="inlineStr">
        <is>
          <t>BAC PRO - Installateur en Chauffage, Climatisation et Énergies Renouvelables</t>
        </is>
      </c>
    </row>
    <row r="3">
      <c r="A3" s="48" t="inlineStr">
        <is>
          <t>RNCP35844</t>
        </is>
      </c>
      <c r="B3" s="48" t="inlineStr">
        <is>
          <t>BAC PRO - Maintenance et Efficacité Energétique</t>
        </is>
      </c>
    </row>
    <row r="4">
      <c r="A4" s="48" t="inlineStr">
        <is>
          <t>RNCP35846</t>
        </is>
      </c>
      <c r="B4" s="48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48" t="inlineStr">
        <is>
          <t>RNCP37919</t>
        </is>
      </c>
      <c r="B13" s="48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RNCP37911</t>
        </is>
      </c>
      <c r="B3" s="48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48" t="inlineStr">
        <is>
          <t>RNCP37917</t>
        </is>
      </c>
      <c r="B9" s="48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48" t="inlineStr">
        <is>
          <t>RNCP38725</t>
        </is>
      </c>
      <c r="B11" s="48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48" t="inlineStr">
        <is>
          <t>RNCP38740</t>
        </is>
      </c>
      <c r="B17" s="48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48" t="inlineStr">
        <is>
          <t>RNCP35809</t>
        </is>
      </c>
      <c r="B21" s="48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48" t="inlineStr">
        <is>
          <t>RNCP35889</t>
        </is>
      </c>
      <c r="B24" s="48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48" t="inlineStr">
        <is>
          <t>RNCP35696</t>
        </is>
      </c>
      <c r="B27" s="48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48" t="inlineStr">
        <is>
          <t>RNCP36112</t>
        </is>
      </c>
      <c r="B30" s="48" t="inlineStr">
        <is>
          <t>CAP - Menuisier fabricant</t>
        </is>
      </c>
    </row>
    <row r="31">
      <c r="A31" s="48" t="inlineStr">
        <is>
          <t>RNCP35974</t>
        </is>
      </c>
      <c r="B31" s="48" t="inlineStr">
        <is>
          <t>CAP - Menuisier installateur</t>
        </is>
      </c>
    </row>
    <row r="32">
      <c r="A32" s="48" t="inlineStr">
        <is>
          <t>RNCP37897</t>
        </is>
      </c>
      <c r="B32" s="48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48" t="inlineStr">
        <is>
          <t>RNCP37916</t>
        </is>
      </c>
      <c r="B4" s="48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48" t="inlineStr">
        <is>
          <t>RNCP35802</t>
        </is>
      </c>
      <c r="B11" s="48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48" t="inlineStr">
        <is>
          <t>RNCP35715</t>
        </is>
      </c>
      <c r="B15" s="48" t="inlineStr">
        <is>
          <t>CAP - Maçon</t>
        </is>
      </c>
    </row>
    <row r="16">
      <c r="A16" s="48" t="inlineStr">
        <is>
          <t>RNCP38711</t>
        </is>
      </c>
      <c r="B16" s="48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48" t="inlineStr">
        <is>
          <t>RNCP39801</t>
        </is>
      </c>
      <c r="B7" s="48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48" t="inlineStr">
        <is>
          <t>RNCP35802</t>
        </is>
      </c>
      <c r="B10" s="48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48" t="inlineStr">
        <is>
          <t>RNCP38715</t>
        </is>
      </c>
      <c r="B3" s="48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RNCP36816</t>
        </is>
      </c>
      <c r="B7" s="48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48" t="inlineStr">
        <is>
          <t>RNCP37250</t>
        </is>
      </c>
      <c r="B11" s="48" t="inlineStr">
        <is>
          <t>CAP - Vêtement de peau</t>
        </is>
      </c>
    </row>
    <row r="12">
      <c r="A12" s="48" t="inlineStr">
        <is>
          <t>RNCP37251</t>
        </is>
      </c>
      <c r="B12" s="48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48" t="inlineStr">
        <is>
          <t>RNCP37937</t>
        </is>
      </c>
      <c r="B3" s="48" t="inlineStr">
        <is>
          <t>BP - Vêtement sur mesure, option tailleur homme, option tailleur dame, option couture flou</t>
        </is>
      </c>
    </row>
    <row r="4">
      <c r="A4" s="48" t="inlineStr">
        <is>
          <t>RNCP36777</t>
        </is>
      </c>
      <c r="B4" s="48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48" t="inlineStr">
        <is>
          <t>RNCP37244</t>
        </is>
      </c>
      <c r="B8" s="48" t="inlineStr">
        <is>
          <t>CAP - Métiers de la mode chapelier modiste</t>
        </is>
      </c>
    </row>
    <row r="9">
      <c r="A9" s="48" t="inlineStr">
        <is>
          <t>RNCP37245</t>
        </is>
      </c>
      <c r="B9" s="48" t="inlineStr">
        <is>
          <t>CAP - Métiers de la mode vêtement flou</t>
        </is>
      </c>
    </row>
    <row r="10">
      <c r="A10" s="48" t="inlineStr">
        <is>
          <t>RNCP37246</t>
        </is>
      </c>
      <c r="B10" s="48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48" t="inlineStr">
        <is>
          <t>RNCP37234</t>
        </is>
      </c>
      <c r="B12" s="48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48" t="inlineStr">
        <is>
          <t>RNCP35640</t>
        </is>
      </c>
      <c r="B2" s="48" t="inlineStr">
        <is>
          <t>CAP - Arts de la dentelle, options fuseaux et aiguille</t>
        </is>
      </c>
    </row>
    <row r="3">
      <c r="A3" s="48" t="inlineStr">
        <is>
          <t>RNCP39706</t>
        </is>
      </c>
      <c r="B3" s="48" t="inlineStr">
        <is>
          <t>CAP - Arts de la broderie</t>
        </is>
      </c>
    </row>
    <row r="4">
      <c r="A4" s="48" t="inlineStr">
        <is>
          <t>RNCP39714</t>
        </is>
      </c>
      <c r="B4" s="48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48" t="inlineStr">
        <is>
          <t>RNCP37491</t>
        </is>
      </c>
      <c r="B6" s="48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48" t="inlineStr">
        <is>
          <t>RNCP37537</t>
        </is>
      </c>
      <c r="B11" s="48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48" t="inlineStr">
        <is>
          <t>RNCP37383</t>
        </is>
      </c>
      <c r="B15" s="48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48" t="inlineStr">
        <is>
          <t>RNCP37534</t>
        </is>
      </c>
      <c r="B17" s="48" t="inlineStr">
        <is>
          <t>Certificat d'aptitude professionnelle - Glacier fabricant</t>
        </is>
      </c>
    </row>
    <row r="18">
      <c r="A18" s="48" t="inlineStr">
        <is>
          <t>RNCP37536</t>
        </is>
      </c>
      <c r="B18" s="48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RNCP37536</t>
        </is>
      </c>
      <c r="B2" s="48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48" t="inlineStr">
        <is>
          <t>RNCP36816</t>
        </is>
      </c>
      <c r="B5" s="48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48" t="inlineStr">
        <is>
          <t>RNCP38741</t>
        </is>
      </c>
      <c r="B5" s="48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48" t="inlineStr">
        <is>
          <t>RNCP37707</t>
        </is>
      </c>
      <c r="B4" s="48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RNCP37707</t>
        </is>
      </c>
      <c r="B2" s="48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2026-02-12T15:51:22Z</dcterms:created>
  <dcterms:modified xmlns:dcterms="http://purl.org/dc/terms/" xmlns:xsi="http://www.w3.org/2001/XMLSchema-instance" xsi:type="dcterms:W3CDTF">2026-07-10T20:20:38Z</dcterms:modified>
  <cp:lastModifiedBy>Ruxana Hussain</cp:lastModifiedBy>
  <cp:revision>1</cp:revision>
  <cp:lastPrinted>2026-03-20T15:45:49Z</cp:lastPrinted>
</cp:coreProperties>
</file>