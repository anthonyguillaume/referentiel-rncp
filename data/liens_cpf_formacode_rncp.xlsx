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'Synthèse'!$A$12:$I$309</definedName>
    <definedName name="_xlnm._FilterDatabase" localSheetId="1" hidden="1">'Changements'!$A$2:$E$78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9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30/07/2026 09:07</t>
        </is>
      </c>
    </row>
    <row r="2">
      <c r="A2" t="inlineStr">
        <is>
          <t>Export France compétences : export-fiches-rncp-v4-1-2026-07-29.zip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1114</v>
      </c>
    </row>
    <row r="7">
      <c r="A7" s="37" t="inlineStr">
        <is>
          <t>À vérifier</t>
        </is>
      </c>
      <c r="B7" t="n">
        <v>181</v>
      </c>
    </row>
    <row r="8">
      <c r="A8" s="38" t="inlineStr">
        <is>
          <t>Expiré / remplacé</t>
        </is>
      </c>
      <c r="B8" t="n">
        <v>116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t="inlineStr"/>
      <c r="B13" t="inlineStr">
        <is>
          <t>RNCP35189</t>
        </is>
      </c>
      <c r="C13" t="inlineStr">
        <is>
          <t>TP - Installateur thermique et sanitaire</t>
        </is>
      </c>
      <c r="D13" s="38" t="inlineStr">
        <is>
          <t>Expiré / remplacé</t>
        </is>
      </c>
      <c r="E13" t="inlineStr">
        <is>
          <t>Fiche inactive — remplacée par RNCP41909 (Plombier chauffagiste)</t>
        </is>
      </c>
      <c r="F13" t="inlineStr">
        <is>
          <t>RNCP41909</t>
        </is>
      </c>
      <c r="G13" t="inlineStr">
        <is>
          <t>Plombier chauffagiste</t>
        </is>
      </c>
      <c r="H13" t="inlineStr">
        <is>
          <t>22685 (Installation thermique sanitaire) ; 22671 (Chauffage) ; 22211 (Performance énergétique bâtiment) ; 22485 (Rénovation bâtiment)</t>
        </is>
      </c>
      <c r="I13" t="inlineStr">
        <is>
          <t>03/03/2026</t>
        </is>
      </c>
    </row>
    <row r="14">
      <c r="A14" t="inlineStr"/>
      <c r="B14" t="inlineStr">
        <is>
          <t>RNCP35227</t>
        </is>
      </c>
      <c r="C14" t="inlineStr">
        <is>
          <t>TP - Mécanicien réparateur de véhicules industriels</t>
        </is>
      </c>
      <c r="D14" s="38" t="inlineStr">
        <is>
          <t>Expiré / remplacé</t>
        </is>
      </c>
      <c r="E14" t="inlineStr">
        <is>
          <t>Fiche inactive — remplacée par RNCP41904 (Mécanicien de maintenance de véhicules de transport routier - personnes et marchandises)</t>
        </is>
      </c>
      <c r="F14" t="inlineStr">
        <is>
          <t>RNCP41904</t>
        </is>
      </c>
      <c r="G14" t="inlineStr">
        <is>
          <t>Mécanicien de maintenance de véhicules de transport routier - personnes et marchandises</t>
        </is>
      </c>
      <c r="H14" t="inlineStr">
        <is>
          <t>23615 (Réparation véhicule industriel) ; 23651 (Construction maintenance véhicule propre)</t>
        </is>
      </c>
      <c r="I14" t="inlineStr">
        <is>
          <t>27/02/2026</t>
        </is>
      </c>
    </row>
    <row r="15">
      <c r="A15" t="inlineStr"/>
      <c r="B15" t="inlineStr">
        <is>
          <t>RNCP35228</t>
        </is>
      </c>
      <c r="C15" t="inlineStr">
        <is>
          <t>TP - Couturier retoucheur</t>
        </is>
      </c>
      <c r="D15" s="38" t="inlineStr">
        <is>
          <t>Expiré / remplacé</t>
        </is>
      </c>
      <c r="E15" t="inlineStr">
        <is>
          <t>Fiche inactive — remplacée par RNCP41914 (Couturier retoucheur réparateur)</t>
        </is>
      </c>
      <c r="F15" t="inlineStr">
        <is>
          <t>RNCP41914</t>
        </is>
      </c>
      <c r="G15" t="inlineStr">
        <is>
          <t>Couturier retoucheur réparateur</t>
        </is>
      </c>
      <c r="H15" t="inlineStr">
        <is>
          <t>21757 (Couture) ; 21736 (Vêtement) ; 21766 (Essayage retouche)</t>
        </is>
      </c>
      <c r="I15" t="inlineStr">
        <is>
          <t>24/03/2026</t>
        </is>
      </c>
    </row>
    <row r="16">
      <c r="A16" t="inlineStr"/>
      <c r="B16" t="inlineStr">
        <is>
          <t>RNCP35229</t>
        </is>
      </c>
      <c r="C16" t="inlineStr">
        <is>
          <t>TP - Stratifieur multiprocédés en matériaux composites</t>
        </is>
      </c>
      <c r="D16" s="38" t="inlineStr">
        <is>
          <t>Expiré / remplacé</t>
        </is>
      </c>
      <c r="E16" t="inlineStr">
        <is>
          <t>Fiche inactive — remplacée par RNCP41906 (Stratifieur multiprocédés en matériaux composites)</t>
        </is>
      </c>
      <c r="F16" t="inlineStr">
        <is>
          <t>RNCP41906</t>
        </is>
      </c>
      <c r="G16" t="inlineStr">
        <is>
          <t>Stratifieur multiprocédés en matériaux composites</t>
        </is>
      </c>
      <c r="H16" t="inlineStr">
        <is>
          <t>22871 (Matériau composite) ; 23002 (Stratification) ; 22818 (Plastique renforcé)</t>
        </is>
      </c>
      <c r="I16" t="inlineStr">
        <is>
          <t>23/02/2026</t>
        </is>
      </c>
    </row>
    <row r="17">
      <c r="A17" t="inlineStr"/>
      <c r="B17" t="inlineStr">
        <is>
          <t>RNCP35231</t>
        </is>
      </c>
      <c r="C17" t="inlineStr">
        <is>
          <t>TP - Technicien d'installation en équipements de confort climatique</t>
        </is>
      </c>
      <c r="D17" s="38" t="inlineStr">
        <is>
          <t>Expiré / remplacé</t>
        </is>
      </c>
      <c r="E17" t="inlineStr">
        <is>
          <t>Fiche inactive — remplacée par RNCP41911 (Technicien d’intervention en chauffage, climatisation, sanitaire et énergies renouvelables)</t>
        </is>
      </c>
      <c r="F17" t="inlineStr">
        <is>
          <t>RNCP41911</t>
        </is>
      </c>
      <c r="G17" t="inlineStr">
        <is>
          <t>Technicien d’intervention en chauffage, climatisation, sanitaire et énergies renouvelables</t>
        </is>
      </c>
      <c r="H17" t="inlineStr">
        <is>
          <t>22685 (Installation thermique sanitaire) ; 22635 (Climatisation) ; 24147 (Énergie renouvelable) ; 22211 (Performance énergétique bâtiment) ; 22485 (Rénovation bâtiment)</t>
        </is>
      </c>
      <c r="I17" t="inlineStr">
        <is>
          <t>03/03/2026</t>
        </is>
      </c>
    </row>
    <row r="18">
      <c r="A18" t="inlineStr"/>
      <c r="B18" t="inlineStr">
        <is>
          <t>RNCP35232</t>
        </is>
      </c>
      <c r="C18" t="inlineStr">
        <is>
          <t>TP - Scaphandrier travaux publics</t>
        </is>
      </c>
      <c r="D18" s="38" t="inlineStr">
        <is>
          <t>Expiré / remplacé</t>
        </is>
      </c>
      <c r="E18" t="inlineStr">
        <is>
          <t>Fiche inactive — remplacée par RNCP41910 (Scaphandrier travaux publics)</t>
        </is>
      </c>
      <c r="F18" t="inlineStr">
        <is>
          <t>RNCP41910</t>
        </is>
      </c>
      <c r="G18" t="inlineStr">
        <is>
          <t>Scaphandrier travaux publics</t>
        </is>
      </c>
      <c r="H18" t="inlineStr">
        <is>
          <t>15480 (Plongée subaquatique) ; 22067 (Travaux immergés)</t>
        </is>
      </c>
      <c r="I18" t="inlineStr">
        <is>
          <t>26/02/2026</t>
        </is>
      </c>
    </row>
    <row r="19">
      <c r="A19" t="inlineStr"/>
      <c r="B19" t="inlineStr">
        <is>
          <t>RNCP35233</t>
        </is>
      </c>
      <c r="C19" t="inlineStr">
        <is>
          <t>TP - Assistant manager d’unité marchande</t>
        </is>
      </c>
      <c r="D19" s="38" t="inlineStr">
        <is>
          <t>Expiré / remplacé</t>
        </is>
      </c>
      <c r="E19" t="inlineStr">
        <is>
          <t>Fiche inactive — remplacée par RNCP41852 (Assistant manager d’unité marchande)</t>
        </is>
      </c>
      <c r="F19" t="inlineStr">
        <is>
          <t>RNCP41852</t>
        </is>
      </c>
      <c r="G19" t="inlineStr">
        <is>
          <t>Assistant manager d’unité marchande</t>
        </is>
      </c>
      <c r="H19" t="inlineStr">
        <is>
          <t>34566 (Vente distribution) ; 32154 (Encadrement management)</t>
        </is>
      </c>
      <c r="I19" t="inlineStr">
        <is>
          <t>16/02/2026</t>
        </is>
      </c>
    </row>
    <row r="20">
      <c r="A20" t="inlineStr"/>
      <c r="B20" t="inlineStr">
        <is>
          <t>RNCP35295</t>
        </is>
      </c>
      <c r="C20" t="inlineStr">
        <is>
          <t>TP - Technicien réseaux IP</t>
        </is>
      </c>
      <c r="D20" s="38" t="inlineStr">
        <is>
          <t>Expiré / remplacé</t>
        </is>
      </c>
      <c r="E20" t="inlineStr">
        <is>
          <t>Fiche inactive (échéance 13/05/2026) — aucun successeur publié</t>
        </is>
      </c>
      <c r="F20" t="inlineStr">
        <is>
          <t>RNCP35295</t>
        </is>
      </c>
      <c r="G20" t="inlineStr">
        <is>
          <t>Technicien réseaux IP</t>
        </is>
      </c>
      <c r="H20" t="inlineStr">
        <is>
          <t>24260 (Installation réseau téléphonique) ; 24231 (Réseau informatique)</t>
        </is>
      </c>
      <c r="I20" t="inlineStr">
        <is>
          <t>13/05/2026</t>
        </is>
      </c>
    </row>
    <row r="21">
      <c r="A21" t="inlineStr"/>
      <c r="B21" t="inlineStr">
        <is>
          <t>RNCP35297</t>
        </is>
      </c>
      <c r="C21" t="inlineStr">
        <is>
          <t>TP - Opérateur en dépollution pyrotechnique</t>
        </is>
      </c>
      <c r="D21" s="38" t="inlineStr">
        <is>
          <t>Expiré / remplacé</t>
        </is>
      </c>
      <c r="E21" t="inlineStr">
        <is>
          <t>Fiche inactive — remplacée par RNCP41872 (Opérateur en dépollution pyrotechnique)</t>
        </is>
      </c>
      <c r="F21" t="inlineStr">
        <is>
          <t>RNCP41872</t>
        </is>
      </c>
      <c r="G21" t="inlineStr">
        <is>
          <t>Opérateur en dépollution pyrotechnique</t>
        </is>
      </c>
      <c r="H21" t="inlineStr">
        <is>
          <t>42804 (Déminage) ; 22294 (Conduite chantier BTP) ; 22097 (Explosif) ; 12580 (Pollution sol)</t>
        </is>
      </c>
      <c r="I21" t="inlineStr">
        <is>
          <t>28/04/2026</t>
        </is>
      </c>
    </row>
    <row r="22">
      <c r="A22" t="inlineStr"/>
      <c r="B22" t="inlineStr">
        <is>
          <t>RNCP35298</t>
        </is>
      </c>
      <c r="C22" t="inlineStr">
        <is>
          <t>TP - Responsable de chantier de dépollution pyrotechnique</t>
        </is>
      </c>
      <c r="D22" s="38" t="inlineStr">
        <is>
          <t>Expiré / remplacé</t>
        </is>
      </c>
      <c r="E22" t="inlineStr">
        <is>
          <t>Fiche inactive — remplacée par RNCP41873 (Responsable de chantier de dépollution pyrotechnique)</t>
        </is>
      </c>
      <c r="F22" t="inlineStr">
        <is>
          <t>RNCP41873</t>
        </is>
      </c>
      <c r="G22" t="inlineStr">
        <is>
          <t>Responsable de chantier de dépollution pyrotechnique</t>
        </is>
      </c>
      <c r="H22" t="inlineStr">
        <is>
          <t>42804 (Déminage) ; 22097 (Explosif) ; 22294 (Conduite chantier BTP)</t>
        </is>
      </c>
      <c r="I22" t="inlineStr">
        <is>
          <t>08/06/2026</t>
        </is>
      </c>
    </row>
    <row r="23">
      <c r="A23" t="inlineStr"/>
      <c r="B23" t="inlineStr">
        <is>
          <t>RNCP35301</t>
        </is>
      </c>
      <c r="C23" t="inlineStr">
        <is>
          <t>TP - Auxiliaire en prothèse dentaire</t>
        </is>
      </c>
      <c r="D23" s="38" t="inlineStr">
        <is>
          <t>Expiré / remplacé</t>
        </is>
      </c>
      <c r="E23" t="inlineStr">
        <is>
          <t>Fiche inactive — remplacée par RNCP42085 (Auxiliaire en prothèse dentaire)</t>
        </is>
      </c>
      <c r="F23" t="inlineStr">
        <is>
          <t>RNCP42085</t>
        </is>
      </c>
      <c r="G23" t="inlineStr">
        <is>
          <t>Auxiliaire en prothèse dentaire</t>
        </is>
      </c>
      <c r="H23" t="inlineStr">
        <is>
          <t>43494 (Prothèse dentaire)</t>
        </is>
      </c>
      <c r="I23" t="inlineStr">
        <is>
          <t>07/03/2026</t>
        </is>
      </c>
    </row>
    <row r="24">
      <c r="A24" t="inlineStr"/>
      <c r="B24" t="inlineStr">
        <is>
          <t>RNCP35303</t>
        </is>
      </c>
      <c r="C24" t="inlineStr">
        <is>
          <t>TP - Agent technique prothésiste orthésiste</t>
        </is>
      </c>
      <c r="D24" s="38" t="inlineStr">
        <is>
          <t>Expiré / remplacé</t>
        </is>
      </c>
      <c r="E24" t="inlineStr">
        <is>
          <t>Fiche inactive — remplacée par RNCP42104 (Agent technique en prothèses et orthèses)</t>
        </is>
      </c>
      <c r="F24" t="inlineStr">
        <is>
          <t>RNCP42104</t>
        </is>
      </c>
      <c r="G24" t="inlineStr">
        <is>
          <t>Agent technique en prothèses et orthèses</t>
        </is>
      </c>
      <c r="H24" t="inlineStr">
        <is>
          <t>43460 (Orthopédie)</t>
        </is>
      </c>
      <c r="I24" t="inlineStr">
        <is>
          <t>09/06/2026</t>
        </is>
      </c>
    </row>
    <row r="25">
      <c r="A25" t="inlineStr"/>
      <c r="B25" t="inlineStr">
        <is>
          <t>RNCP35304</t>
        </is>
      </c>
      <c r="C25" t="inlineStr">
        <is>
          <t>TP - Conseiller relation client à distance</t>
        </is>
      </c>
      <c r="D25" s="38" t="inlineStr">
        <is>
          <t>Expiré / remplacé</t>
        </is>
      </c>
      <c r="E25" t="inlineStr">
        <is>
          <t>Fiche inactive — remplacée par RNCP42431 (Conseiller relation client à distance)</t>
        </is>
      </c>
      <c r="F25" t="inlineStr">
        <is>
          <t>RNCP42431</t>
        </is>
      </c>
      <c r="G25" t="inlineStr">
        <is>
          <t>Conseiller relation client à distance</t>
        </is>
      </c>
      <c r="H25" t="inlineStr">
        <is>
          <t>34076 (Gestion relation client) ; 34026 (Développement sens commercial) ; 34027 (Service après-vente) ; 34507 (Vente à distance)</t>
        </is>
      </c>
      <c r="I25" t="inlineStr">
        <is>
          <t>06/07/2026</t>
        </is>
      </c>
    </row>
    <row r="26">
      <c r="A26" t="inlineStr"/>
      <c r="B26" t="inlineStr">
        <is>
          <t>RNCP35307</t>
        </is>
      </c>
      <c r="C26" t="inlineStr">
        <is>
          <t>TP - Electronicien de tests et développement</t>
        </is>
      </c>
      <c r="D26" s="38" t="inlineStr">
        <is>
          <t>Expiré / remplacé</t>
        </is>
      </c>
      <c r="E26" t="inlineStr">
        <is>
          <t>Fiche inactive (échéance 07/06/2026) — aucun successeur publié</t>
        </is>
      </c>
      <c r="F26" t="inlineStr">
        <is>
          <t>RNCP35307</t>
        </is>
      </c>
      <c r="G26" t="inlineStr">
        <is>
          <t>Electronicien de tests et développement</t>
        </is>
      </c>
      <c r="H26" t="inlineStr">
        <is>
          <t>24335 (Circuit électronique) ; 24391 (Électronique analogique) ; 24392 (Électronique numérique) ; 24387 (Électronique puissance) ; 24351 (Mesure électronique)</t>
        </is>
      </c>
      <c r="I26" t="inlineStr">
        <is>
          <t>07/06/2026</t>
        </is>
      </c>
    </row>
    <row r="27">
      <c r="A27" t="inlineStr"/>
      <c r="B27" t="inlineStr">
        <is>
          <t>RNCP35308</t>
        </is>
      </c>
      <c r="C27" t="inlineStr">
        <is>
          <t>TP - Technicien de fabrication de l'industrie de la chimie</t>
        </is>
      </c>
      <c r="D27" s="38" t="inlineStr">
        <is>
          <t>Expiré / remplacé</t>
        </is>
      </c>
      <c r="E27" t="inlineStr">
        <is>
          <t>Fiche inactive — remplacée par RNCP42550 (Technicien de fabrication de l’industrie de la chimie)</t>
        </is>
      </c>
      <c r="F27" t="inlineStr">
        <is>
          <t>RNCP42550</t>
        </is>
      </c>
      <c r="G27" t="inlineStr">
        <is>
          <t>Technicien de fabrication de l’industrie de la chimie</t>
        </is>
      </c>
      <c r="H27" t="inlineStr">
        <is>
          <t>11561 (Chimie organique) ; 11534 (Génie chimique) ; 11594 (Chimie minérale) ; 11557 (Conduite équipement industrie chimique pétrolière) ; 11531 (Chimie verte)</t>
        </is>
      </c>
      <c r="I27" t="inlineStr">
        <is>
          <t>01/06/2026</t>
        </is>
      </c>
    </row>
    <row r="28">
      <c r="A28" t="inlineStr"/>
      <c r="B28" t="inlineStr">
        <is>
          <t>RNCP35309</t>
        </is>
      </c>
      <c r="C28" t="inlineStr">
        <is>
          <t>TP - Maçon</t>
        </is>
      </c>
      <c r="D28" s="38" t="inlineStr">
        <is>
          <t>Expiré / remplacé</t>
        </is>
      </c>
      <c r="E28" t="inlineStr">
        <is>
          <t>Fiche inactive — remplacée par RNCP41907 (Maçon)</t>
        </is>
      </c>
      <c r="F28" t="inlineStr">
        <is>
          <t>RNCP41907</t>
        </is>
      </c>
      <c r="G28" t="inlineStr">
        <is>
          <t>Maçon</t>
        </is>
      </c>
      <c r="H28" t="inlineStr">
        <is>
          <t>22334 (Maçonnerie)</t>
        </is>
      </c>
      <c r="I28" t="inlineStr">
        <is>
          <t>22/02/2026</t>
        </is>
      </c>
    </row>
    <row r="29">
      <c r="A29" t="inlineStr"/>
      <c r="B29" t="inlineStr">
        <is>
          <t>RNCP35310</t>
        </is>
      </c>
      <c r="C29" t="inlineStr">
        <is>
          <t>TP - Technicien de laboratoire</t>
        </is>
      </c>
      <c r="D29" s="38" t="inlineStr">
        <is>
          <t>Expiré / remplacé</t>
        </is>
      </c>
      <c r="E29" t="inlineStr">
        <is>
          <t>Fiche inactive — remplacée par RNCP42551 (Technicien de laboratoire)</t>
        </is>
      </c>
      <c r="F29" t="inlineStr">
        <is>
          <t>RNCP42551</t>
        </is>
      </c>
      <c r="G29" t="inlineStr">
        <is>
          <t>Technicien de laboratoire</t>
        </is>
      </c>
      <c r="H29" t="inlineStr">
        <is>
          <t>11502 (Méthode physico-chimique analyse) ; 12058 (Biochimie) ; 12026 (Microbiologie) ; 12065 (Qualité laboratoire) ; 12081 (Biotechnologie)</t>
        </is>
      </c>
      <c r="I29" t="inlineStr">
        <is>
          <t>05/06/2026</t>
        </is>
      </c>
    </row>
    <row r="30">
      <c r="A30" t="inlineStr"/>
      <c r="B30" t="inlineStr">
        <is>
          <t>RNCP35312</t>
        </is>
      </c>
      <c r="C30" t="inlineStr">
        <is>
          <t>TP - Coffreur bancheur</t>
        </is>
      </c>
      <c r="D30" s="38" t="inlineStr">
        <is>
          <t>Expiré / remplacé</t>
        </is>
      </c>
      <c r="E30" t="inlineStr">
        <is>
          <t>Fiche inactive — remplacée par RNCP41905 (Coffreur bancheur)</t>
        </is>
      </c>
      <c r="F30" t="inlineStr">
        <is>
          <t>RNCP41905</t>
        </is>
      </c>
      <c r="G30" t="inlineStr">
        <is>
          <t>Coffreur bancheur</t>
        </is>
      </c>
      <c r="H30" t="inlineStr">
        <is>
          <t>22311 (Coffrage) ; 22395 (Construction béton)</t>
        </is>
      </c>
      <c r="I30" t="inlineStr">
        <is>
          <t>04/03/2026</t>
        </is>
      </c>
    </row>
    <row r="31">
      <c r="A31" t="inlineStr"/>
      <c r="B31" t="inlineStr">
        <is>
          <t>RNCP35314</t>
        </is>
      </c>
      <c r="C31" t="inlineStr">
        <is>
          <t>TP - Conducteur d'appareils de l'industrie de la chimie</t>
        </is>
      </c>
      <c r="D31" s="38" t="inlineStr">
        <is>
          <t>Expiré / remplacé</t>
        </is>
      </c>
      <c r="E31" t="inlineStr">
        <is>
          <t>Fiche inactive — remplacée par RNCP42549 (Conducteur d'appareils de l'industrie de la chimie)</t>
        </is>
      </c>
      <c r="F31" t="inlineStr">
        <is>
          <t>RNCP42549</t>
        </is>
      </c>
      <c r="G31" t="inlineStr">
        <is>
          <t>Conducteur d'appareils de l'industrie de la chimie</t>
        </is>
      </c>
      <c r="H31" t="inlineStr">
        <is>
          <t>11561 (Chimie organique) ; 11534 (Génie chimique) ; 11594 (Chimie minérale) ; 11557 (Conduite équipement industrie chimique pétrolière) ; 11531 (Chimie verte)</t>
        </is>
      </c>
      <c r="I31" t="inlineStr">
        <is>
          <t>01/06/2026</t>
        </is>
      </c>
    </row>
    <row r="32">
      <c r="A32" t="inlineStr"/>
      <c r="B32" t="inlineStr">
        <is>
          <t>RNCP35329</t>
        </is>
      </c>
      <c r="C32" t="inlineStr">
        <is>
          <t>TP - Enseignant de la conduite et de la sécurité routière</t>
        </is>
      </c>
      <c r="D32" s="38" t="inlineStr">
        <is>
          <t>Expiré / remplacé</t>
        </is>
      </c>
      <c r="E32" t="inlineStr">
        <is>
          <t>Fiche inactive — remplacée par RNCP41862 (Enseignant de la conduite et de la sécurité routière)</t>
        </is>
      </c>
      <c r="F32" t="inlineStr">
        <is>
          <t>RNCP41862</t>
        </is>
      </c>
      <c r="G32" t="inlineStr">
        <is>
          <t>Enseignant de la conduite et de la sécurité routière</t>
        </is>
      </c>
      <c r="H32" t="inlineStr">
        <is>
          <t>31802 (Monitorat auto-école)</t>
        </is>
      </c>
      <c r="I32" t="inlineStr">
        <is>
          <t>28/04/2026</t>
        </is>
      </c>
    </row>
    <row r="33">
      <c r="A33" t="inlineStr"/>
      <c r="B33" t="inlineStr">
        <is>
          <t>RNCP35330</t>
        </is>
      </c>
      <c r="C33" t="inlineStr">
        <is>
          <t>TP - Technicien du bâtiment communicant et connecté</t>
        </is>
      </c>
      <c r="D33" s="38" t="inlineStr">
        <is>
          <t>Expiré / remplacé</t>
        </is>
      </c>
      <c r="E33" t="inlineStr">
        <is>
          <t>Fiche inactive — remplacée par RNCP42141 (Technicien en électricité du bâtiment communicant et connecté)</t>
        </is>
      </c>
      <c r="F33" t="inlineStr">
        <is>
          <t>RNCP42141</t>
        </is>
      </c>
      <c r="G33" t="inlineStr">
        <is>
          <t>Technicien en électricité du bâtiment communicant et connecté</t>
        </is>
      </c>
      <c r="H33" t="inlineStr">
        <is>
          <t>24095 (Basse tension) ; 22499 (Immotique)</t>
        </is>
      </c>
      <c r="I33" t="inlineStr">
        <is>
          <t>02/06/2026</t>
        </is>
      </c>
    </row>
    <row r="34">
      <c r="A34" t="inlineStr"/>
      <c r="B34" t="inlineStr">
        <is>
          <t>RNCP35348</t>
        </is>
      </c>
      <c r="C34" t="inlineStr">
        <is>
          <t>TP - Monteur levageur de structures métalliques</t>
        </is>
      </c>
      <c r="D34" s="38" t="inlineStr">
        <is>
          <t>Expiré / remplacé</t>
        </is>
      </c>
      <c r="E34" t="inlineStr">
        <is>
          <t>Fiche inactive (échéance 17/03/2026) — aucun successeur publié</t>
        </is>
      </c>
      <c r="F34" t="inlineStr">
        <is>
          <t>RNCP35348</t>
        </is>
      </c>
      <c r="G34" t="inlineStr">
        <is>
          <t>Monteur levageur de structures métalliques</t>
        </is>
      </c>
      <c r="H34" t="inlineStr">
        <is>
          <t>22387 (Construction métallique) ; 22314 (Charpente métallique)</t>
        </is>
      </c>
      <c r="I34" t="inlineStr">
        <is>
          <t>17/03/2026</t>
        </is>
      </c>
    </row>
    <row r="35">
      <c r="A35" t="inlineStr"/>
      <c r="B35" t="inlineStr">
        <is>
          <t>RNCP35397</t>
        </is>
      </c>
      <c r="C35" t="inlineStr">
        <is>
          <t>CS - Arrosage automatique : espaces verts et sols sportifs</t>
        </is>
      </c>
      <c r="D35" s="38" t="inlineStr">
        <is>
          <t>Expiré / remplacé</t>
        </is>
      </c>
      <c r="E35" t="inlineStr">
        <is>
          <t>Fiche inactive — remplacée par RNCP41900 (Arrosage automatique : espaces verts et sols sportifs)</t>
        </is>
      </c>
      <c r="F35" t="inlineStr">
        <is>
          <t>RNCP41900</t>
        </is>
      </c>
      <c r="G35" t="inlineStr">
        <is>
          <t>Arrosage automatique : espaces verts et sols sportifs</t>
        </is>
      </c>
      <c r="H35" t="inlineStr">
        <is>
          <t>21047 (Arrosage)</t>
        </is>
      </c>
      <c r="I35" t="inlineStr">
        <is>
          <t>01/04/2026</t>
        </is>
      </c>
    </row>
    <row r="36">
      <c r="A36" t="inlineStr"/>
      <c r="B36" t="inlineStr">
        <is>
          <t>RNCP35398</t>
        </is>
      </c>
      <c r="C36" t="inlineStr">
        <is>
          <t>CS - Sols sportifs engazonnés</t>
        </is>
      </c>
      <c r="D36" s="38" t="inlineStr">
        <is>
          <t>Expiré / remplacé</t>
        </is>
      </c>
      <c r="E36" t="inlineStr">
        <is>
          <t>Fiche inactive — remplacée par RNCP41901 (Sols sportifs engazonnés)</t>
        </is>
      </c>
      <c r="F36" t="inlineStr">
        <is>
          <t>RNCP41901</t>
        </is>
      </c>
      <c r="G36" t="inlineStr">
        <is>
          <t>Sols sportifs engazonnés</t>
        </is>
      </c>
      <c r="H36" t="inlineStr">
        <is>
          <t>21051 (Terrain sport engazonné)</t>
        </is>
      </c>
      <c r="I36" t="inlineStr">
        <is>
          <t>01/04/2026</t>
        </is>
      </c>
    </row>
    <row r="37">
      <c r="A37" t="inlineStr"/>
      <c r="B37" t="inlineStr">
        <is>
          <t>RNCP35399</t>
        </is>
      </c>
      <c r="C37" t="inlineStr">
        <is>
          <t>CS - Constructions paysagères</t>
        </is>
      </c>
      <c r="D37" s="38" t="inlineStr">
        <is>
          <t>Expiré / remplacé</t>
        </is>
      </c>
      <c r="E37" t="inlineStr">
        <is>
          <t>Fiche inactive — remplacée par RNCP41899 (Constructions paysagères)</t>
        </is>
      </c>
      <c r="F37" t="inlineStr">
        <is>
          <t>RNCP41899</t>
        </is>
      </c>
      <c r="G37" t="inlineStr">
        <is>
          <t>Constructions paysagères</t>
        </is>
      </c>
      <c r="H37" t="inlineStr">
        <is>
          <t>21050 (Maçonnerie paysagère)</t>
        </is>
      </c>
      <c r="I37" t="inlineStr">
        <is>
          <t>01/04/2026</t>
        </is>
      </c>
    </row>
    <row r="38">
      <c r="A38" t="inlineStr"/>
      <c r="B38" t="inlineStr">
        <is>
          <t>RNCP35429</t>
        </is>
      </c>
      <c r="C38" t="inlineStr">
        <is>
          <t>Assistant déclarant en douane</t>
        </is>
      </c>
      <c r="D38" s="38" t="inlineStr">
        <is>
          <t>Expiré / remplacé</t>
        </is>
      </c>
      <c r="E38" t="inlineStr">
        <is>
          <t>Fiche inactive — remplacée par RNCP42333 (Assistant déclarant en douane)</t>
        </is>
      </c>
      <c r="F38" t="inlineStr">
        <is>
          <t>RNCP42333</t>
        </is>
      </c>
      <c r="G38" t="inlineStr">
        <is>
          <t>Assistant déclarant en douane</t>
        </is>
      </c>
      <c r="H38" t="inlineStr">
        <is>
          <t>31859 (Procédure douanière)</t>
        </is>
      </c>
      <c r="I38" t="inlineStr">
        <is>
          <t>17/03/2026</t>
        </is>
      </c>
    </row>
    <row r="39">
      <c r="A39" t="inlineStr"/>
      <c r="B39" t="inlineStr">
        <is>
          <t>RNCP35435</t>
        </is>
      </c>
      <c r="C39" t="inlineStr">
        <is>
          <t>Manager en ingénierie informatique</t>
        </is>
      </c>
      <c r="D39" s="38" t="inlineStr">
        <is>
          <t>Expiré / remplacé</t>
        </is>
      </c>
      <c r="E39" t="inlineStr">
        <is>
          <t>Fiche inactive — remplacée par RNCP41880 (Manager en ingénierie informatique)</t>
        </is>
      </c>
      <c r="F39" t="inlineStr">
        <is>
          <t>RNCP41880</t>
        </is>
      </c>
      <c r="G39" t="inlineStr">
        <is>
          <t>Manager en ingénierie informatique</t>
        </is>
      </c>
      <c r="H39" t="inlineStr">
        <is>
          <t>31009 (Architecture système information) ; 31006 (Sécurité informatique) ; 31028 (Intelligence artificielle) ; 31057 (Génie logiciel)</t>
        </is>
      </c>
      <c r="I39" t="inlineStr">
        <is>
          <t>17/03/2026</t>
        </is>
      </c>
    </row>
    <row r="40">
      <c r="A40" t="inlineStr"/>
      <c r="B40" t="inlineStr">
        <is>
          <t>RNCP35462</t>
        </is>
      </c>
      <c r="C40" t="inlineStr">
        <is>
          <t>Manager achats et approvisionnement</t>
        </is>
      </c>
      <c r="D40" s="38" t="inlineStr">
        <is>
          <t>Expiré / remplacé</t>
        </is>
      </c>
      <c r="E40" t="inlineStr">
        <is>
          <t>Fiche inactive — remplacée par RNCP42496 (Manager achats et approvisionnement)</t>
        </is>
      </c>
      <c r="F40" t="inlineStr">
        <is>
          <t>RNCP42496</t>
        </is>
      </c>
      <c r="G40" t="inlineStr">
        <is>
          <t>Manager achats et approvisionnement</t>
        </is>
      </c>
      <c r="H40" t="inlineStr">
        <is>
          <t>34002 (Négociation achat) ; 34292 (Achat international) ; 31660 (Approvisionnement)</t>
        </is>
      </c>
      <c r="I40" t="inlineStr">
        <is>
          <t>17/03/2026</t>
        </is>
      </c>
    </row>
    <row r="41">
      <c r="A41" t="inlineStr"/>
      <c r="B41" t="inlineStr">
        <is>
          <t>RNCP35503</t>
        </is>
      </c>
      <c r="C41" t="inlineStr">
        <is>
          <t>TP - Chargé d'affaires du bâtiment</t>
        </is>
      </c>
      <c r="D41" s="38" t="inlineStr">
        <is>
          <t>Expiré / remplacé</t>
        </is>
      </c>
      <c r="E41" t="inlineStr">
        <is>
          <t>Fiche inactive — remplacée par RNCP42032 (Chargé d’affaires du bâtiment)</t>
        </is>
      </c>
      <c r="F41" t="inlineStr">
        <is>
          <t>RNCP42032</t>
        </is>
      </c>
      <c r="G41" t="inlineStr">
        <is>
          <t>Chargé d’affaires du bâtiment</t>
        </is>
      </c>
      <c r="H41" t="inlineStr">
        <is>
          <t>22257 (Commercialisation BTP) ; 22293 (Conduite travaux BTP) ; 22279 (Maîtrise d'oeuvre BTP)</t>
        </is>
      </c>
      <c r="I41" t="inlineStr">
        <is>
          <t>13/04/2026</t>
        </is>
      </c>
    </row>
    <row r="42">
      <c r="A42" t="inlineStr"/>
      <c r="B42" t="inlineStr">
        <is>
          <t>RNCP35507</t>
        </is>
      </c>
      <c r="C42" t="inlineStr">
        <is>
          <t>TP - Constructeur bois</t>
        </is>
      </c>
      <c r="D42" s="38" t="inlineStr">
        <is>
          <t>Expiré / remplacé</t>
        </is>
      </c>
      <c r="E42" t="inlineStr">
        <is>
          <t>Fiche inactive — remplacée par RNCP42102 (Constructeur bois)</t>
        </is>
      </c>
      <c r="F42" t="inlineStr">
        <is>
          <t>RNCP42102</t>
        </is>
      </c>
      <c r="G42" t="inlineStr">
        <is>
          <t>Constructeur bois</t>
        </is>
      </c>
      <c r="H42" t="inlineStr">
        <is>
          <t>22396 (Construction bois)</t>
        </is>
      </c>
      <c r="I42" t="inlineStr">
        <is>
          <t>26/04/2026</t>
        </is>
      </c>
    </row>
    <row r="43">
      <c r="A43" t="inlineStr"/>
      <c r="B43" t="inlineStr">
        <is>
          <t>RNCP35508</t>
        </is>
      </c>
      <c r="C43" t="inlineStr">
        <is>
          <t>TP - Charpentier bois</t>
        </is>
      </c>
      <c r="D43" s="38" t="inlineStr">
        <is>
          <t>Expiré / remplacé</t>
        </is>
      </c>
      <c r="E43" t="inlineStr">
        <is>
          <t>Fiche inactive — remplacée par RNCP42101 (Charpentier bois)</t>
        </is>
      </c>
      <c r="F43" t="inlineStr">
        <is>
          <t>RNCP42101</t>
        </is>
      </c>
      <c r="G43" t="inlineStr">
        <is>
          <t>Charpentier bois</t>
        </is>
      </c>
      <c r="H43" t="inlineStr">
        <is>
          <t>22313 (Charpente bois)</t>
        </is>
      </c>
      <c r="I43" t="inlineStr">
        <is>
          <t>26/04/2026</t>
        </is>
      </c>
    </row>
    <row r="44">
      <c r="A44" t="inlineStr"/>
      <c r="B44" t="inlineStr">
        <is>
          <t>RNCP35509</t>
        </is>
      </c>
      <c r="C44" t="inlineStr">
        <is>
          <t>TP - Carreleur-chapiste</t>
        </is>
      </c>
      <c r="D44" s="38" t="inlineStr">
        <is>
          <t>Expiré / remplacé</t>
        </is>
      </c>
      <c r="E44" t="inlineStr">
        <is>
          <t>Fiche inactive — remplacée par RNCP42139 (Carreleur-chapiste)</t>
        </is>
      </c>
      <c r="F44" t="inlineStr">
        <is>
          <t>RNCP42139</t>
        </is>
      </c>
      <c r="G44" t="inlineStr">
        <is>
          <t>Carreleur-chapiste</t>
        </is>
      </c>
      <c r="H44" t="inlineStr">
        <is>
          <t>22440 (Carrelage mosaïque)</t>
        </is>
      </c>
      <c r="I44" t="inlineStr">
        <is>
          <t>23/05/2026</t>
        </is>
      </c>
    </row>
    <row r="45">
      <c r="A45" t="inlineStr"/>
      <c r="B45" t="inlineStr">
        <is>
          <t>RNCP35510</t>
        </is>
      </c>
      <c r="C45" t="inlineStr">
        <is>
          <t>TP - Agent de maintenance des bâtiments</t>
        </is>
      </c>
      <c r="D45" s="38" t="inlineStr">
        <is>
          <t>Expiré / remplacé</t>
        </is>
      </c>
      <c r="E45" t="inlineStr">
        <is>
          <t>Fiche inactive — remplacée par RNCP42031 (Agent de maintenance des bâtiments)</t>
        </is>
      </c>
      <c r="F45" t="inlineStr">
        <is>
          <t>RNCP42031</t>
        </is>
      </c>
      <c r="G45" t="inlineStr">
        <is>
          <t>Agent de maintenance des bâtiments</t>
        </is>
      </c>
      <c r="H45" t="inlineStr">
        <is>
          <t>22486 (Maintenance bâtiment)</t>
        </is>
      </c>
      <c r="I45" t="inlineStr">
        <is>
          <t>19/04/2026</t>
        </is>
      </c>
    </row>
    <row r="46">
      <c r="A46" t="inlineStr"/>
      <c r="B46" t="inlineStr">
        <is>
          <t>RNCP35525</t>
        </is>
      </c>
      <c r="C46" t="inlineStr">
        <is>
          <t>TP - Technicien d'intervention en froid et équipements de cuisines professionnelles</t>
        </is>
      </c>
      <c r="D46" s="38" t="inlineStr">
        <is>
          <t>Expiré / remplacé</t>
        </is>
      </c>
      <c r="E46" t="inlineStr">
        <is>
          <t>Fiche inactive — remplacée par RNCP42086 (Technicien d'intervention en froid et équipements de cuisines professionnelles)</t>
        </is>
      </c>
      <c r="F46" t="inlineStr">
        <is>
          <t>RNCP42086</t>
        </is>
      </c>
      <c r="G46" t="inlineStr">
        <is>
          <t>Technicien d'intervention en froid et équipements de cuisines professionnelles</t>
        </is>
      </c>
      <c r="H46" t="inlineStr">
        <is>
          <t>22624 (Installation frigorifique)</t>
        </is>
      </c>
      <c r="I46" t="inlineStr">
        <is>
          <t>26/02/2026</t>
        </is>
      </c>
    </row>
    <row r="47">
      <c r="A47" t="inlineStr"/>
      <c r="B47" t="inlineStr">
        <is>
          <t>RNCP35527</t>
        </is>
      </c>
      <c r="C47" t="inlineStr">
        <is>
          <t>TP - Responsable d'établissement touristique</t>
        </is>
      </c>
      <c r="D47" s="38" t="inlineStr">
        <is>
          <t>Expiré / remplacé</t>
        </is>
      </c>
      <c r="E47" t="inlineStr">
        <is>
          <t>Fiche inactive — remplacée par RNCP42020 (Responsable d'établissement touristique)</t>
        </is>
      </c>
      <c r="F47" t="inlineStr">
        <is>
          <t>RNCP42020</t>
        </is>
      </c>
      <c r="G47" t="inlineStr">
        <is>
          <t>Responsable d'établissement touristique</t>
        </is>
      </c>
      <c r="H47" t="inlineStr">
        <is>
          <t>42627 (Gestion entreprise touristique) ; 42766 (Gestion hôtel restaurant bar)</t>
        </is>
      </c>
      <c r="I47" t="inlineStr">
        <is>
          <t>24/05/2026</t>
        </is>
      </c>
    </row>
    <row r="48">
      <c r="A48" t="inlineStr"/>
      <c r="B48" t="inlineStr">
        <is>
          <t>RNCP35530</t>
        </is>
      </c>
      <c r="C48" t="inlineStr">
        <is>
          <t>TP - Technicien de bureau d'études en électricité des bâtiments</t>
        </is>
      </c>
      <c r="D48" s="38" t="inlineStr">
        <is>
          <t>Expiré / remplacé</t>
        </is>
      </c>
      <c r="E48" t="inlineStr">
        <is>
          <t>Fiche inactive (échéance 17/05/2026) — aucun successeur publié</t>
        </is>
      </c>
      <c r="F48" t="inlineStr">
        <is>
          <t>RNCP35530</t>
        </is>
      </c>
      <c r="G48" t="inlineStr">
        <is>
          <t>Technicien de bureau d'études en électricité des bâtiments</t>
        </is>
      </c>
      <c r="H48" t="inlineStr">
        <is>
          <t>22252 (Dessin BTP) ; 24066 (Installation électrique) ; 24027 (Schéma électrique) ; 71111 (Logiciel Autocad)</t>
        </is>
      </c>
      <c r="I48" t="inlineStr">
        <is>
          <t>17/05/2026</t>
        </is>
      </c>
    </row>
    <row r="49">
      <c r="A49" t="inlineStr"/>
      <c r="B49" t="inlineStr">
        <is>
          <t>RNCP35551</t>
        </is>
      </c>
      <c r="C49" t="inlineStr">
        <is>
          <t>Agent d’entretien et de rénovation en propreté</t>
        </is>
      </c>
      <c r="D49" s="38" t="inlineStr">
        <is>
          <t>Expiré / remplacé</t>
        </is>
      </c>
      <c r="E49" t="inlineStr">
        <is>
          <t>Fiche inactive — remplacée par RNCP42160 (Agent d'entretien et de rénovation en propreté)</t>
        </is>
      </c>
      <c r="F49" t="inlineStr">
        <is>
          <t>RNCP42160</t>
        </is>
      </c>
      <c r="G49" t="inlineStr">
        <is>
          <t>Agent d'entretien et de rénovation en propreté</t>
        </is>
      </c>
      <c r="H49" t="inlineStr">
        <is>
          <t>42093 (Nettoyage locaux)</t>
        </is>
      </c>
      <c r="I49" t="inlineStr">
        <is>
          <t>19/04/2026</t>
        </is>
      </c>
    </row>
    <row r="50">
      <c r="A50" t="inlineStr"/>
      <c r="B50" t="inlineStr">
        <is>
          <t>RNCP35552</t>
        </is>
      </c>
      <c r="C50" t="inlineStr">
        <is>
          <t>Chef d’équipe en propreté</t>
        </is>
      </c>
      <c r="D50" s="38" t="inlineStr">
        <is>
          <t>Expiré / remplacé</t>
        </is>
      </c>
      <c r="E50" t="inlineStr">
        <is>
          <t>Fiche inactive — remplacée par RNCP42151 (Chef d'équipe en propreté)</t>
        </is>
      </c>
      <c r="F50" t="inlineStr">
        <is>
          <t>RNCP42151</t>
        </is>
      </c>
      <c r="G50" t="inlineStr">
        <is>
          <t>Chef d'équipe en propreté</t>
        </is>
      </c>
      <c r="H50" t="inlineStr">
        <is>
          <t>42093 (Nettoyage locaux)</t>
        </is>
      </c>
      <c r="I50" t="inlineStr">
        <is>
          <t>19/04/2026</t>
        </is>
      </c>
    </row>
    <row r="51">
      <c r="A51" t="inlineStr"/>
      <c r="B51" t="inlineStr">
        <is>
          <t>RNCP35584</t>
        </is>
      </c>
      <c r="C51" t="inlineStr">
        <is>
          <t>Expert en informatique et système d'information</t>
        </is>
      </c>
      <c r="D51" s="38" t="inlineStr">
        <is>
          <t>Expiré / remplacé</t>
        </is>
      </c>
      <c r="E51" t="inlineStr">
        <is>
          <t>Fiche inactive — remplacée par RNCP42317 (Expert en informatique et système d'information)</t>
        </is>
      </c>
      <c r="F51" t="inlineStr">
        <is>
          <t>RNCP42317</t>
        </is>
      </c>
      <c r="G51" t="inlineStr">
        <is>
          <t>Expert en informatique et système d'information</t>
        </is>
      </c>
      <c r="H51" t="inlineStr">
        <is>
          <t>31008 (Système information) ; 31094 (Gestion projet informatique) ; 31084 (Informatique de gestion) ; 31025 (Analyse de données) ; 31067 (Développement informatique)</t>
        </is>
      </c>
      <c r="I51" t="inlineStr">
        <is>
          <t>19/05/2026</t>
        </is>
      </c>
    </row>
    <row r="52">
      <c r="A52" t="inlineStr"/>
      <c r="B52" t="inlineStr">
        <is>
          <t>RNCP35590</t>
        </is>
      </c>
      <c r="C52" t="inlineStr">
        <is>
          <t>Manager de l'habitat social et durable</t>
        </is>
      </c>
      <c r="D52" s="38" t="inlineStr">
        <is>
          <t>Expiré / remplacé</t>
        </is>
      </c>
      <c r="E52" t="inlineStr">
        <is>
          <t>Fiche inactive — remplacée par RNCP42170 (Manager de projet immobilier durable)</t>
        </is>
      </c>
      <c r="F52" t="inlineStr">
        <is>
          <t>RNCP42170</t>
        </is>
      </c>
      <c r="G52" t="inlineStr">
        <is>
          <t>Manager de projet immobilier durable</t>
        </is>
      </c>
      <c r="H52" t="inlineStr">
        <is>
          <t>42154 (Immobilier) ; 22250 (Éco-construction) ; 32145 (Management transversal) ; 12554 (Environnement aménagement)</t>
        </is>
      </c>
      <c r="I52" t="inlineStr">
        <is>
          <t>19/05/2026</t>
        </is>
      </c>
    </row>
    <row r="53">
      <c r="A53" t="inlineStr"/>
      <c r="B53" t="inlineStr">
        <is>
          <t>RNCP35593</t>
        </is>
      </c>
      <c r="C53" t="inlineStr">
        <is>
          <t>Directeur de projets image et communication</t>
        </is>
      </c>
      <c r="D53" s="38" t="inlineStr">
        <is>
          <t>Expiré / remplacé</t>
        </is>
      </c>
      <c r="E53" t="inlineStr">
        <is>
          <t>Fiche inactive — remplacée par RNCP42186 (Manager de la communication omnicanal)</t>
        </is>
      </c>
      <c r="F53" t="inlineStr">
        <is>
          <t>RNCP42186</t>
        </is>
      </c>
      <c r="G53" t="inlineStr">
        <is>
          <t>Manager de la communication omnicanal</t>
        </is>
      </c>
      <c r="H53" t="inlineStr">
        <is>
          <t>46301 (Communication entreprise) ; 46302 (Gestion entreprise communication information) ; 46347 (Stratégie communication numérique)</t>
        </is>
      </c>
      <c r="I53" t="inlineStr">
        <is>
          <t>19/05/2026</t>
        </is>
      </c>
    </row>
    <row r="54">
      <c r="A54" t="inlineStr"/>
      <c r="B54" t="inlineStr">
        <is>
          <t>RNCP35594</t>
        </is>
      </c>
      <c r="C54" t="inlineStr">
        <is>
          <t>Administrateur systèmes, réseaux et bases de données</t>
        </is>
      </c>
      <c r="D54" s="38" t="inlineStr">
        <is>
          <t>Expiré / remplacé</t>
        </is>
      </c>
      <c r="E54" t="inlineStr">
        <is>
          <t>Fiche inactive — remplacée par RNCP41996 (Administrateur systèmes, réseaux et bases de données)</t>
        </is>
      </c>
      <c r="F54" t="inlineStr">
        <is>
          <t>RNCP41996</t>
        </is>
      </c>
      <c r="G54" t="inlineStr">
        <is>
          <t>Administrateur systèmes, réseaux et bases de données</t>
        </is>
      </c>
      <c r="H54" t="inlineStr">
        <is>
          <t>31034 (Administration système)</t>
        </is>
      </c>
      <c r="I54" t="inlineStr">
        <is>
          <t>19/05/2026</t>
        </is>
      </c>
    </row>
    <row r="55">
      <c r="A55" t="inlineStr"/>
      <c r="B55" t="inlineStr">
        <is>
          <t>RNCP35604</t>
        </is>
      </c>
      <c r="C55" t="inlineStr">
        <is>
          <t>Manager du développement des ressources humaines</t>
        </is>
      </c>
      <c r="D55" s="38" t="inlineStr">
        <is>
          <t>Expiré / remplacé</t>
        </is>
      </c>
      <c r="E55" t="inlineStr">
        <is>
          <t>Fiche inactive — remplacée par RNCP42518 (Manager du développement des ressources humaines (MDRH))</t>
        </is>
      </c>
      <c r="F55" t="inlineStr">
        <is>
          <t>RNCP42518</t>
        </is>
      </c>
      <c r="G55" t="inlineStr">
        <is>
          <t>Manager du développement des ressources humaines (MDRH)</t>
        </is>
      </c>
      <c r="H55" t="inlineStr">
        <is>
          <t>33054 (Gestion ressources humaines)</t>
        </is>
      </c>
      <c r="I55" t="inlineStr">
        <is>
          <t>19/05/2026</t>
        </is>
      </c>
    </row>
    <row r="56">
      <c r="A56" t="inlineStr"/>
      <c r="B56" t="inlineStr">
        <is>
          <t>RNCP35634</t>
        </is>
      </c>
      <c r="C56" t="inlineStr">
        <is>
          <t>TP - Concepteur designer UI</t>
        </is>
      </c>
      <c r="D56" s="38" t="inlineStr">
        <is>
          <t>Expiré / remplacé</t>
        </is>
      </c>
      <c r="E56" t="inlineStr">
        <is>
          <t>Fiche inactive — remplacée par RNCP42140 (Concepteur designer User Interface)</t>
        </is>
      </c>
      <c r="F56" t="inlineStr">
        <is>
          <t>RNCP42140</t>
        </is>
      </c>
      <c r="G56" t="inlineStr">
        <is>
          <t>Concepteur designer User Interface</t>
        </is>
      </c>
      <c r="H56" t="inlineStr">
        <is>
          <t>46372 (Design interface utilisateur) ; 46072 (Art graphique) ; 31090 (Développement web)</t>
        </is>
      </c>
      <c r="I56" t="inlineStr">
        <is>
          <t>13/07/2026</t>
        </is>
      </c>
    </row>
    <row r="57">
      <c r="A57" t="inlineStr"/>
      <c r="B57" t="inlineStr">
        <is>
          <t>RNCP35723</t>
        </is>
      </c>
      <c r="C57" t="inlineStr">
        <is>
          <t>TP - Monteur en calorifuge industriel</t>
        </is>
      </c>
      <c r="D57" s="38" t="inlineStr">
        <is>
          <t>Expiré / remplacé</t>
        </is>
      </c>
      <c r="E57" t="inlineStr">
        <is>
          <t>Fiche inactive (échéance 29/06/2026) — aucun successeur publié</t>
        </is>
      </c>
      <c r="F57" t="inlineStr">
        <is>
          <t>RNCP35723</t>
        </is>
      </c>
      <c r="G57" t="inlineStr">
        <is>
          <t>Monteur en calorifuge industriel</t>
        </is>
      </c>
      <c r="H57" t="inlineStr">
        <is>
          <t>22425 (Isolation thermique)</t>
        </is>
      </c>
      <c r="I57" t="inlineStr">
        <is>
          <t>29/06/2026</t>
        </is>
      </c>
    </row>
    <row r="58">
      <c r="A58" t="inlineStr"/>
      <c r="B58" t="inlineStr">
        <is>
          <t>RNCP35750</t>
        </is>
      </c>
      <c r="C58" t="inlineStr">
        <is>
          <t>Gestionnaire de Paie</t>
        </is>
      </c>
      <c r="D58" s="38" t="inlineStr">
        <is>
          <t>Expiré / remplacé</t>
        </is>
      </c>
      <c r="E58" t="inlineStr">
        <is>
          <t>Fiche inactive — remplacée par RNCP42350 (Gestionnaire de paie)</t>
        </is>
      </c>
      <c r="F58" t="inlineStr">
        <is>
          <t>RNCP42350</t>
        </is>
      </c>
      <c r="G58" t="inlineStr">
        <is>
          <t>Gestionnaire de paie</t>
        </is>
      </c>
      <c r="H58" t="inlineStr">
        <is>
          <t>32688 (Traitement paie) ; 33031 (Système rémunération)</t>
        </is>
      </c>
      <c r="I58" t="inlineStr">
        <is>
          <t>08/07/2026</t>
        </is>
      </c>
    </row>
    <row r="59">
      <c r="A59" t="inlineStr"/>
      <c r="B59" t="inlineStr">
        <is>
          <t>RNCP35753</t>
        </is>
      </c>
      <c r="C59" t="inlineStr">
        <is>
          <t>Opérateur Technique en Pharmacie et Cosmétique Industrielles</t>
        </is>
      </c>
      <c r="D59" s="38" t="inlineStr">
        <is>
          <t>Expiré / remplacé</t>
        </is>
      </c>
      <c r="E59" t="inlineStr">
        <is>
          <t>Fiche inactive — remplacée par RNCP42309 (Opérateur Technique en Pharmacie et Cosmétique Industrielles)</t>
        </is>
      </c>
      <c r="F59" t="inlineStr">
        <is>
          <t>RNCP42309</t>
        </is>
      </c>
      <c r="G59" t="inlineStr">
        <is>
          <t>Opérateur Technique en Pharmacie et Cosmétique Industrielles</t>
        </is>
      </c>
      <c r="H59" t="inlineStr">
        <is>
          <t>31620 (Conduite installation industrielle)</t>
        </is>
      </c>
      <c r="I59" t="inlineStr">
        <is>
          <t>08/07/2026</t>
        </is>
      </c>
    </row>
    <row r="60">
      <c r="A60" t="inlineStr"/>
      <c r="B60" t="inlineStr">
        <is>
          <t>RNCP35767</t>
        </is>
      </c>
      <c r="C60" t="inlineStr">
        <is>
          <t>Chargé de recrutement</t>
        </is>
      </c>
      <c r="D60" s="38" t="inlineStr">
        <is>
          <t>Expiré / remplacé</t>
        </is>
      </c>
      <c r="E60" t="inlineStr">
        <is>
          <t>Fiche inactive (échéance 08/07/2026) — aucun successeur publié</t>
        </is>
      </c>
      <c r="F60" t="inlineStr">
        <is>
          <t>RNCP35767</t>
        </is>
      </c>
      <c r="G60" t="inlineStr">
        <is>
          <t>Chargé de recrutement</t>
        </is>
      </c>
      <c r="H60" t="inlineStr">
        <is>
          <t>33060 (Recrutement) ; 33070 (Travail temporaire)</t>
        </is>
      </c>
      <c r="I60" t="inlineStr">
        <is>
          <t>08/07/2026</t>
        </is>
      </c>
    </row>
    <row r="61">
      <c r="A61" t="inlineStr"/>
      <c r="B61" t="inlineStr">
        <is>
          <t>RNCP36803</t>
        </is>
      </c>
      <c r="C61" t="inlineStr">
        <is>
          <t>Titre professionnel - Employé administratif et d'accueil</t>
        </is>
      </c>
      <c r="D61" s="38" t="inlineStr">
        <is>
          <t>Expiré / remplacé</t>
        </is>
      </c>
      <c r="E61" t="inlineStr">
        <is>
          <t>Fiche inactive (échéance 01/03/2026) — aucun successeur publié</t>
        </is>
      </c>
      <c r="F61" t="inlineStr">
        <is>
          <t>RNCP36803</t>
        </is>
      </c>
      <c r="G61" t="inlineStr">
        <is>
          <t>Employé administratif et d'accueil</t>
        </is>
      </c>
      <c r="H61" t="inlineStr">
        <is>
          <t>35052 (Accueil) ; 35071 (Technique administrative)</t>
        </is>
      </c>
      <c r="I61" t="inlineStr">
        <is>
          <t>01/03/2026</t>
        </is>
      </c>
    </row>
    <row r="62">
      <c r="A62" t="inlineStr"/>
      <c r="B62" t="inlineStr">
        <is>
          <t>RNCP36804</t>
        </is>
      </c>
      <c r="C62" t="inlineStr">
        <is>
          <t>Titre professionnel - Secrétaire assistant</t>
        </is>
      </c>
      <c r="D62" s="38" t="inlineStr">
        <is>
          <t>Expiré / remplacé</t>
        </is>
      </c>
      <c r="E62" t="inlineStr">
        <is>
          <t>Fiche inactive (échéance 28/02/2026) — aucun successeur publié</t>
        </is>
      </c>
      <c r="F62" t="inlineStr">
        <is>
          <t>RNCP36804</t>
        </is>
      </c>
      <c r="G62" t="inlineStr">
        <is>
          <t>Secrétaire assistant</t>
        </is>
      </c>
      <c r="H62" t="inlineStr">
        <is>
          <t>35007 (Secrétariat assistanat gestion PME PMI) ; 35029 (Correspondance commerciale)</t>
        </is>
      </c>
      <c r="I62" t="inlineStr">
        <is>
          <t>28/02/2026</t>
        </is>
      </c>
    </row>
    <row r="63">
      <c r="A63" t="inlineStr"/>
      <c r="B63" t="inlineStr">
        <is>
          <t>RNCP37071</t>
        </is>
      </c>
      <c r="C63" t="inlineStr">
        <is>
          <t>Technicien expert après-vente véhicules utilitaires et industriels</t>
        </is>
      </c>
      <c r="D63" s="38" t="inlineStr">
        <is>
          <t>Expiré / remplacé</t>
        </is>
      </c>
      <c r="E63" t="inlineStr">
        <is>
          <t>Fiche inactive — remplacée par RNCP41657 (Technicien expert après-vente véhicules utilitaires et industriels)</t>
        </is>
      </c>
      <c r="F63" t="inlineStr">
        <is>
          <t>RNCP41657</t>
        </is>
      </c>
      <c r="G63" t="inlineStr">
        <is>
          <t>Technicien expert après-vente véhicules utilitaires et industriels</t>
        </is>
      </c>
      <c r="H63" t="inlineStr">
        <is>
          <t>31604 (Maintenance corrective) ; 31603 (Maintenance préventive) ; 23637 (Mécanique automobile)</t>
        </is>
      </c>
      <c r="I63" t="inlineStr">
        <is>
          <t>18/12/2025</t>
        </is>
      </c>
    </row>
    <row r="64">
      <c r="A64" t="inlineStr"/>
      <c r="B64" t="inlineStr">
        <is>
          <t>RNCP37134</t>
        </is>
      </c>
      <c r="C64" t="inlineStr">
        <is>
          <t>CQP Mécanicien véhicules utilitaires et industriels</t>
        </is>
      </c>
      <c r="D64" s="38" t="inlineStr">
        <is>
          <t>Expiré / remplacé</t>
        </is>
      </c>
      <c r="E64" t="inlineStr">
        <is>
          <t>Fiche inactive — remplacée par RNCP41656 (CQP Mécanicien véhicules utilitaires et industriels)</t>
        </is>
      </c>
      <c r="F64" t="inlineStr">
        <is>
          <t>RNCP41656</t>
        </is>
      </c>
      <c r="G64" t="inlineStr">
        <is>
          <t>CQP Mécanicien véhicules utilitaires et industriels</t>
        </is>
      </c>
      <c r="H64" t="inlineStr">
        <is>
          <t>23637 (Mécanique automobile)</t>
        </is>
      </c>
      <c r="I64" t="inlineStr">
        <is>
          <t>18/12/2025</t>
        </is>
      </c>
    </row>
    <row r="65">
      <c r="A65" t="inlineStr"/>
      <c r="B65" t="inlineStr">
        <is>
          <t>RNCP37329</t>
        </is>
      </c>
      <c r="C65" t="inlineStr">
        <is>
          <t>Technicien supérieur en automatisme et interfaces associées</t>
        </is>
      </c>
      <c r="D65" s="38" t="inlineStr">
        <is>
          <t>Expiré / remplacé</t>
        </is>
      </c>
      <c r="E65" t="inlineStr">
        <is>
          <t>Fiche inactive — remplacée par RNCP42213 (Technicien en automatisme et interfaces associées)</t>
        </is>
      </c>
      <c r="F65" t="inlineStr">
        <is>
          <t>RNCP42213</t>
        </is>
      </c>
      <c r="G65" t="inlineStr">
        <is>
          <t>Technicien en automatisme et interfaces associées</t>
        </is>
      </c>
      <c r="H65" t="inlineStr">
        <is>
          <t>24431 (Maintenance système automatisé)</t>
        </is>
      </c>
      <c r="I65" t="inlineStr">
        <is>
          <t>17/02/2026</t>
        </is>
      </c>
    </row>
    <row r="66">
      <c r="A66" t="inlineStr"/>
      <c r="B66" t="inlineStr">
        <is>
          <t>RNCP37333</t>
        </is>
      </c>
      <c r="C66" t="inlineStr">
        <is>
          <t>Photographe</t>
        </is>
      </c>
      <c r="D66" s="38" t="inlineStr">
        <is>
          <t>Expiré / remplacé</t>
        </is>
      </c>
      <c r="E66" t="inlineStr">
        <is>
          <t>Fiche inactive (échéance 17/02/2026) — aucun successeur publié</t>
        </is>
      </c>
      <c r="F66" t="inlineStr">
        <is>
          <t>RNCP37333</t>
        </is>
      </c>
      <c r="G66" t="inlineStr">
        <is>
          <t>Photographe</t>
        </is>
      </c>
      <c r="H66" t="inlineStr">
        <is>
          <t>46006 (Acquisition traitement image) ; 46283 (Prise de vue photographie) ; 46392 (Photothèque)</t>
        </is>
      </c>
      <c r="I66" t="inlineStr">
        <is>
          <t>17/02/2026</t>
        </is>
      </c>
    </row>
    <row r="67">
      <c r="A67" t="inlineStr"/>
      <c r="B67" t="inlineStr">
        <is>
          <t>RNCP37345</t>
        </is>
      </c>
      <c r="C67" t="inlineStr">
        <is>
          <t>Assistant de direction</t>
        </is>
      </c>
      <c r="D67" s="38" t="inlineStr">
        <is>
          <t>Expiré / remplacé</t>
        </is>
      </c>
      <c r="E67" t="inlineStr">
        <is>
          <t>Fiche inactive — remplacée par RNCP41722 (Assistant de direction)</t>
        </is>
      </c>
      <c r="F67" t="inlineStr">
        <is>
          <t>RNCP41722</t>
        </is>
      </c>
      <c r="G67" t="inlineStr">
        <is>
          <t>Assistant de direction</t>
        </is>
      </c>
      <c r="H67" t="inlineStr">
        <is>
          <t>35047 (Secrétariat assistanat direction)</t>
        </is>
      </c>
      <c r="I67" t="inlineStr">
        <is>
          <t>17/02/2026</t>
        </is>
      </c>
    </row>
    <row r="68">
      <c r="A68" t="inlineStr"/>
      <c r="B68" t="inlineStr">
        <is>
          <t>RNCP37349</t>
        </is>
      </c>
      <c r="C68" t="inlineStr">
        <is>
          <t>Manager des risques et de l'assurance de l'entreprise</t>
        </is>
      </c>
      <c r="D68" s="38" t="inlineStr">
        <is>
          <t>Expiré / remplacé</t>
        </is>
      </c>
      <c r="E68" t="inlineStr">
        <is>
          <t>Fiche inactive — remplacée par RNCP42465 (Manager des risques et des assurances de l'entreprise)</t>
        </is>
      </c>
      <c r="F68" t="inlineStr">
        <is>
          <t>RNCP42465</t>
        </is>
      </c>
      <c r="G68" t="inlineStr">
        <is>
          <t>Manager des risques et des assurances de l'entreprise</t>
        </is>
      </c>
      <c r="H68" t="inlineStr">
        <is>
          <t>41049 (Assurance entreprise)</t>
        </is>
      </c>
      <c r="I68" t="inlineStr">
        <is>
          <t>17/02/2026</t>
        </is>
      </c>
    </row>
    <row r="69">
      <c r="A69" t="inlineStr"/>
      <c r="B69" t="inlineStr">
        <is>
          <t>RNCP37410</t>
        </is>
      </c>
      <c r="C69" t="inlineStr">
        <is>
          <t>CQP Vendeur en fournitures industrielles</t>
        </is>
      </c>
      <c r="D69" s="38" t="inlineStr">
        <is>
          <t>Expiré / remplacé</t>
        </is>
      </c>
      <c r="E69" t="inlineStr">
        <is>
          <t>Fiche inactive — remplacée par RNCP42063 (CQP Vendeur en fournitures industrielles)</t>
        </is>
      </c>
      <c r="F69" t="inlineStr">
        <is>
          <t>RNCP42063</t>
        </is>
      </c>
      <c r="G69" t="inlineStr">
        <is>
          <t>CQP Vendeur en fournitures industrielles</t>
        </is>
      </c>
      <c r="H69" t="inlineStr">
        <is>
          <t>34502 (Vente spécialisée)</t>
        </is>
      </c>
      <c r="I69" t="inlineStr">
        <is>
          <t>27/03/2026</t>
        </is>
      </c>
    </row>
    <row r="70">
      <c r="A70" t="inlineStr"/>
      <c r="B70" t="inlineStr">
        <is>
          <t>RNCP37416</t>
        </is>
      </c>
      <c r="C70" t="inlineStr">
        <is>
          <t>Réparateur de produits nomades</t>
        </is>
      </c>
      <c r="D70" s="38" t="inlineStr">
        <is>
          <t>Expiré / remplacé</t>
        </is>
      </c>
      <c r="E70" t="inlineStr">
        <is>
          <t>Fiche inactive — remplacée par RNCP41732 (Réparateur de produits électroniques nomades)</t>
        </is>
      </c>
      <c r="F70" t="inlineStr">
        <is>
          <t>RNCP41732</t>
        </is>
      </c>
      <c r="G70" t="inlineStr">
        <is>
          <t>Réparateur de produits électroniques nomades</t>
        </is>
      </c>
      <c r="H70" t="inlineStr">
        <is>
          <t>24340 (Maintenance électronique) ; 24336 (Composant électronique)</t>
        </is>
      </c>
      <c r="I70" t="inlineStr">
        <is>
          <t>27/03/2026</t>
        </is>
      </c>
    </row>
    <row r="71">
      <c r="A71" t="inlineStr"/>
      <c r="B71" t="inlineStr">
        <is>
          <t>RNCP37422</t>
        </is>
      </c>
      <c r="C71" t="inlineStr">
        <is>
          <t>Data Engineer</t>
        </is>
      </c>
      <c r="D71" s="38" t="inlineStr">
        <is>
          <t>Expiré / remplacé</t>
        </is>
      </c>
      <c r="E71" t="inlineStr">
        <is>
          <t>Fiche inactive — remplacée par RNCP42149 (Data engineer)</t>
        </is>
      </c>
      <c r="F71" t="inlineStr">
        <is>
          <t>RNCP42149</t>
        </is>
      </c>
      <c r="G71" t="inlineStr">
        <is>
          <t>Data engineer</t>
        </is>
      </c>
      <c r="H71" t="inlineStr">
        <is>
          <t>31094 (Gestion projet informatique) ; 31028 (Intelligence artificielle) ; 31023 (Gestion données massives)</t>
        </is>
      </c>
      <c r="I71" t="inlineStr">
        <is>
          <t>27/03/2026</t>
        </is>
      </c>
    </row>
    <row r="72">
      <c r="A72" t="inlineStr"/>
      <c r="B72" t="inlineStr">
        <is>
          <t>RNCP37433</t>
        </is>
      </c>
      <c r="C72" t="inlineStr">
        <is>
          <t>Manager dans le secteur hôtelier international</t>
        </is>
      </c>
      <c r="D72" s="38" t="inlineStr">
        <is>
          <t>Expiré / remplacé</t>
        </is>
      </c>
      <c r="E72" t="inlineStr">
        <is>
          <t>Fiche inactive — remplacée par RNCP41888 (Manager dans le secteur hôtelier international)</t>
        </is>
      </c>
      <c r="F72" t="inlineStr">
        <is>
          <t>RNCP41888</t>
        </is>
      </c>
      <c r="G72" t="inlineStr">
        <is>
          <t>Manager dans le secteur hôtelier international</t>
        </is>
      </c>
      <c r="H72" t="inlineStr">
        <is>
          <t>42766 (Gestion hôtel restaurant bar) ; 42627 (Gestion entreprise touristique)</t>
        </is>
      </c>
      <c r="I72" t="inlineStr">
        <is>
          <t>27/03/2026</t>
        </is>
      </c>
    </row>
    <row r="73">
      <c r="A73" t="inlineStr"/>
      <c r="B73" t="inlineStr">
        <is>
          <t>RNCP37435</t>
        </is>
      </c>
      <c r="C73" t="inlineStr">
        <is>
          <t>Gestionnaire d'affaires immobilières</t>
        </is>
      </c>
      <c r="D73" s="38" t="inlineStr">
        <is>
          <t>Expiré / remplacé</t>
        </is>
      </c>
      <c r="E73" t="inlineStr">
        <is>
          <t>Fiche inactive — remplacée par RNCP41800 (Gestionnaire d'affaires immobilières)</t>
        </is>
      </c>
      <c r="F73" t="inlineStr">
        <is>
          <t>RNCP41800</t>
        </is>
      </c>
      <c r="G73" t="inlineStr">
        <is>
          <t>Gestionnaire d'affaires immobilières</t>
        </is>
      </c>
      <c r="H73" t="inlineStr">
        <is>
          <t>13297 (Bail immobilier) ; 42184 (Agence immobilière) ; 42133 (Gestion immobilière)</t>
        </is>
      </c>
      <c r="I73" t="inlineStr">
        <is>
          <t>27/03/2026</t>
        </is>
      </c>
    </row>
    <row r="74">
      <c r="A74" t="inlineStr"/>
      <c r="B74" t="inlineStr">
        <is>
          <t>RNCP37439</t>
        </is>
      </c>
      <c r="C74" t="inlineStr">
        <is>
          <t>Boulanger</t>
        </is>
      </c>
      <c r="D74" s="38" t="inlineStr">
        <is>
          <t>Expiré / remplacé</t>
        </is>
      </c>
      <c r="E74" t="inlineStr">
        <is>
          <t>Fiche inactive — remplacée par RNCP41743 (Boulanger)</t>
        </is>
      </c>
      <c r="F74" t="inlineStr">
        <is>
          <t>RNCP41743</t>
        </is>
      </c>
      <c r="G74" t="inlineStr">
        <is>
          <t>Boulanger</t>
        </is>
      </c>
      <c r="H74" t="inlineStr">
        <is>
          <t>21538 (Boulangerie)</t>
        </is>
      </c>
      <c r="I74" t="inlineStr">
        <is>
          <t>27/03/2026</t>
        </is>
      </c>
    </row>
    <row r="75">
      <c r="A75" t="inlineStr"/>
      <c r="B75" t="inlineStr">
        <is>
          <t>RNCP37503</t>
        </is>
      </c>
      <c r="C75" t="inlineStr">
        <is>
          <t>CQP Initiateur en motocyclisme</t>
        </is>
      </c>
      <c r="D75" s="38" t="inlineStr">
        <is>
          <t>Expiré / remplacé</t>
        </is>
      </c>
      <c r="E75" t="inlineStr">
        <is>
          <t>Fiche inactive — remplacée par RNCP41985 (CQP Initiateur et guide de randonnée en motocyclisme)</t>
        </is>
      </c>
      <c r="F75" t="inlineStr">
        <is>
          <t>RNCP41985</t>
        </is>
      </c>
      <c r="G75" t="inlineStr">
        <is>
          <t>CQP Initiateur et guide de randonnée en motocyclisme</t>
        </is>
      </c>
      <c r="H75" t="inlineStr">
        <is>
          <t>15436 (Éducation sportive) ; 15469 (Randonnée)</t>
        </is>
      </c>
      <c r="I75" t="inlineStr">
        <is>
          <t>24/04/2026</t>
        </is>
      </c>
    </row>
    <row r="76">
      <c r="A76" t="inlineStr"/>
      <c r="B76" t="inlineStr">
        <is>
          <t>RNCP37511</t>
        </is>
      </c>
      <c r="C76" t="inlineStr">
        <is>
          <t>Animateur en gérontologie</t>
        </is>
      </c>
      <c r="D76" s="38" t="inlineStr">
        <is>
          <t>Expiré / remplacé</t>
        </is>
      </c>
      <c r="E76" t="inlineStr">
        <is>
          <t>Fiche inactive — remplacée par RNCP41681 (Animateur en gérontologie)</t>
        </is>
      </c>
      <c r="F76" t="inlineStr">
        <is>
          <t>RNCP41681</t>
        </is>
      </c>
      <c r="G76" t="inlineStr">
        <is>
          <t>Animateur en gérontologie</t>
        </is>
      </c>
      <c r="H76" t="inlineStr">
        <is>
          <t>44089 (Animation personne âgée)</t>
        </is>
      </c>
      <c r="I76" t="inlineStr">
        <is>
          <t>24/04/2026</t>
        </is>
      </c>
    </row>
    <row r="77">
      <c r="A77" t="inlineStr"/>
      <c r="B77" t="inlineStr">
        <is>
          <t>RNCP37514</t>
        </is>
      </c>
      <c r="C77" t="inlineStr">
        <is>
          <t>CQP Moniteur de tir sportif</t>
        </is>
      </c>
      <c r="D77" s="38" t="inlineStr">
        <is>
          <t>Expiré / remplacé</t>
        </is>
      </c>
      <c r="E77" t="inlineStr">
        <is>
          <t>Fiche inactive — remplacée par RNCP41980 (CQP Moniteur de tir sportif)</t>
        </is>
      </c>
      <c r="F77" t="inlineStr">
        <is>
          <t>RNCP41980</t>
        </is>
      </c>
      <c r="G77" t="inlineStr">
        <is>
          <t>CQP Moniteur de tir sportif</t>
        </is>
      </c>
      <c r="H77" t="inlineStr">
        <is>
          <t>15436 (Éducation sportive) ; 15455 (Tir sportif)</t>
        </is>
      </c>
      <c r="I77" t="inlineStr">
        <is>
          <t>24/04/2026</t>
        </is>
      </c>
    </row>
    <row r="78">
      <c r="A78" t="inlineStr"/>
      <c r="B78" t="inlineStr">
        <is>
          <t>RNCP37519</t>
        </is>
      </c>
      <c r="C78" t="inlineStr">
        <is>
          <t>Directeur d''organisation ou d'entreprise d'innovation sociale</t>
        </is>
      </c>
      <c r="D78" s="38" t="inlineStr">
        <is>
          <t>Expiré / remplacé</t>
        </is>
      </c>
      <c r="E78" t="inlineStr">
        <is>
          <t>Fiche inactive — remplacée par RNCP41739 (Directeur d'organisation ou d'entreprise d'innovation sociale)</t>
        </is>
      </c>
      <c r="F78" t="inlineStr">
        <is>
          <t>RNCP41739</t>
        </is>
      </c>
      <c r="G78" t="inlineStr">
        <is>
          <t>Directeur d'organisation ou d'entreprise d'innovation sociale</t>
        </is>
      </c>
      <c r="H78" t="inlineStr">
        <is>
          <t>44039 (Établissement hébergement personnes âgées) ; 13175 (Économie sociale) ; 44072 (Travail social) ; 44056 (Travail social en réseau)</t>
        </is>
      </c>
      <c r="I78" t="inlineStr">
        <is>
          <t>24/04/2026</t>
        </is>
      </c>
    </row>
    <row r="79">
      <c r="A79" t="inlineStr"/>
      <c r="B79" t="inlineStr">
        <is>
          <t>RNCP37523</t>
        </is>
      </c>
      <c r="C79" t="inlineStr">
        <is>
          <t>Responsable de service ou d'entité dans le secteur de l'économie sociale et solidaire</t>
        </is>
      </c>
      <c r="D79" s="38" t="inlineStr">
        <is>
          <t>Expiré / remplacé</t>
        </is>
      </c>
      <c r="E79" t="inlineStr">
        <is>
          <t>Fiche inactive (échéance 24/04/2026) — aucun successeur publié</t>
        </is>
      </c>
      <c r="F79" t="inlineStr">
        <is>
          <t>RNCP37523</t>
        </is>
      </c>
      <c r="G79" t="inlineStr">
        <is>
          <t>Responsable de service ou d'entité dans le secteur de l'économie sociale et solidaire</t>
        </is>
      </c>
      <c r="H79" t="inlineStr">
        <is>
          <t>13175 (Économie sociale) ; 32008 (Responsabilité sociétale entreprise)</t>
        </is>
      </c>
      <c r="I79" t="inlineStr">
        <is>
          <t>24/04/2026</t>
        </is>
      </c>
    </row>
    <row r="80">
      <c r="A80" t="inlineStr"/>
      <c r="B80" t="inlineStr">
        <is>
          <t>RNCP37525</t>
        </is>
      </c>
      <c r="C80" t="inlineStr">
        <is>
          <t>Enseignant du premier degré</t>
        </is>
      </c>
      <c r="D80" s="38" t="inlineStr">
        <is>
          <t>Expiré / remplacé</t>
        </is>
      </c>
      <c r="E80" t="inlineStr">
        <is>
          <t>Fiche inactive — remplacée par RNCP42311 (Enseignant du premier degré)</t>
        </is>
      </c>
      <c r="F80" t="inlineStr">
        <is>
          <t>RNCP42311</t>
        </is>
      </c>
      <c r="G80" t="inlineStr">
        <is>
          <t>Enseignant du premier degré</t>
        </is>
      </c>
      <c r="H80" t="inlineStr">
        <is>
          <t>44583 (Formation enseignant)</t>
        </is>
      </c>
      <c r="I80" t="inlineStr">
        <is>
          <t>24/04/2026</t>
        </is>
      </c>
    </row>
    <row r="81">
      <c r="A81" t="inlineStr"/>
      <c r="B81" t="inlineStr">
        <is>
          <t>RNCP37527</t>
        </is>
      </c>
      <c r="C81" t="inlineStr">
        <is>
          <t>Technicien en diagnostics immobiliers</t>
        </is>
      </c>
      <c r="D81" s="38" t="inlineStr">
        <is>
          <t>Expiré / remplacé</t>
        </is>
      </c>
      <c r="E81" t="inlineStr">
        <is>
          <t>Fiche inactive — remplacée par RNCP41787 (Technicien en diagnostics immobiliers)</t>
        </is>
      </c>
      <c r="F81" t="inlineStr">
        <is>
          <t>RNCP41787</t>
        </is>
      </c>
      <c r="G81" t="inlineStr">
        <is>
          <t>Technicien en diagnostics immobiliers</t>
        </is>
      </c>
      <c r="H81" t="inlineStr">
        <is>
          <t>42101 (Diagnostic immobilier)</t>
        </is>
      </c>
      <c r="I81" t="inlineStr">
        <is>
          <t>24/04/2026</t>
        </is>
      </c>
    </row>
    <row r="82">
      <c r="A82" t="inlineStr"/>
      <c r="B82" t="inlineStr">
        <is>
          <t>RNCP37528</t>
        </is>
      </c>
      <c r="C82" t="inlineStr">
        <is>
          <t>Coiffeur (BM)</t>
        </is>
      </c>
      <c r="D82" s="38" t="inlineStr">
        <is>
          <t>Expiré / remplacé</t>
        </is>
      </c>
      <c r="E82" t="inlineStr">
        <is>
          <t>Fiche inactive — remplacée par RNCP42351 (Coiffeur (BM))</t>
        </is>
      </c>
      <c r="F82" t="inlineStr">
        <is>
          <t>RNCP42351</t>
        </is>
      </c>
      <c r="G82" t="inlineStr">
        <is>
          <t>Coiffeur (BM)</t>
        </is>
      </c>
      <c r="H82" t="inlineStr">
        <is>
          <t>42050 (Coiffure) ; 32097 (Gestion entreprise artisanale)</t>
        </is>
      </c>
      <c r="I82" t="inlineStr">
        <is>
          <t>24/04/2026</t>
        </is>
      </c>
    </row>
    <row r="83">
      <c r="A83" t="inlineStr"/>
      <c r="B83" t="inlineStr">
        <is>
          <t>RNCP37611</t>
        </is>
      </c>
      <c r="C83" t="inlineStr">
        <is>
          <t>Régisseur général du spectacle et de l'évènementiel</t>
        </is>
      </c>
      <c r="D83" s="38" t="inlineStr">
        <is>
          <t>Expiré / remplacé</t>
        </is>
      </c>
      <c r="E83" t="inlineStr">
        <is>
          <t>Fiche inactive — remplacée par RNCP42043 (Régisseur général du spectacle et de l'évènementiel)</t>
        </is>
      </c>
      <c r="F83" t="inlineStr">
        <is>
          <t>RNCP42043</t>
        </is>
      </c>
      <c r="G83" t="inlineStr">
        <is>
          <t>Régisseur général du spectacle et de l'évènementiel</t>
        </is>
      </c>
      <c r="H83" t="inlineStr">
        <is>
          <t>45052 (Production spectacle) ; 45060 (Régie spectacle) ; 45011 (Sécurité spectacle)</t>
        </is>
      </c>
      <c r="I83" t="inlineStr">
        <is>
          <t>31/05/2026</t>
        </is>
      </c>
    </row>
    <row r="84">
      <c r="A84" t="inlineStr"/>
      <c r="B84" t="inlineStr">
        <is>
          <t>RNCP37621</t>
        </is>
      </c>
      <c r="C84" t="inlineStr">
        <is>
          <t>Consultant en systèmes d’information (MS)</t>
        </is>
      </c>
      <c r="D84" s="38" t="inlineStr">
        <is>
          <t>Expiré / remplacé</t>
        </is>
      </c>
      <c r="E84" t="inlineStr">
        <is>
          <t>Fiche inactive — remplacée par RNCP41877 (Consultant en systèmes d'information (MS))</t>
        </is>
      </c>
      <c r="F84" t="inlineStr">
        <is>
          <t>RNCP41877</t>
        </is>
      </c>
      <c r="G84" t="inlineStr">
        <is>
          <t>Consultant en systèmes d'information (MS)</t>
        </is>
      </c>
      <c r="H84" t="inlineStr">
        <is>
          <t>31009 (Architecture système information) ; 31094 (Gestion projet informatique)</t>
        </is>
      </c>
      <c r="I84" t="inlineStr">
        <is>
          <t>31/05/2026</t>
        </is>
      </c>
    </row>
    <row r="85">
      <c r="A85" t="inlineStr"/>
      <c r="B85" t="inlineStr">
        <is>
          <t>RNCP37633</t>
        </is>
      </c>
      <c r="C85" t="inlineStr">
        <is>
          <t>Responsable en développement commercial et marketing</t>
        </is>
      </c>
      <c r="D85" s="38" t="inlineStr">
        <is>
          <t>Expiré / remplacé</t>
        </is>
      </c>
      <c r="E85" t="inlineStr">
        <is>
          <t>Fiche inactive — remplacée par RNCP42153 (Responsable en développement commercial et marketing)</t>
        </is>
      </c>
      <c r="F85" t="inlineStr">
        <is>
          <t>RNCP42153</t>
        </is>
      </c>
      <c r="G85" t="inlineStr">
        <is>
          <t>Responsable en développement commercial et marketing</t>
        </is>
      </c>
      <c r="H85" t="inlineStr">
        <is>
          <t>34053 (Marketing opérationnel) ; 34085 (Stratégie commerciale) ; 34582 (Négociation commerciale) ; 34566 (Vente distribution)</t>
        </is>
      </c>
      <c r="I85" t="inlineStr">
        <is>
          <t>31/05/2026</t>
        </is>
      </c>
    </row>
    <row r="86">
      <c r="A86" t="inlineStr"/>
      <c r="B86" t="inlineStr">
        <is>
          <t>RNCP37634</t>
        </is>
      </c>
      <c r="C86" t="inlineStr">
        <is>
          <t>Régisseur technique du spectacle et de l'évènementiel</t>
        </is>
      </c>
      <c r="D86" s="38" t="inlineStr">
        <is>
          <t>Expiré / remplacé</t>
        </is>
      </c>
      <c r="E86" t="inlineStr">
        <is>
          <t>Fiche inactive — remplacée par RNCP42042 (Régisseur technique du spectacle et de l'évènementiel - Options Son, Lumière ou Vidéo)</t>
        </is>
      </c>
      <c r="F86" t="inlineStr">
        <is>
          <t>RNCP42042</t>
        </is>
      </c>
      <c r="G86" t="inlineStr">
        <is>
          <t>Régisseur technique du spectacle et de l'évènementiel - Options Son, Lumière ou Vidéo</t>
        </is>
      </c>
      <c r="H86" t="inlineStr">
        <is>
          <t>45061 (Régie son) ; 45062 (Régie lumière) ; 45063 (Régie plateau) ; 45011 (Sécurité spectacle)</t>
        </is>
      </c>
      <c r="I86" t="inlineStr">
        <is>
          <t>31/05/2026</t>
        </is>
      </c>
    </row>
    <row r="87">
      <c r="A87" t="inlineStr"/>
      <c r="B87" t="inlineStr">
        <is>
          <t>RNCP37635</t>
        </is>
      </c>
      <c r="C87" t="inlineStr">
        <is>
          <t>Manager de commerce et de centre de profit</t>
        </is>
      </c>
      <c r="D87" s="38" t="inlineStr">
        <is>
          <t>Expiré / remplacé</t>
        </is>
      </c>
      <c r="E87" t="inlineStr">
        <is>
          <t>Fiche inactive — remplacée par RNCP42321 (Manager de commerce et de centre de profit)</t>
        </is>
      </c>
      <c r="F87" t="inlineStr">
        <is>
          <t>RNCP42321</t>
        </is>
      </c>
      <c r="G87" t="inlineStr">
        <is>
          <t>Manager de commerce et de centre de profit</t>
        </is>
      </c>
      <c r="H87" t="inlineStr">
        <is>
          <t>32024 (Gestion centre profit) ; 32145 (Management transversal) ; 32079 (Gestion performance) ; 32025 (Stratégie entreprise) ; 34554 (Commerce)</t>
        </is>
      </c>
      <c r="I87" t="inlineStr">
        <is>
          <t>31/05/2026</t>
        </is>
      </c>
    </row>
    <row r="88">
      <c r="A88" t="inlineStr"/>
      <c r="B88" t="inlineStr">
        <is>
          <t>RNCP37641</t>
        </is>
      </c>
      <c r="C88" t="inlineStr">
        <is>
          <t>Chargé d'affaires en immobilier</t>
        </is>
      </c>
      <c r="D88" s="38" t="inlineStr">
        <is>
          <t>Expiré / remplacé</t>
        </is>
      </c>
      <c r="E88" t="inlineStr">
        <is>
          <t>Fiche inactive — remplacée par RNCP41735 (Responsable de projets immobiliers)</t>
        </is>
      </c>
      <c r="F88" t="inlineStr">
        <is>
          <t>RNCP41735</t>
        </is>
      </c>
      <c r="G88" t="inlineStr">
        <is>
          <t>Responsable de projets immobiliers</t>
        </is>
      </c>
      <c r="H88" t="inlineStr">
        <is>
          <t>42184 (Agence immobilière) ; 42158 (Commercialisation immobilière) ; 42133 (Gestion immobilière) ; 42186 (Promotion immobilière)</t>
        </is>
      </c>
      <c r="I88" t="inlineStr">
        <is>
          <t>31/05/2026</t>
        </is>
      </c>
    </row>
    <row r="89">
      <c r="A89" t="inlineStr"/>
      <c r="B89" t="inlineStr">
        <is>
          <t>RNCP37658</t>
        </is>
      </c>
      <c r="C89" t="inlineStr">
        <is>
          <t>Manager de la communication</t>
        </is>
      </c>
      <c r="D89" s="38" t="inlineStr">
        <is>
          <t>Expiré / remplacé</t>
        </is>
      </c>
      <c r="E89" t="inlineStr">
        <is>
          <t>Fiche inactive — remplacée par RNCP42474 (Manager de la communication)</t>
        </is>
      </c>
      <c r="F89" t="inlineStr">
        <is>
          <t>RNCP42474</t>
        </is>
      </c>
      <c r="G89" t="inlineStr">
        <is>
          <t>Manager de la communication</t>
        </is>
      </c>
      <c r="H89" t="inlineStr">
        <is>
          <t>46301 (Communication entreprise) ; 32037 (Gestion communication crise) ; 34074 (Publicité)</t>
        </is>
      </c>
      <c r="I89" t="inlineStr">
        <is>
          <t>31/05/2026</t>
        </is>
      </c>
    </row>
    <row r="90">
      <c r="A90" t="inlineStr"/>
      <c r="B90" t="inlineStr">
        <is>
          <t>RNCP37659</t>
        </is>
      </c>
      <c r="C90" t="inlineStr">
        <is>
          <t>Fumiste, option ramoneur, option poêlier-âtrier (CTM)</t>
        </is>
      </c>
      <c r="D90" s="38" t="inlineStr">
        <is>
          <t>Expiré / remplacé</t>
        </is>
      </c>
      <c r="E90" t="inlineStr">
        <is>
          <t>Fiche inactive — remplacée par RNCP42343 (Fumiste, option ramoneur, option poêlier-âtrier (CTM))</t>
        </is>
      </c>
      <c r="F90" t="inlineStr">
        <is>
          <t>RNCP42343</t>
        </is>
      </c>
      <c r="G90" t="inlineStr">
        <is>
          <t>Fumiste, option ramoneur, option poêlier-âtrier (CTM)</t>
        </is>
      </c>
      <c r="H90" t="inlineStr">
        <is>
          <t>22657 (Fumisterie)</t>
        </is>
      </c>
      <c r="I90" t="inlineStr">
        <is>
          <t>31/05/2026</t>
        </is>
      </c>
    </row>
    <row r="91">
      <c r="A91" t="inlineStr"/>
      <c r="B91" t="inlineStr">
        <is>
          <t>RNCP37734</t>
        </is>
      </c>
      <c r="C91" t="inlineStr">
        <is>
          <t>CQP Rectifieur sur machine conventionnelle et/ou numérique</t>
        </is>
      </c>
      <c r="D91" s="38" t="inlineStr">
        <is>
          <t>Expiré / remplacé</t>
        </is>
      </c>
      <c r="E91" t="inlineStr">
        <is>
          <t>Fiche inactive (échéance 19/07/2026) — aucun successeur publié</t>
        </is>
      </c>
      <c r="F91" t="inlineStr">
        <is>
          <t>RNCP37734</t>
        </is>
      </c>
      <c r="G91" t="inlineStr">
        <is>
          <t>CQP Rectifieur sur machine conventionnelle et/ou numérique</t>
        </is>
      </c>
      <c r="H91" t="inlineStr">
        <is>
          <t>23098 (Rectification usinage)</t>
        </is>
      </c>
      <c r="I91" t="inlineStr">
        <is>
          <t>19/07/2026</t>
        </is>
      </c>
    </row>
    <row r="92">
      <c r="A92" t="inlineStr"/>
      <c r="B92" t="inlineStr">
        <is>
          <t>RNCP37742</t>
        </is>
      </c>
      <c r="C92" t="inlineStr">
        <is>
          <t>Initiateur aux arts du cirque</t>
        </is>
      </c>
      <c r="D92" s="38" t="inlineStr">
        <is>
          <t>Expiré / remplacé</t>
        </is>
      </c>
      <c r="E92" t="inlineStr">
        <is>
          <t>Fiche inactive — remplacée par RNCP42506 (Initiateur aux arts du cirque)</t>
        </is>
      </c>
      <c r="F92" t="inlineStr">
        <is>
          <t>RNCP42506</t>
        </is>
      </c>
      <c r="G92" t="inlineStr">
        <is>
          <t>Initiateur aux arts du cirque</t>
        </is>
      </c>
      <c r="H92" t="inlineStr">
        <is>
          <t>44067 (Animation socioculturelle) ; 45020 (Cirque arts rue)</t>
        </is>
      </c>
      <c r="I92" t="inlineStr">
        <is>
          <t>19/07/2026</t>
        </is>
      </c>
    </row>
    <row r="93">
      <c r="A93" t="inlineStr"/>
      <c r="B93" t="inlineStr">
        <is>
          <t>RNCP37745</t>
        </is>
      </c>
      <c r="C93" t="inlineStr">
        <is>
          <t>Modéliste international du vêtement</t>
        </is>
      </c>
      <c r="D93" s="38" t="inlineStr">
        <is>
          <t>Expiré / remplacé</t>
        </is>
      </c>
      <c r="E93" t="inlineStr">
        <is>
          <t>Fiche inactive — remplacée par RNCP42338 (Modéliste international du vêtement)</t>
        </is>
      </c>
      <c r="F93" t="inlineStr">
        <is>
          <t>RNCP42338</t>
        </is>
      </c>
      <c r="G93" t="inlineStr">
        <is>
          <t>Modéliste international du vêtement</t>
        </is>
      </c>
      <c r="H93" t="inlineStr">
        <is>
          <t>21783 (Modélisme habillement)</t>
        </is>
      </c>
      <c r="I93" t="inlineStr">
        <is>
          <t>19/07/2026</t>
        </is>
      </c>
    </row>
    <row r="94">
      <c r="A94" t="inlineStr"/>
      <c r="B94" t="inlineStr">
        <is>
          <t>RNCP37748</t>
        </is>
      </c>
      <c r="C94" t="inlineStr">
        <is>
          <t>Manager des ressources humaines</t>
        </is>
      </c>
      <c r="D94" s="38" t="inlineStr">
        <is>
          <t>Expiré / remplacé</t>
        </is>
      </c>
      <c r="E94" t="inlineStr">
        <is>
          <t>Fiche inactive — remplacée par RNCP41803 (Manager des ressources humaines)</t>
        </is>
      </c>
      <c r="F94" t="inlineStr">
        <is>
          <t>RNCP41803</t>
        </is>
      </c>
      <c r="G94" t="inlineStr">
        <is>
          <t>Manager des ressources humaines</t>
        </is>
      </c>
      <c r="H94" t="inlineStr">
        <is>
          <t>33054 (Gestion ressources humaines)</t>
        </is>
      </c>
      <c r="I94" t="inlineStr">
        <is>
          <t>19/07/2026</t>
        </is>
      </c>
    </row>
    <row r="95">
      <c r="A95" t="inlineStr"/>
      <c r="B95" t="inlineStr">
        <is>
          <t>RNCP37758</t>
        </is>
      </c>
      <c r="C95" t="inlineStr">
        <is>
          <t>Entraineur de football</t>
        </is>
      </c>
      <c r="D95" s="38" t="inlineStr">
        <is>
          <t>Expiré / remplacé</t>
        </is>
      </c>
      <c r="E95" t="inlineStr">
        <is>
          <t>Fiche inactive (échéance 19/07/2026) — aucun successeur publié</t>
        </is>
      </c>
      <c r="F95" t="inlineStr">
        <is>
          <t>RNCP37758</t>
        </is>
      </c>
      <c r="G95" t="inlineStr">
        <is>
          <t>Entraineur de football</t>
        </is>
      </c>
      <c r="H95" t="inlineStr">
        <is>
          <t>15426 (Football) ; 15436 (Éducation sportive)</t>
        </is>
      </c>
      <c r="I95" t="inlineStr">
        <is>
          <t>19/07/2026</t>
        </is>
      </c>
    </row>
    <row r="96">
      <c r="A96" t="inlineStr"/>
      <c r="B96" t="inlineStr">
        <is>
          <t>RNCP37775</t>
        </is>
      </c>
      <c r="C96" t="inlineStr">
        <is>
          <t>Manager de la communication de marque</t>
        </is>
      </c>
      <c r="D96" s="38" t="inlineStr">
        <is>
          <t>Expiré / remplacé</t>
        </is>
      </c>
      <c r="E96" t="inlineStr">
        <is>
          <t>Fiche inactive — remplacée par RNCP42485 (Manager de la communication de marque)</t>
        </is>
      </c>
      <c r="F96" t="inlineStr">
        <is>
          <t>RNCP42485</t>
        </is>
      </c>
      <c r="G96" t="inlineStr">
        <is>
          <t>Manager de la communication de marque</t>
        </is>
      </c>
      <c r="H96" t="inlineStr">
        <is>
          <t>34074 (Publicité) ; 46302 (Gestion entreprise communication information)</t>
        </is>
      </c>
      <c r="I96" t="inlineStr">
        <is>
          <t>19/07/2026</t>
        </is>
      </c>
    </row>
    <row r="97">
      <c r="A97" t="inlineStr"/>
      <c r="B97" t="inlineStr">
        <is>
          <t>RNCP37776</t>
        </is>
      </c>
      <c r="C97" t="inlineStr">
        <is>
          <t>Manager du contenu - content manager</t>
        </is>
      </c>
      <c r="D97" s="38" t="inlineStr">
        <is>
          <t>Expiré / remplacé</t>
        </is>
      </c>
      <c r="E97" t="inlineStr">
        <is>
          <t>Fiche inactive — remplacée par RNCP41795 (Manager du contenu - Content manager)</t>
        </is>
      </c>
      <c r="F97" t="inlineStr">
        <is>
          <t>RNCP41795</t>
        </is>
      </c>
      <c r="G97" t="inlineStr">
        <is>
          <t>Manager du contenu - Content manager</t>
        </is>
      </c>
      <c r="H97" t="inlineStr">
        <is>
          <t>46301 (Communication entreprise) ; 46347 (Stratégie communication numérique)</t>
        </is>
      </c>
      <c r="I97" t="inlineStr">
        <is>
          <t>19/07/2026</t>
        </is>
      </c>
    </row>
    <row r="98">
      <c r="A98" t="inlineStr"/>
      <c r="B98" t="inlineStr">
        <is>
          <t>RNCP37777</t>
        </is>
      </c>
      <c r="C98" t="inlineStr">
        <is>
          <t>Responsable de communication</t>
        </is>
      </c>
      <c r="D98" s="38" t="inlineStr">
        <is>
          <t>Expiré / remplacé</t>
        </is>
      </c>
      <c r="E98" t="inlineStr">
        <is>
          <t>Fiche inactive (échéance 19/07/2026) — aucun successeur publié</t>
        </is>
      </c>
      <c r="F98" t="inlineStr">
        <is>
          <t>RNCP37777</t>
        </is>
      </c>
      <c r="G98" t="inlineStr">
        <is>
          <t>Responsable de communication</t>
        </is>
      </c>
      <c r="H98" t="inlineStr">
        <is>
          <t>46341 (Communication externe) ; 46311 (Communication interne) ; 46347 (Stratégie communication numérique) ; 46340 (Communication événementielle)</t>
        </is>
      </c>
      <c r="I98" t="inlineStr">
        <is>
          <t>19/07/2026</t>
        </is>
      </c>
    </row>
    <row r="99">
      <c r="A99" t="inlineStr"/>
      <c r="B99" t="inlineStr">
        <is>
          <t>RNCP37778</t>
        </is>
      </c>
      <c r="C99" t="inlineStr">
        <is>
          <t>Développeur de solutions numériques sécurisées</t>
        </is>
      </c>
      <c r="D99" s="38" t="inlineStr">
        <is>
          <t>Expiré / remplacé</t>
        </is>
      </c>
      <c r="E99" t="inlineStr">
        <is>
          <t>Fiche inactive — remplacée par RNCP42620 (Développeur de solutions numériques sécurisées)</t>
        </is>
      </c>
      <c r="F99" t="inlineStr">
        <is>
          <t>RNCP42620</t>
        </is>
      </c>
      <c r="G99" t="inlineStr">
        <is>
          <t>Développeur de solutions numériques sécurisées</t>
        </is>
      </c>
      <c r="H99" t="inlineStr">
        <is>
          <t>31067 (Développement informatique) ; 31006 (Sécurité informatique)</t>
        </is>
      </c>
      <c r="I99" t="inlineStr">
        <is>
          <t>19/07/2026</t>
        </is>
      </c>
    </row>
    <row r="100">
      <c r="A100" t="inlineStr"/>
      <c r="B100" t="inlineStr">
        <is>
          <t>RNCP37779</t>
        </is>
      </c>
      <c r="C100" t="inlineStr">
        <is>
          <t>Conseiller en emploi accompagné</t>
        </is>
      </c>
      <c r="D100" s="38" t="inlineStr">
        <is>
          <t>Expiré / remplacé</t>
        </is>
      </c>
      <c r="E100" t="inlineStr">
        <is>
          <t>Fiche inactive — remplacée par RNCP42656 (Conseiller en emploi accompagné)</t>
        </is>
      </c>
      <c r="F100" t="inlineStr">
        <is>
          <t>RNCP42656</t>
        </is>
      </c>
      <c r="G100" t="inlineStr">
        <is>
          <t>Conseiller en emploi accompagné</t>
        </is>
      </c>
      <c r="H100" t="inlineStr">
        <is>
          <t>15061 (Accompagnement vers emploi) ; 15031 (Adaptation sociale)</t>
        </is>
      </c>
      <c r="I100" t="inlineStr">
        <is>
          <t>19/07/2026</t>
        </is>
      </c>
    </row>
    <row r="101">
      <c r="A101" t="inlineStr"/>
      <c r="B101" t="inlineStr">
        <is>
          <t>RNCP37780</t>
        </is>
      </c>
      <c r="C101" t="inlineStr">
        <is>
          <t>Assistant de vie dépendance</t>
        </is>
      </c>
      <c r="D101" s="38" t="inlineStr">
        <is>
          <t>Expiré / remplacé</t>
        </is>
      </c>
      <c r="E101" t="inlineStr">
        <is>
          <t>Fiche inactive — remplacée par RNCP42318 (Assistant de vie)</t>
        </is>
      </c>
      <c r="F101" t="inlineStr">
        <is>
          <t>RNCP42318</t>
        </is>
      </c>
      <c r="G101" t="inlineStr">
        <is>
          <t>Assistant de vie</t>
        </is>
      </c>
      <c r="H101" t="inlineStr">
        <is>
          <t>42056 (Service à la personne) ; 44028 (Accompagnement éducatif et social)</t>
        </is>
      </c>
      <c r="I101" t="inlineStr">
        <is>
          <t>19/07/2026</t>
        </is>
      </c>
    </row>
    <row r="102">
      <c r="A102" t="inlineStr"/>
      <c r="B102" t="inlineStr">
        <is>
          <t>RNCP37785</t>
        </is>
      </c>
      <c r="C102" t="inlineStr">
        <is>
          <t>Expert en numérisation des systèmes et processus de production industriels</t>
        </is>
      </c>
      <c r="D102" s="38" t="inlineStr">
        <is>
          <t>Expiré / remplacé</t>
        </is>
      </c>
      <c r="E102" t="inlineStr">
        <is>
          <t>Fiche inactive (échéance 19/07/2026) — aucun successeur publié</t>
        </is>
      </c>
      <c r="F102" t="inlineStr">
        <is>
          <t>RNCP37785</t>
        </is>
      </c>
      <c r="G102" t="inlineStr">
        <is>
          <t>Expert en numérisation des systèmes et processus de production industriels</t>
        </is>
      </c>
      <c r="H102" t="inlineStr">
        <is>
          <t>31085 (Informatisation des processus) ; 31049 (Qualité informatique) ; 31008 (Système information)</t>
        </is>
      </c>
      <c r="I102" t="inlineStr">
        <is>
          <t>19/07/2026</t>
        </is>
      </c>
    </row>
    <row r="103">
      <c r="A103" t="inlineStr"/>
      <c r="B103" t="inlineStr">
        <is>
          <t>RNCP37786</t>
        </is>
      </c>
      <c r="C103" t="inlineStr">
        <is>
          <t>Chargé de marketing et communication</t>
        </is>
      </c>
      <c r="D103" s="38" t="inlineStr">
        <is>
          <t>Expiré / remplacé</t>
        </is>
      </c>
      <c r="E103" t="inlineStr">
        <is>
          <t>Fiche inactive — remplacée par RNCP41736 (Chargé de marketing et communication)</t>
        </is>
      </c>
      <c r="F103" t="inlineStr">
        <is>
          <t>RNCP41736</t>
        </is>
      </c>
      <c r="G103" t="inlineStr">
        <is>
          <t>Chargé de marketing et communication</t>
        </is>
      </c>
      <c r="H103" t="inlineStr">
        <is>
          <t>34093 (Marketing digital) ; 46301 (Communication entreprise) ; 34085 (Stratégie commerciale) ; 32135 (Conduite projet)</t>
        </is>
      </c>
      <c r="I103" t="inlineStr">
        <is>
          <t>19/07/2026</t>
        </is>
      </c>
    </row>
    <row r="104">
      <c r="A104" t="inlineStr"/>
      <c r="B104" t="inlineStr">
        <is>
          <t>RNCP37787</t>
        </is>
      </c>
      <c r="C104" t="inlineStr">
        <is>
          <t>Responsable commerce retail</t>
        </is>
      </c>
      <c r="D104" s="38" t="inlineStr">
        <is>
          <t>Expiré / remplacé</t>
        </is>
      </c>
      <c r="E104" t="inlineStr">
        <is>
          <t>Fiche inactive — remplacée par RNCP41712 (Responsable commerce retail)</t>
        </is>
      </c>
      <c r="F104" t="inlineStr">
        <is>
          <t>RNCP41712</t>
        </is>
      </c>
      <c r="G104" t="inlineStr">
        <is>
          <t>Responsable commerce retail</t>
        </is>
      </c>
      <c r="H104" t="inlineStr">
        <is>
          <t>34037 (Satisfaction client) ; 34559 (Gestion rayon) ; 34587 (Grande distribution) ; 34588 (Gestion point vente)</t>
        </is>
      </c>
      <c r="I104" t="inlineStr">
        <is>
          <t>19/07/2026</t>
        </is>
      </c>
    </row>
    <row r="105">
      <c r="A105" t="inlineStr"/>
      <c r="B105" t="inlineStr">
        <is>
          <t>RNCP37792</t>
        </is>
      </c>
      <c r="C105" t="inlineStr">
        <is>
          <t>Employé familial</t>
        </is>
      </c>
      <c r="D105" s="38" t="inlineStr">
        <is>
          <t>Expiré / remplacé</t>
        </is>
      </c>
      <c r="E105" t="inlineStr">
        <is>
          <t>Fiche inactive — remplacée par RNCP42320 (Employé familial)</t>
        </is>
      </c>
      <c r="F105" t="inlineStr">
        <is>
          <t>RNCP42320</t>
        </is>
      </c>
      <c r="G105" t="inlineStr">
        <is>
          <t>Employé familial</t>
        </is>
      </c>
      <c r="H105" t="inlineStr">
        <is>
          <t>44026 (Aide famille)</t>
        </is>
      </c>
      <c r="I105" t="inlineStr">
        <is>
          <t>19/07/2026</t>
        </is>
      </c>
    </row>
    <row r="106">
      <c r="A106" t="inlineStr"/>
      <c r="B106" t="inlineStr">
        <is>
          <t>RNCP37793</t>
        </is>
      </c>
      <c r="C106" t="inlineStr">
        <is>
          <t>Manager de la stratégie digitale</t>
        </is>
      </c>
      <c r="D106" s="38" t="inlineStr">
        <is>
          <t>Expiré / remplacé</t>
        </is>
      </c>
      <c r="E106" t="inlineStr">
        <is>
          <t>Fiche inactive — remplacée par RNCP42488 (Manager de la stratégie digitale)</t>
        </is>
      </c>
      <c r="F106" t="inlineStr">
        <is>
          <t>RNCP42488</t>
        </is>
      </c>
      <c r="G106" t="inlineStr">
        <is>
          <t>Manager de la stratégie digitale</t>
        </is>
      </c>
      <c r="H106" t="inlineStr">
        <is>
          <t>34093 (Marketing digital) ; 32066 (Transition numérique) ; 46347 (Stratégie communication numérique) ; 34057 (Marketing stratégique)</t>
        </is>
      </c>
      <c r="I106" t="inlineStr">
        <is>
          <t>19/07/2026</t>
        </is>
      </c>
    </row>
    <row r="107">
      <c r="A107" t="inlineStr"/>
      <c r="B107" t="inlineStr">
        <is>
          <t>RNCP37795</t>
        </is>
      </c>
      <c r="C107" t="inlineStr">
        <is>
          <t>Assistant maternel / Garde d'enfants</t>
        </is>
      </c>
      <c r="D107" s="38" t="inlineStr">
        <is>
          <t>Expiré / remplacé</t>
        </is>
      </c>
      <c r="E107" t="inlineStr">
        <is>
          <t>Fiche inactive — remplacée par RNCP42319 (Assistant maternel - Assistant parental)</t>
        </is>
      </c>
      <c r="F107" t="inlineStr">
        <is>
          <t>RNCP42319</t>
        </is>
      </c>
      <c r="G107" t="inlineStr">
        <is>
          <t>Assistant maternel - Assistant parental</t>
        </is>
      </c>
      <c r="H107" t="inlineStr">
        <is>
          <t>44030 (Assistance maternelle) ; 42056 (Service à la personne)</t>
        </is>
      </c>
      <c r="I107" t="inlineStr">
        <is>
          <t>19/07/2026</t>
        </is>
      </c>
    </row>
    <row r="108">
      <c r="A108" t="inlineStr"/>
      <c r="B108" t="inlineStr">
        <is>
          <t>RNCP37796</t>
        </is>
      </c>
      <c r="C108" t="inlineStr">
        <is>
          <t>Gestionnaire de la sécurité des données, des réseaux et des systèmes</t>
        </is>
      </c>
      <c r="D108" s="38" t="inlineStr">
        <is>
          <t>Expiré / remplacé</t>
        </is>
      </c>
      <c r="E108" t="inlineStr">
        <is>
          <t>Fiche inactive — remplacée par RNCP42345 (Expert cybersécurité)</t>
        </is>
      </c>
      <c r="F108" t="inlineStr">
        <is>
          <t>RNCP42345</t>
        </is>
      </c>
      <c r="G108" t="inlineStr">
        <is>
          <t>Expert cybersécurité</t>
        </is>
      </c>
      <c r="H108" t="inlineStr">
        <is>
          <t>31045 (Cybersécurité) ; 31038 (Audit informatique) ; 24231 (Réseau informatique) ; 31094 (Gestion projet informatique)</t>
        </is>
      </c>
      <c r="I108" t="inlineStr">
        <is>
          <t>19/07/2026</t>
        </is>
      </c>
    </row>
    <row r="109">
      <c r="A109" t="inlineStr"/>
      <c r="B109" t="inlineStr">
        <is>
          <t>RNCP37799</t>
        </is>
      </c>
      <c r="C109" t="inlineStr">
        <is>
          <t>Coach professionnel</t>
        </is>
      </c>
      <c r="D109" s="38" t="inlineStr">
        <is>
          <t>Expiré / remplacé</t>
        </is>
      </c>
      <c r="E109" t="inlineStr">
        <is>
          <t>Fiche inactive — remplacée par RNCP42477 (Coach professionnel)</t>
        </is>
      </c>
      <c r="F109" t="inlineStr">
        <is>
          <t>RNCP42477</t>
        </is>
      </c>
      <c r="G109" t="inlineStr">
        <is>
          <t>Coach professionnel</t>
        </is>
      </c>
      <c r="H109" t="inlineStr">
        <is>
          <t>32150 (Coaching entreprise) ; 44517 (Conception action formation) ; 32043 (Conseil entreprise)</t>
        </is>
      </c>
      <c r="I109" t="inlineStr">
        <is>
          <t>19/07/2026</t>
        </is>
      </c>
    </row>
    <row r="110">
      <c r="A110" t="inlineStr"/>
      <c r="B110" t="inlineStr">
        <is>
          <t>RNCP37824</t>
        </is>
      </c>
      <c r="C110" t="inlineStr">
        <is>
          <t>Expert-conseil en stratégie des filières agricoles et agroalimentaires</t>
        </is>
      </c>
      <c r="D110" s="38" t="inlineStr">
        <is>
          <t>Expiré / remplacé</t>
        </is>
      </c>
      <c r="E110" t="inlineStr">
        <is>
          <t>Fiche inactive — remplacée par RNCP42476 (Expert-conseil en stratégie des filières agricoles et agroalimentaires)</t>
        </is>
      </c>
      <c r="F110" t="inlineStr">
        <is>
          <t>RNCP42476</t>
        </is>
      </c>
      <c r="G110" t="inlineStr">
        <is>
          <t>Expert-conseil en stratégie des filières agricoles et agroalimentaires</t>
        </is>
      </c>
      <c r="H110" t="inlineStr">
        <is>
          <t>13158 (Économie agricole) ; 21052 (Gestion exploitation agricole) ; 21084 (Commercialisation agricole) ; 21554 (Agroalimentaire)</t>
        </is>
      </c>
      <c r="I110" t="inlineStr">
        <is>
          <t>19/07/2026</t>
        </is>
      </c>
    </row>
    <row r="111">
      <c r="A111" t="inlineStr"/>
      <c r="B111" t="inlineStr">
        <is>
          <t>RNCP37828</t>
        </is>
      </c>
      <c r="C111" t="inlineStr">
        <is>
          <t>Designer créateur de produit de mode et textile</t>
        </is>
      </c>
      <c r="D111" s="38" t="inlineStr">
        <is>
          <t>Expiré / remplacé</t>
        </is>
      </c>
      <c r="E111" t="inlineStr">
        <is>
          <t>Fiche inactive (échéance 19/07/2026) — aucun successeur publié</t>
        </is>
      </c>
      <c r="F111" t="inlineStr">
        <is>
          <t>RNCP37828</t>
        </is>
      </c>
      <c r="G111" t="inlineStr">
        <is>
          <t>Designer créateur de produit de mode et textile</t>
        </is>
      </c>
      <c r="H111" t="inlineStr">
        <is>
          <t>21775 (Stylisme habillement) ; 21627 (Création textile) ; 21752 (Accessoire mode) ; 45027 (Art appliqué) ; 46081 (Création graphique)</t>
        </is>
      </c>
      <c r="I111" t="inlineStr">
        <is>
          <t>19/07/2026</t>
        </is>
      </c>
    </row>
    <row r="112">
      <c r="A112" t="inlineStr"/>
      <c r="B112" t="inlineStr">
        <is>
          <t>RNCP37842</t>
        </is>
      </c>
      <c r="C112" t="inlineStr">
        <is>
          <t>Chef de projet design d'espace et produit</t>
        </is>
      </c>
      <c r="D112" s="38" t="inlineStr">
        <is>
          <t>Expiré / remplacé</t>
        </is>
      </c>
      <c r="E112" t="inlineStr">
        <is>
          <t>Fiche inactive — remplacée par RNCP42478 (Designer en aménagement intérieur et scénographie)</t>
        </is>
      </c>
      <c r="F112" t="inlineStr">
        <is>
          <t>RNCP42478</t>
        </is>
      </c>
      <c r="G112" t="inlineStr">
        <is>
          <t>Designer en aménagement intérieur et scénographie</t>
        </is>
      </c>
      <c r="H112" t="inlineStr">
        <is>
          <t>45015 (Architecture intérieure) ; 34597 (Marchandisage)</t>
        </is>
      </c>
      <c r="I112" t="inlineStr">
        <is>
          <t>19/07/2026</t>
        </is>
      </c>
    </row>
    <row r="113">
      <c r="A113" t="inlineStr"/>
      <c r="B113" t="inlineStr">
        <is>
          <t>RNCP37849</t>
        </is>
      </c>
      <c r="C113" t="inlineStr">
        <is>
          <t>Responsable du développement commercial</t>
        </is>
      </c>
      <c r="D113" s="38" t="inlineStr">
        <is>
          <t>Expiré / remplacé</t>
        </is>
      </c>
      <c r="E113" t="inlineStr">
        <is>
          <t>Fiche inactive (échéance 19/07/2026) — aucun successeur publié</t>
        </is>
      </c>
      <c r="F113" t="inlineStr">
        <is>
          <t>RNCP37849</t>
        </is>
      </c>
      <c r="G113" t="inlineStr">
        <is>
          <t>Responsable du développement commercial</t>
        </is>
      </c>
      <c r="H113" t="inlineStr">
        <is>
          <t>34026 (Développement sens commercial) ; 34582 (Négociation commerciale)</t>
        </is>
      </c>
      <c r="I113" t="inlineStr">
        <is>
          <t>19/07/2026</t>
        </is>
      </c>
    </row>
    <row r="114">
      <c r="A114" t="inlineStr"/>
      <c r="B114" t="inlineStr">
        <is>
          <t>RNCP37851</t>
        </is>
      </c>
      <c r="C114" t="inlineStr">
        <is>
          <t>Manager des ressources humaines</t>
        </is>
      </c>
      <c r="D114" s="38" t="inlineStr">
        <is>
          <t>Expiré / remplacé</t>
        </is>
      </c>
      <c r="E114" t="inlineStr">
        <is>
          <t>Fiche inactive — remplacée par RNCP42638 (Manager des ressources humaines)</t>
        </is>
      </c>
      <c r="F114" t="inlineStr">
        <is>
          <t>RNCP42638</t>
        </is>
      </c>
      <c r="G114" t="inlineStr">
        <is>
          <t>Manager des ressources humaines</t>
        </is>
      </c>
      <c r="H114" t="inlineStr">
        <is>
          <t>33054 (Gestion ressources humaines) ; 44508 (Plan développement compétences)</t>
        </is>
      </c>
      <c r="I114" t="inlineStr">
        <is>
          <t>19/07/2026</t>
        </is>
      </c>
    </row>
    <row r="115">
      <c r="A115" t="inlineStr"/>
      <c r="B115" t="inlineStr">
        <is>
          <t>RNCP37853</t>
        </is>
      </c>
      <c r="C115" t="inlineStr">
        <is>
          <t>Opérateur son</t>
        </is>
      </c>
      <c r="D115" s="38" t="inlineStr">
        <is>
          <t>Expiré / remplacé</t>
        </is>
      </c>
      <c r="E115" t="inlineStr">
        <is>
          <t>Fiche inactive (échéance 19/07/2026) — aucun successeur publié</t>
        </is>
      </c>
      <c r="F115" t="inlineStr">
        <is>
          <t>RNCP37853</t>
        </is>
      </c>
      <c r="G115" t="inlineStr">
        <is>
          <t>Opérateur son</t>
        </is>
      </c>
      <c r="H115" t="inlineStr">
        <is>
          <t>46236 (Son)</t>
        </is>
      </c>
      <c r="I115" t="inlineStr">
        <is>
          <t>19/07/2026</t>
        </is>
      </c>
    </row>
    <row r="116">
      <c r="A116" t="inlineStr"/>
      <c r="B116" t="inlineStr">
        <is>
          <t>RNCP37854</t>
        </is>
      </c>
      <c r="C116" t="inlineStr">
        <is>
          <t>Opérateur de prise de vue</t>
        </is>
      </c>
      <c r="D116" s="38" t="inlineStr">
        <is>
          <t>Expiré / remplacé</t>
        </is>
      </c>
      <c r="E116" t="inlineStr">
        <is>
          <t>Fiche inactive (échéance 19/07/2026) — aucun successeur publié</t>
        </is>
      </c>
      <c r="F116" t="inlineStr">
        <is>
          <t>RNCP37854</t>
        </is>
      </c>
      <c r="G116" t="inlineStr">
        <is>
          <t>Opérateur de prise de vue</t>
        </is>
      </c>
      <c r="H116" t="inlineStr">
        <is>
          <t>46281 (Prise de vue)</t>
        </is>
      </c>
      <c r="I116" t="inlineStr">
        <is>
          <t>19/07/2026</t>
        </is>
      </c>
    </row>
    <row r="117">
      <c r="A117" t="inlineStr"/>
      <c r="B117" t="inlineStr">
        <is>
          <t>RNCP37865</t>
        </is>
      </c>
      <c r="C117" t="inlineStr">
        <is>
          <t>Responsable en gestion d'activité opérationnelle</t>
        </is>
      </c>
      <c r="D117" s="38" t="inlineStr">
        <is>
          <t>Expiré / remplacé</t>
        </is>
      </c>
      <c r="E117" t="inlineStr">
        <is>
          <t>Fiche inactive — remplacée par RNCP42510 (Responsable en gestion d'activité)</t>
        </is>
      </c>
      <c r="F117" t="inlineStr">
        <is>
          <t>RNCP42510</t>
        </is>
      </c>
      <c r="G117" t="inlineStr">
        <is>
          <t>Responsable en gestion d'activité</t>
        </is>
      </c>
      <c r="H117" t="inlineStr">
        <is>
          <t>32054 (Gestion des organisations) ; 32654 (Gestion financière comptabilité)</t>
        </is>
      </c>
      <c r="I117" t="inlineStr">
        <is>
          <t>19/07/2026</t>
        </is>
      </c>
    </row>
    <row r="118">
      <c r="A118" t="inlineStr"/>
      <c r="B118" t="inlineStr">
        <is>
          <t>RNCP37940</t>
        </is>
      </c>
      <c r="C118" t="inlineStr">
        <is>
          <t>TP - Monteur-dépanneur en climatisation</t>
        </is>
      </c>
      <c r="D118" s="38" t="inlineStr">
        <is>
          <t>Expiré / remplacé</t>
        </is>
      </c>
      <c r="E118" t="inlineStr">
        <is>
          <t>Fiche inactive — remplacée par RNCP41871 (Installateur en pompe à chaleur et climatisation)</t>
        </is>
      </c>
      <c r="F118" t="inlineStr">
        <is>
          <t>RNCP41871</t>
        </is>
      </c>
      <c r="G118" t="inlineStr">
        <is>
          <t>Installateur en pompe à chaleur et climatisation</t>
        </is>
      </c>
      <c r="H118" t="inlineStr">
        <is>
          <t>22675 (Pompe à chaleur) ; 22635 (Climatisation)</t>
        </is>
      </c>
      <c r="I118" t="inlineStr">
        <is>
          <t>26/02/2026</t>
        </is>
      </c>
    </row>
    <row r="119">
      <c r="A119" t="inlineStr"/>
      <c r="B119" t="inlineStr">
        <is>
          <t>RNCP38676</t>
        </is>
      </c>
      <c r="C119" t="inlineStr">
        <is>
          <t>TP - Manager d'unité marchande</t>
        </is>
      </c>
      <c r="D119" s="38" t="inlineStr">
        <is>
          <t>Expiré / remplacé</t>
        </is>
      </c>
      <c r="E119" t="inlineStr">
        <is>
          <t>Fiche inactive — remplacée par RNCP41853 (Manager d’établissement marchand)</t>
        </is>
      </c>
      <c r="F119" t="inlineStr">
        <is>
          <t>RNCP41853</t>
        </is>
      </c>
      <c r="G119" t="inlineStr">
        <is>
          <t>Manager d’établissement marchand</t>
        </is>
      </c>
      <c r="H119" t="inlineStr">
        <is>
          <t>34587 (Grande distribution) ; 32154 (Encadrement management) ; 34588 (Gestion point vente) ; 34559 (Gestion rayon) ; 34502 (Vente spécialisée)</t>
        </is>
      </c>
      <c r="I119" t="inlineStr">
        <is>
          <t>03/03/2026</t>
        </is>
      </c>
    </row>
    <row r="120">
      <c r="A120" t="inlineStr"/>
      <c r="B120" t="inlineStr">
        <is>
          <t>RNCP38777</t>
        </is>
      </c>
      <c r="C120" t="inlineStr">
        <is>
          <t>Architecte en intelligence artificielle</t>
        </is>
      </c>
      <c r="D120" s="38" t="inlineStr">
        <is>
          <t>Expiré / remplacé</t>
        </is>
      </c>
      <c r="E120" t="inlineStr">
        <is>
          <t>Fiche inactive — remplacée par RNCP41993 (Architecte en intelligence artificielle)</t>
        </is>
      </c>
      <c r="F120" t="inlineStr">
        <is>
          <t>RNCP41993</t>
        </is>
      </c>
      <c r="G120" t="inlineStr">
        <is>
          <t>Architecte en intelligence artificielle</t>
        </is>
      </c>
      <c r="H120" t="inlineStr">
        <is>
          <t>31026 (Data science) ; 31028 (Intelligence artificielle) ; 31008 (Système information) ; 31085 (Informatisation des processus)</t>
        </is>
      </c>
      <c r="I120" t="inlineStr">
        <is>
          <t>27/03/2026</t>
        </is>
      </c>
    </row>
    <row r="121">
      <c r="A121" t="inlineStr"/>
      <c r="B121" t="inlineStr">
        <is>
          <t>RNCP38784</t>
        </is>
      </c>
      <c r="C121" t="inlineStr">
        <is>
          <t>CQP Assembleur-monteur de menuiseries extérieures en plasturgie</t>
        </is>
      </c>
      <c r="D121" s="38" t="inlineStr">
        <is>
          <t>Expiré / remplacé</t>
        </is>
      </c>
      <c r="E121" t="inlineStr">
        <is>
          <t>Fiche inactive (échéance 27/03/2026) — aucun successeur publié</t>
        </is>
      </c>
      <c r="F121" t="inlineStr">
        <is>
          <t>RNCP38784</t>
        </is>
      </c>
      <c r="G121" t="inlineStr">
        <is>
          <t>CQP Assembleur-monteur de menuiseries extérieures en plasturgie</t>
        </is>
      </c>
      <c r="H121" t="inlineStr">
        <is>
          <t>22417 (Menuiserie plastique) ; 23021 (Plasturgie)</t>
        </is>
      </c>
      <c r="I121" t="inlineStr">
        <is>
          <t>27/03/2026</t>
        </is>
      </c>
    </row>
    <row r="122">
      <c r="A122" t="inlineStr"/>
      <c r="B122" t="inlineStr">
        <is>
          <t>RNCP38803</t>
        </is>
      </c>
      <c r="C122" t="inlineStr">
        <is>
          <t>Cadreur monteur – vidéaste</t>
        </is>
      </c>
      <c r="D122" s="38" t="inlineStr">
        <is>
          <t>Expiré / remplacé</t>
        </is>
      </c>
      <c r="E122" t="inlineStr">
        <is>
          <t>Fiche inactive — remplacée par RNCP41667 (Cadreur - monteur - vidéaste)</t>
        </is>
      </c>
      <c r="F122" t="inlineStr">
        <is>
          <t>RNCP41667</t>
        </is>
      </c>
      <c r="G122" t="inlineStr">
        <is>
          <t>Cadreur - monteur - vidéaste</t>
        </is>
      </c>
      <c r="H122" t="inlineStr">
        <is>
          <t>46281 (Prise de vue) ; 46282 (Régie cinéma télévision) ; 46269 (Montage audiovisuel)</t>
        </is>
      </c>
      <c r="I122" t="inlineStr">
        <is>
          <t>27/03/2026</t>
        </is>
      </c>
    </row>
    <row r="123">
      <c r="A123" t="inlineStr"/>
      <c r="B123" t="inlineStr">
        <is>
          <t>RNCP38919</t>
        </is>
      </c>
      <c r="C123" t="inlineStr">
        <is>
          <t>Data engineer</t>
        </is>
      </c>
      <c r="D123" s="38" t="inlineStr">
        <is>
          <t>Expiré / remplacé</t>
        </is>
      </c>
      <c r="E123" t="inlineStr">
        <is>
          <t>Fiche inactive — remplacée par RNCP42655 (Data engineer)</t>
        </is>
      </c>
      <c r="F123" t="inlineStr">
        <is>
          <t>RNCP42655</t>
        </is>
      </c>
      <c r="G123" t="inlineStr">
        <is>
          <t>Data engineer</t>
        </is>
      </c>
      <c r="H123" t="inlineStr">
        <is>
          <t>31023 (Gestion données massives) ; 31094 (Gestion projet informatique) ; 31028 (Intelligence artificielle)</t>
        </is>
      </c>
      <c r="I123" t="inlineStr">
        <is>
          <t>26/04/2026</t>
        </is>
      </c>
    </row>
    <row r="124">
      <c r="A124" t="inlineStr"/>
      <c r="B124" t="inlineStr">
        <is>
          <t>RNCP38947</t>
        </is>
      </c>
      <c r="C124" t="inlineStr">
        <is>
          <t>Manager du commerce de l'art</t>
        </is>
      </c>
      <c r="D124" s="38" t="inlineStr">
        <is>
          <t>Expiré / remplacé</t>
        </is>
      </c>
      <c r="E124" t="inlineStr">
        <is>
          <t>Fiche inactive — remplacée par RNCP42080 (Manager du commerce de l'art)</t>
        </is>
      </c>
      <c r="F124" t="inlineStr">
        <is>
          <t>RNCP42080</t>
        </is>
      </c>
      <c r="G124" t="inlineStr">
        <is>
          <t>Manager du commerce de l'art</t>
        </is>
      </c>
      <c r="H124" t="inlineStr">
        <is>
          <t>13096 (Politique culturelle) ; 45075 (Commerce art)</t>
        </is>
      </c>
      <c r="I124" t="inlineStr">
        <is>
          <t>26/04/2026</t>
        </is>
      </c>
    </row>
    <row r="125">
      <c r="A125" t="inlineStr"/>
      <c r="B125" t="inlineStr">
        <is>
          <t>RNCP39392</t>
        </is>
      </c>
      <c r="C125" t="inlineStr">
        <is>
          <t>Assistant réalisateur</t>
        </is>
      </c>
      <c r="D125" s="38" t="inlineStr">
        <is>
          <t>Expiré / remplacé</t>
        </is>
      </c>
      <c r="E125" t="inlineStr">
        <is>
          <t>Fiche inactive — remplacée par RNCP42150 (Assistant réalisateur)</t>
        </is>
      </c>
      <c r="F125" t="inlineStr">
        <is>
          <t>RNCP42150</t>
        </is>
      </c>
      <c r="G125" t="inlineStr">
        <is>
          <t>Assistant réalisateur</t>
        </is>
      </c>
      <c r="H125" t="inlineStr">
        <is>
          <t>46274 (Cinéma) ; 46275 (Film documentaire) ; 46282 (Régie cinéma télévision) ; 46245 (Radio télévision)</t>
        </is>
      </c>
      <c r="I125" t="inlineStr">
        <is>
          <t>19/07/2026</t>
        </is>
      </c>
    </row>
    <row r="126">
      <c r="A126" t="inlineStr"/>
      <c r="B126" t="inlineStr">
        <is>
          <t>RNCP39395</t>
        </is>
      </c>
      <c r="C126" t="inlineStr">
        <is>
          <t>Responsable d'agence et de commerce</t>
        </is>
      </c>
      <c r="D126" s="38" t="inlineStr">
        <is>
          <t>Expiré / remplacé</t>
        </is>
      </c>
      <c r="E126" t="inlineStr">
        <is>
          <t>Fiche inactive — remplacée par RNCP42475 (Responsable d'agence et de commerce)</t>
        </is>
      </c>
      <c r="F126" t="inlineStr">
        <is>
          <t>RNCP42475</t>
        </is>
      </c>
      <c r="G126" t="inlineStr">
        <is>
          <t>Responsable d'agence et de commerce</t>
        </is>
      </c>
      <c r="H126" t="inlineStr">
        <is>
          <t>34554 (Commerce) ; 32154 (Encadrement management) ; 32079 (Gestion performance)</t>
        </is>
      </c>
      <c r="I126" t="inlineStr">
        <is>
          <t>19/07/2026</t>
        </is>
      </c>
    </row>
    <row r="127">
      <c r="A127" t="inlineStr"/>
      <c r="B127" t="inlineStr">
        <is>
          <t>RNCP40214</t>
        </is>
      </c>
      <c r="C127" t="inlineStr">
        <is>
          <t>TP - Dessinateur projeteur en béton armé</t>
        </is>
      </c>
      <c r="D127" s="38" t="inlineStr">
        <is>
          <t>Expiré / remplacé</t>
        </is>
      </c>
      <c r="E127" t="inlineStr">
        <is>
          <t>Fiche inactive — remplacée par RNCP42281 (Dessinateur projeteur en béton armé)</t>
        </is>
      </c>
      <c r="F127" t="inlineStr">
        <is>
          <t>RNCP42281</t>
        </is>
      </c>
      <c r="G127" t="inlineStr">
        <is>
          <t>Dessinateur projeteur en béton armé</t>
        </is>
      </c>
      <c r="H127" t="inlineStr">
        <is>
          <t>22252 (Dessin BTP)</t>
        </is>
      </c>
      <c r="I127" t="inlineStr">
        <is>
          <t>11/06/2026</t>
        </is>
      </c>
    </row>
    <row r="128">
      <c r="A128" t="inlineStr"/>
      <c r="B128" t="inlineStr">
        <is>
          <t>RNCP41106</t>
        </is>
      </c>
      <c r="C128" t="inlineStr">
        <is>
          <t>Peintre industriel option anticorrosion, option aéronautique</t>
        </is>
      </c>
      <c r="D128" s="38" t="inlineStr">
        <is>
          <t>Expiré / remplacé</t>
        </is>
      </c>
      <c r="E128" t="inlineStr">
        <is>
          <t>Fiche inactive — remplacée par RNCP41815 (Peintre industriel)</t>
        </is>
      </c>
      <c r="F128" t="inlineStr">
        <is>
          <t>RNCP41815</t>
        </is>
      </c>
      <c r="G128" t="inlineStr">
        <is>
          <t>Peintre industriel</t>
        </is>
      </c>
      <c r="H128" t="inlineStr">
        <is>
          <t>23053 (Peinture industrielle)</t>
        </is>
      </c>
      <c r="I128" t="inlineStr">
        <is>
          <t>18/12/2025</t>
        </is>
      </c>
    </row>
    <row r="129">
      <c r="A129" s="41" t="inlineStr">
        <is>
          <t>●</t>
        </is>
      </c>
      <c r="B129" t="inlineStr">
        <is>
          <t>RNCP36119</t>
        </is>
      </c>
      <c r="C129" t="inlineStr">
        <is>
          <t>Manager du marketing et de la transformation digitale</t>
        </is>
      </c>
      <c r="D129" s="37" t="inlineStr">
        <is>
          <t>À vérifier</t>
        </is>
      </c>
      <c r="E129" t="inlineStr">
        <is>
          <t>Échéance le 26/01/2027 (dans 180 j)</t>
        </is>
      </c>
      <c r="F129" t="inlineStr">
        <is>
          <t>RNCP36119</t>
        </is>
      </c>
      <c r="G129" t="inlineStr">
        <is>
          <t>Manager du marketing et de la transformation digitale</t>
        </is>
      </c>
      <c r="H129" t="inlineStr">
        <is>
          <t>34530 (E-commerce) ; 46347 (Stratégie communication numérique) ; 34093 (Marketing digital)</t>
        </is>
      </c>
      <c r="I129" t="inlineStr">
        <is>
          <t>26/01/2027</t>
        </is>
      </c>
    </row>
    <row r="130">
      <c r="A130" s="41" t="inlineStr">
        <is>
          <t>●</t>
        </is>
      </c>
      <c r="B130" t="inlineStr">
        <is>
          <t>RNCP36143</t>
        </is>
      </c>
      <c r="C130" t="inlineStr">
        <is>
          <t>Chargé des ressources humaines</t>
        </is>
      </c>
      <c r="D130" s="37" t="inlineStr">
        <is>
          <t>À vérifier</t>
        </is>
      </c>
      <c r="E130" t="inlineStr">
        <is>
          <t>Échéance le 26/01/2027 (dans 180 j)</t>
        </is>
      </c>
      <c r="F130" t="inlineStr">
        <is>
          <t>RNCP36143</t>
        </is>
      </c>
      <c r="G130" t="inlineStr">
        <is>
          <t>Chargé des ressources humaines</t>
        </is>
      </c>
      <c r="H130" t="inlineStr">
        <is>
          <t>33054 (Gestion ressources humaines)</t>
        </is>
      </c>
      <c r="I130" t="inlineStr">
        <is>
          <t>26/01/2027</t>
        </is>
      </c>
    </row>
    <row r="131">
      <c r="A131" s="41" t="inlineStr">
        <is>
          <t>●</t>
        </is>
      </c>
      <c r="B131" t="inlineStr">
        <is>
          <t>RNCP36156</t>
        </is>
      </c>
      <c r="C131" t="inlineStr">
        <is>
          <t>Technicien d'exploitation son</t>
        </is>
      </c>
      <c r="D131" s="37" t="inlineStr">
        <is>
          <t>À vérifier</t>
        </is>
      </c>
      <c r="E131" t="inlineStr">
        <is>
          <t>Échéance le 26/01/2027 (dans 180 j)</t>
        </is>
      </c>
      <c r="F131" t="inlineStr">
        <is>
          <t>RNCP36156</t>
        </is>
      </c>
      <c r="G131" t="inlineStr">
        <is>
          <t>Technicien d'exploitation son</t>
        </is>
      </c>
      <c r="H131" t="inlineStr">
        <is>
          <t>46236 (Son)</t>
        </is>
      </c>
      <c r="I131" t="inlineStr">
        <is>
          <t>26/01/2027</t>
        </is>
      </c>
    </row>
    <row r="132">
      <c r="A132" t="inlineStr"/>
      <c r="B132" t="inlineStr">
        <is>
          <t>RNCP35185</t>
        </is>
      </c>
      <c r="C132" t="inlineStr">
        <is>
          <t>BAC PRO - Technicien conseil vente en alimentation (produits alimentaires et boissons)</t>
        </is>
      </c>
      <c r="D132" s="37" t="inlineStr">
        <is>
          <t>À vérifier</t>
        </is>
      </c>
      <c r="E132" t="inlineStr">
        <is>
          <t>Successeur déjà publié : RNCP41938 (Technicien conseil vente en alimentation (produits alimentaires et boissons)) — préparer la bascule de l'offre CPF | Échéance le 01/09/2026 (dans 33 j)</t>
        </is>
      </c>
      <c r="F132" t="inlineStr">
        <is>
          <t>RNCP41938</t>
        </is>
      </c>
      <c r="G132" t="inlineStr">
        <is>
          <t>Technicien conseil vente en alimentation (produits alimentaires et boissons)</t>
        </is>
      </c>
      <c r="H132" t="inlineStr">
        <is>
          <t>34525 (Vente produit alimentaire)</t>
        </is>
      </c>
      <c r="I132" t="inlineStr">
        <is>
          <t>01/09/2026</t>
        </is>
      </c>
    </row>
    <row r="133">
      <c r="A133" t="inlineStr"/>
      <c r="B133" t="inlineStr">
        <is>
          <t>RNCP35317</t>
        </is>
      </c>
      <c r="C133" t="inlineStr">
        <is>
          <t>Certificat d'aptitude professionnelle - Production et service en restaurations (rapide, collective, cafétéria)</t>
        </is>
      </c>
      <c r="D133" s="37" t="inlineStr">
        <is>
          <t>À vérifier</t>
        </is>
      </c>
      <c r="E133" t="inlineStr">
        <is>
          <t>Successeur déjà publié : RNCP42120 (Production et service en restauration (rapide, collective, cafétéria)) — préparer la bascule de l'offre CPF | Échéance le 31/08/2026 (dans 32 j)</t>
        </is>
      </c>
      <c r="F133" t="inlineStr">
        <is>
          <t>RNCP42120</t>
        </is>
      </c>
      <c r="G133" t="inlineStr">
        <is>
          <t>Production et service en restauration (rapide, collective, cafétéria)</t>
        </is>
      </c>
      <c r="H133" t="inlineStr">
        <is>
          <t>42746 (Restauration) ; 42729 (Gestion restauration collective) ; 42725 (Restauration rapide)</t>
        </is>
      </c>
      <c r="I133" t="inlineStr">
        <is>
          <t>31/08/2026</t>
        </is>
      </c>
    </row>
    <row r="134">
      <c r="A134" t="inlineStr"/>
      <c r="B134" t="inlineStr">
        <is>
          <t>RNCP35513</t>
        </is>
      </c>
      <c r="C134" t="inlineStr">
        <is>
          <t>BUT - Carrières Sociales : Coordination et Gestion des Établissements et Services Sanitaires et Sociaux</t>
        </is>
      </c>
      <c r="D134" s="37" t="inlineStr">
        <is>
          <t>À vérifier</t>
        </is>
      </c>
      <c r="E134" t="inlineStr">
        <is>
          <t>Successeur déjà publié : RNCP41553 (Carrières sociales : Coordination et gestion des établissements et services sanitaires et sociaux) — préparer la bascule de l'offre CPF | Échéance le 31/08/2026 (dans 32 j)</t>
        </is>
      </c>
      <c r="F134" t="inlineStr">
        <is>
          <t>RNCP41553</t>
        </is>
      </c>
      <c r="G134" t="inlineStr">
        <is>
          <t>Carrières sociales : Coordination et gestion des établissements et services sanitaires et sociaux</t>
        </is>
      </c>
      <c r="H134" t="inlineStr">
        <is>
          <t>43435 (Encadrement santé) ; 42082 (Gestion structure service à la personne)</t>
        </is>
      </c>
      <c r="I134" t="inlineStr">
        <is>
          <t>31/08/2026</t>
        </is>
      </c>
    </row>
    <row r="135">
      <c r="A135" t="inlineStr"/>
      <c r="B135" t="inlineStr">
        <is>
          <t>RNCP35517</t>
        </is>
      </c>
      <c r="C135" t="inlineStr">
        <is>
          <t>CS - Services numériques aux organisations</t>
        </is>
      </c>
      <c r="D135" s="37" t="inlineStr">
        <is>
          <t>À vérifier</t>
        </is>
      </c>
      <c r="E135" t="inlineStr">
        <is>
          <t>Successeur déjà publié : RNCP41844 (Services numériques aux organisations) — préparer la bascule de l'offre CPF | Échéance le 31/08/2026 (dans 32 j)</t>
        </is>
      </c>
      <c r="F135" t="inlineStr">
        <is>
          <t>RNCP41844</t>
        </is>
      </c>
      <c r="G135" t="inlineStr">
        <is>
          <t>Services numériques aux organisations</t>
        </is>
      </c>
      <c r="H135" t="inlineStr">
        <is>
          <t>44527 (Médiation numérique) ; 31006 (Sécurité informatique) ; 15052 (Bureautique)</t>
        </is>
      </c>
      <c r="I135" t="inlineStr">
        <is>
          <t>31/08/2026</t>
        </is>
      </c>
    </row>
    <row r="136">
      <c r="A136" t="inlineStr"/>
      <c r="B136" t="inlineStr">
        <is>
          <t>RNCP35639</t>
        </is>
      </c>
      <c r="C136" t="inlineStr">
        <is>
          <t>CS - Art de la dorure à chaud</t>
        </is>
      </c>
      <c r="D136" s="37" t="inlineStr">
        <is>
          <t>À vérifier</t>
        </is>
      </c>
      <c r="E136" t="inlineStr">
        <is>
          <t>Successeur déjà publié : RNCP42017 (Art de la dorure à chaud) — préparer la bascule de l'offre CPF | Échéance le 31/08/2026 (dans 32 j)</t>
        </is>
      </c>
      <c r="F136" t="inlineStr">
        <is>
          <t>RNCP42017</t>
        </is>
      </c>
      <c r="G136" t="inlineStr">
        <is>
          <t>Art de la dorure à chaud</t>
        </is>
      </c>
      <c r="H136" t="inlineStr">
        <is>
          <t>45540 (Dorure art)</t>
        </is>
      </c>
      <c r="I136" t="inlineStr">
        <is>
          <t>31/08/2026</t>
        </is>
      </c>
    </row>
    <row r="137">
      <c r="A137" t="inlineStr"/>
      <c r="B137" t="inlineStr">
        <is>
          <t>RNCP35640</t>
        </is>
      </c>
      <c r="C137" t="inlineStr">
        <is>
          <t>CAP - Arts de la dentelle, options fuseaux et aiguille</t>
        </is>
      </c>
      <c r="D137" s="37" t="inlineStr">
        <is>
          <t>À vérifier</t>
        </is>
      </c>
      <c r="E137" t="inlineStr">
        <is>
          <t>Successeur déjà publié : RNCP42132 (Arts de la dentelle, options fuseaux et aiguille) — préparer la bascule de l'offre CPF | Échéance le 31/08/2026 (dans 32 j)</t>
        </is>
      </c>
      <c r="F137" t="inlineStr">
        <is>
          <t>RNCP42132</t>
        </is>
      </c>
      <c r="G137" t="inlineStr">
        <is>
          <t>Arts de la dentelle, options fuseaux et aiguille</t>
        </is>
      </c>
      <c r="H137" t="inlineStr">
        <is>
          <t>45531 (Dentellerie broderie artisanale) ; 31620 (Conduite installation industrielle) ; 21625 (Ennoblissement textile) ; 21650 (Machine filature) ; 21620 (Métier à tisser)</t>
        </is>
      </c>
      <c r="I137" t="inlineStr">
        <is>
          <t>31/08/2026</t>
        </is>
      </c>
    </row>
    <row r="138">
      <c r="A138" t="inlineStr"/>
      <c r="B138" t="inlineStr">
        <is>
          <t>RNCP35696</t>
        </is>
      </c>
      <c r="C138" t="inlineStr">
        <is>
          <t>CAP - Interventions en maintenance technique des bâtiments</t>
        </is>
      </c>
      <c r="D138" s="37" t="inlineStr">
        <is>
          <t>À vérifier</t>
        </is>
      </c>
      <c r="E138" t="inlineStr">
        <is>
          <t>Successeur déjà publié : RNCP41833 (Interventions en maintenance technique des bâtiments) — préparer la bascule de l'offre CPF | Échéance le 31/08/2026 (dans 32 j)</t>
        </is>
      </c>
      <c r="F138" t="inlineStr">
        <is>
          <t>RNCP41833</t>
        </is>
      </c>
      <c r="G138" t="inlineStr">
        <is>
          <t>Interventions en maintenance technique des bâtiments</t>
        </is>
      </c>
      <c r="H138" t="inlineStr">
        <is>
          <t>22486 (Maintenance bâtiment)</t>
        </is>
      </c>
      <c r="I138" t="inlineStr">
        <is>
          <t>31/08/2026</t>
        </is>
      </c>
    </row>
    <row r="139">
      <c r="A139" t="inlineStr"/>
      <c r="B139" t="inlineStr">
        <is>
          <t>RNCP35698</t>
        </is>
      </c>
      <c r="C139" t="inlineStr">
        <is>
          <t>BAC PRO - Maintenance des Systèmes de Production Connectés</t>
        </is>
      </c>
      <c r="D139" s="37" t="inlineStr">
        <is>
          <t>À vérifier</t>
        </is>
      </c>
      <c r="E139" t="inlineStr">
        <is>
          <t>Successeur déjà publié : RNCP42118 (Maintenance des Systèmes de Production Connectés) — préparer la bascule de l'offre CPF | Échéance le 31/08/2026 (dans 32 j)</t>
        </is>
      </c>
      <c r="F139" t="inlineStr">
        <is>
          <t>RNCP42118</t>
        </is>
      </c>
      <c r="G139" t="inlineStr">
        <is>
          <t>Maintenance des Systèmes de Production Connectés</t>
        </is>
      </c>
      <c r="H139" t="inlineStr">
        <is>
          <t>31624 (Maintenance industrielle)</t>
        </is>
      </c>
      <c r="I139" t="inlineStr">
        <is>
          <t>31/08/2026</t>
        </is>
      </c>
    </row>
    <row r="140">
      <c r="A140" t="inlineStr"/>
      <c r="B140" t="inlineStr">
        <is>
          <t>RNCP35699</t>
        </is>
      </c>
      <c r="C140" t="inlineStr">
        <is>
          <t>CAP - Assistant luthier du quatuor</t>
        </is>
      </c>
      <c r="D140" s="37" t="inlineStr">
        <is>
          <t>À vérifier</t>
        </is>
      </c>
      <c r="E140" t="inlineStr">
        <is>
          <t>Successeur déjà publié : RNCP42108 (Assistant luthier du quatuor) — préparer la bascule de l'offre CPF | Échéance le 31/08/2026 (dans 32 j)</t>
        </is>
      </c>
      <c r="F140" t="inlineStr">
        <is>
          <t>RNCP42108</t>
        </is>
      </c>
      <c r="G140" t="inlineStr">
        <is>
          <t>Assistant luthier du quatuor</t>
        </is>
      </c>
      <c r="H140" t="inlineStr">
        <is>
          <t>45595 (Lutherie)</t>
        </is>
      </c>
      <c r="I140" t="inlineStr">
        <is>
          <t>31/08/2026</t>
        </is>
      </c>
    </row>
    <row r="141">
      <c r="A141" t="inlineStr"/>
      <c r="B141" t="inlineStr">
        <is>
          <t>RNCP35706</t>
        </is>
      </c>
      <c r="C141" t="inlineStr">
        <is>
          <t>TP - Responsable de développement touristique territorial</t>
        </is>
      </c>
      <c r="D141" s="37" t="inlineStr">
        <is>
          <t>À vérifier</t>
        </is>
      </c>
      <c r="E141" t="inlineStr">
        <is>
          <t>Successeur déjà publié : RNCP42430 (Chargé de développement touristique territorial) — préparer la bascule de l'offre CPF | Échéance le 02/08/2026 (dans 3 j)</t>
        </is>
      </c>
      <c r="F141" t="inlineStr">
        <is>
          <t>RNCP42430</t>
        </is>
      </c>
      <c r="G141" t="inlineStr">
        <is>
          <t>Chargé de développement touristique territorial</t>
        </is>
      </c>
      <c r="H141" t="inlineStr">
        <is>
          <t>12516 (Aménagement touristique) ; 42638 (Développement touristique)</t>
        </is>
      </c>
      <c r="I141" t="inlineStr">
        <is>
          <t>02/08/2026</t>
        </is>
      </c>
    </row>
    <row r="142">
      <c r="A142" t="inlineStr"/>
      <c r="B142" t="inlineStr">
        <is>
          <t>RNCP35715</t>
        </is>
      </c>
      <c r="C142" t="inlineStr">
        <is>
          <t>CAP - Maçon</t>
        </is>
      </c>
      <c r="D142" s="37" t="inlineStr">
        <is>
          <t>À vérifier</t>
        </is>
      </c>
      <c r="E142" t="inlineStr">
        <is>
          <t>Successeur déjà publié : RNCP41830 (Maçon) — préparer la bascule de l'offre CPF | Échéance le 31/08/2026 (dans 32 j)</t>
        </is>
      </c>
      <c r="F142" t="inlineStr">
        <is>
          <t>RNCP41830</t>
        </is>
      </c>
      <c r="G142" t="inlineStr">
        <is>
          <t>Maçon</t>
        </is>
      </c>
      <c r="H142" t="inlineStr">
        <is>
          <t>22395 (Construction béton) ; 22334 (Maçonnerie)</t>
        </is>
      </c>
      <c r="I142" t="inlineStr">
        <is>
          <t>31/08/2026</t>
        </is>
      </c>
    </row>
    <row r="143">
      <c r="A143" t="inlineStr"/>
      <c r="B143" t="inlineStr">
        <is>
          <t>RNCP35800</t>
        </is>
      </c>
      <c r="C143" t="inlineStr">
        <is>
          <t>Brevet de technicien supérieur - Commerce international</t>
        </is>
      </c>
      <c r="D143" s="37" t="inlineStr">
        <is>
          <t>À vérifier</t>
        </is>
      </c>
      <c r="E143" t="inlineStr">
        <is>
          <t>Successeur déjà publié : RNCP41759 (Commerce international) — préparer la bascule de l'offre CPF | Échéance le 31/08/2026 (dans 32 j)</t>
        </is>
      </c>
      <c r="F143" t="inlineStr">
        <is>
          <t>RNCP41759</t>
        </is>
      </c>
      <c r="G143" t="inlineStr">
        <is>
          <t>Commerce international</t>
        </is>
      </c>
      <c r="H143" t="inlineStr">
        <is>
          <t>34254 (Commerce international) ; 34582 (Négociation commerciale) ; 34593 (Prospection vente)</t>
        </is>
      </c>
      <c r="I143" t="inlineStr">
        <is>
          <t>31/08/2026</t>
        </is>
      </c>
    </row>
    <row r="144">
      <c r="A144" t="inlineStr"/>
      <c r="B144" t="inlineStr">
        <is>
          <t>RNCP35801</t>
        </is>
      </c>
      <c r="C144" t="inlineStr">
        <is>
          <t>Brevet de technicien supérieur - Conseil et commercialisation de solutions techniques</t>
        </is>
      </c>
      <c r="D144" s="37" t="inlineStr">
        <is>
          <t>À vérifier</t>
        </is>
      </c>
      <c r="E144" t="inlineStr">
        <is>
          <t>Successeur déjà publié : RNCP41757 (Conseil et commercialisation de solutions techniques) — préparer la bascule de l'offre CPF | Échéance le 31/08/2026 (dans 32 j)</t>
        </is>
      </c>
      <c r="F144" t="inlineStr">
        <is>
          <t>RNCP41757</t>
        </is>
      </c>
      <c r="G144" t="inlineStr">
        <is>
          <t>Conseil et commercialisation de solutions techniques</t>
        </is>
      </c>
      <c r="H144" t="inlineStr">
        <is>
          <t>34581 (Technico-commercial)</t>
        </is>
      </c>
      <c r="I144" t="inlineStr">
        <is>
          <t>31/08/2026</t>
        </is>
      </c>
    </row>
    <row r="145">
      <c r="A145" t="inlineStr"/>
      <c r="B145" t="inlineStr">
        <is>
          <t>RNCP35802</t>
        </is>
      </c>
      <c r="C145" t="inlineStr">
        <is>
          <t>BTS - Management économique de la construction</t>
        </is>
      </c>
      <c r="D145" s="37" t="inlineStr">
        <is>
          <t>À vérifier</t>
        </is>
      </c>
      <c r="E145" t="inlineStr">
        <is>
          <t>Successeur déjà publié : RNCP41826 (Management économique de la construction) — préparer la bascule de l'offre CPF | Échéance le 31/08/2026 (dans 32 j)</t>
        </is>
      </c>
      <c r="F145" t="inlineStr">
        <is>
          <t>RNCP41826</t>
        </is>
      </c>
      <c r="G145" t="inlineStr">
        <is>
          <t>Management économique de la construction</t>
        </is>
      </c>
      <c r="H145" t="inlineStr">
        <is>
          <t>22293 (Conduite travaux BTP) ; 22279 (Maîtrise d'oeuvre BTP) ; 22259 (Marché travaux) ; 22230 (Métré spécialisé) ; 22374 (Construction)</t>
        </is>
      </c>
      <c r="I145" t="inlineStr">
        <is>
          <t>31/08/2026</t>
        </is>
      </c>
    </row>
    <row r="146">
      <c r="A146" t="inlineStr"/>
      <c r="B146" t="inlineStr">
        <is>
          <t>RNCP35803</t>
        </is>
      </c>
      <c r="C146" t="inlineStr">
        <is>
          <t>BTS - Métiers de la mesure</t>
        </is>
      </c>
      <c r="D146" s="37" t="inlineStr">
        <is>
          <t>À vérifier</t>
        </is>
      </c>
      <c r="E146" t="inlineStr">
        <is>
          <t>Successeur déjà publié : RNCP41832 (Métiers de la mesure) — préparer la bascule de l'offre CPF | Échéance le 31/08/2026 (dans 32 j)</t>
        </is>
      </c>
      <c r="F146" t="inlineStr">
        <is>
          <t>RNCP41832</t>
        </is>
      </c>
      <c r="G146" t="inlineStr">
        <is>
          <t>Métiers de la mesure</t>
        </is>
      </c>
      <c r="H146" t="inlineStr">
        <is>
          <t>11523 (Analyse chimique) ; 11421 (Thermométrie) ; 24351 (Mesure électronique)</t>
        </is>
      </c>
      <c r="I146" t="inlineStr">
        <is>
          <t>31/08/2026</t>
        </is>
      </c>
    </row>
    <row r="147">
      <c r="A147" t="inlineStr"/>
      <c r="B147" t="inlineStr">
        <is>
          <t>RNCP35807</t>
        </is>
      </c>
      <c r="C147" t="inlineStr">
        <is>
          <t>BAC PRO - Métiers de l'entretien des textiles option A : blanchisserie, option B : pressing</t>
        </is>
      </c>
      <c r="D147" s="37" t="inlineStr">
        <is>
          <t>À vérifier</t>
        </is>
      </c>
      <c r="E147" t="inlineStr">
        <is>
          <t>Successeur déjà publié : RNCP42128 (métiers de l'entretien des textiles option A : blanchisserie, option B : pressing) — préparer la bascule de l'offre CPF | Échéance le 31/08/2026 (dans 32 j)</t>
        </is>
      </c>
      <c r="F147" t="inlineStr">
        <is>
          <t>RNCP42128</t>
        </is>
      </c>
      <c r="G147" t="inlineStr">
        <is>
          <t>métiers de l'entretien des textiles option A : blanchisserie, option B : pressing</t>
        </is>
      </c>
      <c r="H147" t="inlineStr">
        <is>
          <t>42097 (Blanchisserie) ; 42095 (Teinturerie pressing)</t>
        </is>
      </c>
      <c r="I147" t="inlineStr">
        <is>
          <t>31/08/2026</t>
        </is>
      </c>
    </row>
    <row r="148">
      <c r="A148" t="inlineStr"/>
      <c r="B148" t="inlineStr">
        <is>
          <t>RNCP35808</t>
        </is>
      </c>
      <c r="C148" t="inlineStr">
        <is>
          <t>CAP - Métiers de l’entretien des textiles, option A : blanchisserie, option B : pressing</t>
        </is>
      </c>
      <c r="D148" s="37" t="inlineStr">
        <is>
          <t>À vérifier</t>
        </is>
      </c>
      <c r="E148" t="inlineStr">
        <is>
          <t>Successeur déjà publié : RNCP42127 (Métiers de l’entretien des textiles, option A : blanchisserie, option B : pressing) — préparer la bascule de l'offre CPF | Échéance le 31/08/2026 (dans 32 j)</t>
        </is>
      </c>
      <c r="F148" t="inlineStr">
        <is>
          <t>RNCP42127</t>
        </is>
      </c>
      <c r="G148" t="inlineStr">
        <is>
          <t>Métiers de l’entretien des textiles, option A : blanchisserie, option B : pressing</t>
        </is>
      </c>
      <c r="H148" t="inlineStr">
        <is>
          <t>42097 (Blanchisserie) ; 42095 (Teinturerie pressing)</t>
        </is>
      </c>
      <c r="I148" t="inlineStr">
        <is>
          <t>31/08/2026</t>
        </is>
      </c>
    </row>
    <row r="149">
      <c r="A149" t="inlineStr"/>
      <c r="B149" t="inlineStr">
        <is>
          <t>RNCP35809</t>
        </is>
      </c>
      <c r="C149" t="inlineStr">
        <is>
          <t>BTS - Finition, aménagement des bâtiments : conception et réalisation</t>
        </is>
      </c>
      <c r="D149" s="37" t="inlineStr">
        <is>
          <t>À vérifier</t>
        </is>
      </c>
      <c r="E149" t="inlineStr">
        <is>
          <t>Successeur déjà publié : RNCP41827 (Finitions, aménagement des bâtiments : conception et réalisation) — préparer la bascule de l'offre CPF | Échéance le 31/08/2026 (dans 32 j)</t>
        </is>
      </c>
      <c r="F149" t="inlineStr">
        <is>
          <t>RNCP41827</t>
        </is>
      </c>
      <c r="G149" t="inlineStr">
        <is>
          <t>Finitions, aménagement des bâtiments : conception et réalisation</t>
        </is>
      </c>
      <c r="H149" t="inlineStr">
        <is>
          <t>22274 (Chantier BTP) ; 22248 (Gestion entreprise BTP)</t>
        </is>
      </c>
      <c r="I149" t="inlineStr">
        <is>
          <t>31/08/2026</t>
        </is>
      </c>
    </row>
    <row r="150">
      <c r="A150" t="inlineStr"/>
      <c r="B150" t="inlineStr">
        <is>
          <t>RNCP35823</t>
        </is>
      </c>
      <c r="C150" t="inlineStr">
        <is>
          <t>TP - Menuisier de fabrication bois et dérivés</t>
        </is>
      </c>
      <c r="D150" s="37" t="inlineStr">
        <is>
          <t>À vérifier</t>
        </is>
      </c>
      <c r="E150" t="inlineStr">
        <is>
          <t>Échéance le 24/10/2026 (dans 86 j)</t>
        </is>
      </c>
      <c r="F150" t="inlineStr">
        <is>
          <t>RNCP35823</t>
        </is>
      </c>
      <c r="G150" t="inlineStr">
        <is>
          <t>Menuisier de fabrication bois et dérivés</t>
        </is>
      </c>
      <c r="H150" t="inlineStr">
        <is>
          <t>22416 (Menuiserie bois)</t>
        </is>
      </c>
      <c r="I150" t="inlineStr">
        <is>
          <t>24/10/2026</t>
        </is>
      </c>
    </row>
    <row r="151">
      <c r="A151" t="inlineStr"/>
      <c r="B151" t="inlineStr">
        <is>
          <t>RNCP35824</t>
        </is>
      </c>
      <c r="C151" t="inlineStr">
        <is>
          <t>TP - conducteur d'engins de chantiers urbains</t>
        </is>
      </c>
      <c r="D151" s="37" t="inlineStr">
        <is>
          <t>À vérifier</t>
        </is>
      </c>
      <c r="E151" t="inlineStr">
        <is>
          <t>Échéance le 12/10/2026 (dans 74 j)</t>
        </is>
      </c>
      <c r="F151" t="inlineStr">
        <is>
          <t>RNCP35824</t>
        </is>
      </c>
      <c r="G151" t="inlineStr">
        <is>
          <t>conducteur d'engins de chantiers urbains</t>
        </is>
      </c>
      <c r="H151" t="inlineStr">
        <is>
          <t>31717 (Engin chantier)</t>
        </is>
      </c>
      <c r="I151" t="inlineStr">
        <is>
          <t>12/10/2026</t>
        </is>
      </c>
    </row>
    <row r="152">
      <c r="A152" t="inlineStr"/>
      <c r="B152" t="inlineStr">
        <is>
          <t>RNCP35825</t>
        </is>
      </c>
      <c r="C152" t="inlineStr">
        <is>
          <t>TP - Chargé de travaux en réseaux électriques aériens et souterrains</t>
        </is>
      </c>
      <c r="D152" s="37" t="inlineStr">
        <is>
          <t>À vérifier</t>
        </is>
      </c>
      <c r="E152" t="inlineStr">
        <is>
          <t>Échéance le 20/11/2026 (dans 113 j)</t>
        </is>
      </c>
      <c r="F152" t="inlineStr">
        <is>
          <t>RNCP35825</t>
        </is>
      </c>
      <c r="G152" t="inlineStr">
        <is>
          <t>Chargé de travaux en réseaux électriques aériens et souterrains</t>
        </is>
      </c>
      <c r="H152" t="inlineStr">
        <is>
          <t>24158 (Énergie électrique) ; 24086 (Distribution électricité) ; 24089 (Éclairage public)</t>
        </is>
      </c>
      <c r="I152" t="inlineStr">
        <is>
          <t>20/11/2026</t>
        </is>
      </c>
    </row>
    <row r="153">
      <c r="A153" t="inlineStr"/>
      <c r="B153" t="inlineStr">
        <is>
          <t>RNCP35826</t>
        </is>
      </c>
      <c r="C153" t="inlineStr">
        <is>
          <t>TP - Conducteur de grue à tour</t>
        </is>
      </c>
      <c r="D153" s="37" t="inlineStr">
        <is>
          <t>À vérifier</t>
        </is>
      </c>
      <c r="E153" t="inlineStr">
        <is>
          <t>Échéance le 15/09/2026 (dans 47 j)</t>
        </is>
      </c>
      <c r="F153" t="inlineStr">
        <is>
          <t>RNCP35826</t>
        </is>
      </c>
      <c r="G153" t="inlineStr">
        <is>
          <t>Conducteur de grue à tour</t>
        </is>
      </c>
      <c r="H153" t="inlineStr">
        <is>
          <t>31708 (Grue)</t>
        </is>
      </c>
      <c r="I153" t="inlineStr">
        <is>
          <t>15/09/2026</t>
        </is>
      </c>
    </row>
    <row r="154">
      <c r="A154" t="inlineStr"/>
      <c r="B154" t="inlineStr">
        <is>
          <t>RNCP35827</t>
        </is>
      </c>
      <c r="C154" t="inlineStr">
        <is>
          <t>TP - Conducteur d'engins de grands terrassements</t>
        </is>
      </c>
      <c r="D154" s="37" t="inlineStr">
        <is>
          <t>À vérifier</t>
        </is>
      </c>
      <c r="E154" t="inlineStr">
        <is>
          <t>Échéance le 12/10/2026 (dans 74 j)</t>
        </is>
      </c>
      <c r="F154" t="inlineStr">
        <is>
          <t>RNCP35827</t>
        </is>
      </c>
      <c r="G154" t="inlineStr">
        <is>
          <t>Conducteur d'engins de grands terrassements</t>
        </is>
      </c>
      <c r="H154" t="inlineStr">
        <is>
          <t>31717 (Engin chantier) ; 22002 (Terrassement)</t>
        </is>
      </c>
      <c r="I154" t="inlineStr">
        <is>
          <t>12/10/2026</t>
        </is>
      </c>
    </row>
    <row r="155">
      <c r="A155" t="inlineStr"/>
      <c r="B155" t="inlineStr">
        <is>
          <t>RNCP35828</t>
        </is>
      </c>
      <c r="C155" t="inlineStr">
        <is>
          <t>TP - Monteur de réseaux électriques aéro-souterrains</t>
        </is>
      </c>
      <c r="D155" s="37" t="inlineStr">
        <is>
          <t>À vérifier</t>
        </is>
      </c>
      <c r="E155" t="inlineStr">
        <is>
          <t>Échéance le 31/08/2026 (dans 32 j)</t>
        </is>
      </c>
      <c r="F155" t="inlineStr">
        <is>
          <t>RNCP35828</t>
        </is>
      </c>
      <c r="G155" t="inlineStr">
        <is>
          <t>Monteur de réseaux électriques aéro-souterrains</t>
        </is>
      </c>
      <c r="H155" t="inlineStr">
        <is>
          <t>24086 (Distribution électricité)</t>
        </is>
      </c>
      <c r="I155" t="inlineStr">
        <is>
          <t>31/08/2026</t>
        </is>
      </c>
    </row>
    <row r="156">
      <c r="A156" t="inlineStr"/>
      <c r="B156" t="inlineStr">
        <is>
          <t>RNCP35844</t>
        </is>
      </c>
      <c r="C156" t="inlineStr">
        <is>
          <t>BAC PRO - Maintenance et Efficacité Energétique</t>
        </is>
      </c>
      <c r="D156" s="37" t="inlineStr">
        <is>
          <t>À vérifier</t>
        </is>
      </c>
      <c r="E156" t="inlineStr">
        <is>
          <t>Échéance le 31/08/2026 (dans 32 j)</t>
        </is>
      </c>
      <c r="F156" t="inlineStr">
        <is>
          <t>RNCP35844</t>
        </is>
      </c>
      <c r="G156" t="inlineStr">
        <is>
          <t>Maintenance et Efficacité Energétique</t>
        </is>
      </c>
      <c r="H156" t="inlineStr">
        <is>
          <t>24162 (Gestion énergie) ; 22635 (Climatisation) ; 22624 (Installation frigorifique)</t>
        </is>
      </c>
      <c r="I156" t="inlineStr">
        <is>
          <t>31/08/2026</t>
        </is>
      </c>
    </row>
    <row r="157">
      <c r="A157" t="inlineStr"/>
      <c r="B157" t="inlineStr">
        <is>
          <t>RNCP35845</t>
        </is>
      </c>
      <c r="C157" t="inlineStr">
        <is>
          <t>BAC PRO - Installateur en Chauffage, Climatisation et Énergies Renouvelables</t>
        </is>
      </c>
      <c r="D157" s="37" t="inlineStr">
        <is>
          <t>À vérifier</t>
        </is>
      </c>
      <c r="E157" t="inlineStr">
        <is>
          <t>Successeur déjà publié : RNCP42117 (Installateur en chauffage, climatisation et énergies renouvelables) — préparer la bascule de l'offre CPF | Échéance le 31/08/2026 (dans 32 j)</t>
        </is>
      </c>
      <c r="F157" t="inlineStr">
        <is>
          <t>RNCP42117</t>
        </is>
      </c>
      <c r="G157" t="inlineStr">
        <is>
          <t>Installateur en chauffage, climatisation et énergies renouvelables</t>
        </is>
      </c>
      <c r="H157" t="inlineStr">
        <is>
          <t>22635 (Climatisation) ; 22671 (Chauffage) ; 22685 (Installation thermique sanitaire)</t>
        </is>
      </c>
      <c r="I157" t="inlineStr">
        <is>
          <t>31/08/2026</t>
        </is>
      </c>
    </row>
    <row r="158">
      <c r="A158" t="inlineStr"/>
      <c r="B158" t="inlineStr">
        <is>
          <t>RNCP35846</t>
        </is>
      </c>
      <c r="C158" t="inlineStr">
        <is>
          <t>BAC PRO - Métiers du Froid et des Energies Renouvelables</t>
        </is>
      </c>
      <c r="D158" s="37" t="inlineStr">
        <is>
          <t>À vérifier</t>
        </is>
      </c>
      <c r="E158" t="inlineStr">
        <is>
          <t>Successeur déjà publié : RNCP42119 (Métiers du Froid et des Energies Renouvelables) — préparer la bascule de l'offre CPF | Échéance le 31/08/2026 (dans 32 j)</t>
        </is>
      </c>
      <c r="F158" t="inlineStr">
        <is>
          <t>RNCP42119</t>
        </is>
      </c>
      <c r="G158" t="inlineStr">
        <is>
          <t>Métiers du Froid et des Energies Renouvelables</t>
        </is>
      </c>
      <c r="H158" t="inlineStr">
        <is>
          <t>22604 (Froid commercial) ; 22605 (Froid industriel) ; 24147 (Énergie renouvelable)</t>
        </is>
      </c>
      <c r="I158" t="inlineStr">
        <is>
          <t>31/08/2026</t>
        </is>
      </c>
    </row>
    <row r="159">
      <c r="A159" t="inlineStr"/>
      <c r="B159" t="inlineStr">
        <is>
          <t>RNCP35862</t>
        </is>
      </c>
      <c r="C159" t="inlineStr">
        <is>
          <t>Responsable qualité, santé, sécurité, environnement</t>
        </is>
      </c>
      <c r="D159" s="37" t="inlineStr">
        <is>
          <t>À vérifier</t>
        </is>
      </c>
      <c r="E159" t="inlineStr">
        <is>
          <t>Successeur déjà publié : RNCP42494 (Responsable qualité santé sécurité environnement) — préparer la bascule de l'offre CPF | Échéance le 15/09/2026 (dans 47 j)</t>
        </is>
      </c>
      <c r="F159" t="inlineStr">
        <is>
          <t>RNCP42494</t>
        </is>
      </c>
      <c r="G159" t="inlineStr">
        <is>
          <t>Responsable qualité santé sécurité environnement</t>
        </is>
      </c>
      <c r="H159" t="inlineStr">
        <is>
          <t>31407 (Qualité hygiène sécurité environnement) ; 32008 (Responsabilité sociétale entreprise) ; 42818 (Système management santé sécurité travail) ; 12587 (Management environnemental)</t>
        </is>
      </c>
      <c r="I159" t="inlineStr">
        <is>
          <t>15/09/2026</t>
        </is>
      </c>
    </row>
    <row r="160">
      <c r="A160" t="inlineStr"/>
      <c r="B160" t="inlineStr">
        <is>
          <t>RNCP35863</t>
        </is>
      </c>
      <c r="C160" t="inlineStr">
        <is>
          <t>Sommelier-conseil, caviste</t>
        </is>
      </c>
      <c r="D160" s="37" t="inlineStr">
        <is>
          <t>À vérifier</t>
        </is>
      </c>
      <c r="E160" t="inlineStr">
        <is>
          <t>Successeur déjà publié : RNCP42644 (Sommelier conseil caviste) — préparer la bascule de l'offre CPF | Échéance le 15/09/2026 (dans 47 j)</t>
        </is>
      </c>
      <c r="F160" t="inlineStr">
        <is>
          <t>RNCP42644</t>
        </is>
      </c>
      <c r="G160" t="inlineStr">
        <is>
          <t>Sommelier conseil caviste</t>
        </is>
      </c>
      <c r="H160" t="inlineStr">
        <is>
          <t>42739 (Sommellerie) ; 34513 (Vente vin spiritueux) ; 21540 (Commercialisation vin spiritueux) ; 21511 (Dégustation vin)</t>
        </is>
      </c>
      <c r="I160" t="inlineStr">
        <is>
          <t>15/09/2026</t>
        </is>
      </c>
    </row>
    <row r="161">
      <c r="A161" t="inlineStr"/>
      <c r="B161" t="inlineStr">
        <is>
          <t>RNCP35864</t>
        </is>
      </c>
      <c r="C161" t="inlineStr">
        <is>
          <t>Manager/Designer de produits et services numériques</t>
        </is>
      </c>
      <c r="D161" s="37" t="inlineStr">
        <is>
          <t>À vérifier</t>
        </is>
      </c>
      <c r="E161" t="inlineStr">
        <is>
          <t>Échéance le 15/09/2026 (dans 47 j)</t>
        </is>
      </c>
      <c r="F161" t="inlineStr">
        <is>
          <t>RNCP35864</t>
        </is>
      </c>
      <c r="G161" t="inlineStr">
        <is>
          <t>Manager/Designer de produits et services numériques</t>
        </is>
      </c>
      <c r="H161" t="inlineStr">
        <is>
          <t>46347 (Stratégie communication numérique) ; 46370 (Design expérience utilisateur) ; 46339 (Conduite projet numérique)</t>
        </is>
      </c>
      <c r="I161" t="inlineStr">
        <is>
          <t>15/09/2026</t>
        </is>
      </c>
    </row>
    <row r="162">
      <c r="A162" t="inlineStr"/>
      <c r="B162" t="inlineStr">
        <is>
          <t>RNCP35874</t>
        </is>
      </c>
      <c r="C162" t="inlineStr">
        <is>
          <t>Graphiste motion designer</t>
        </is>
      </c>
      <c r="D162" s="37" t="inlineStr">
        <is>
          <t>À vérifier</t>
        </is>
      </c>
      <c r="E162" t="inlineStr">
        <is>
          <t>Échéance le 15/09/2026 (dans 47 j)</t>
        </is>
      </c>
      <c r="F162" t="inlineStr">
        <is>
          <t>RNCP35874</t>
        </is>
      </c>
      <c r="G162" t="inlineStr">
        <is>
          <t>Graphiste motion designer</t>
        </is>
      </c>
      <c r="H162" t="inlineStr">
        <is>
          <t>46003 (Infographie)</t>
        </is>
      </c>
      <c r="I162" t="inlineStr">
        <is>
          <t>15/09/2026</t>
        </is>
      </c>
    </row>
    <row r="163">
      <c r="A163" t="inlineStr"/>
      <c r="B163" t="inlineStr">
        <is>
          <t>RNCP35878</t>
        </is>
      </c>
      <c r="C163" t="inlineStr">
        <is>
          <t>Chargé des ressources humaines</t>
        </is>
      </c>
      <c r="D163" s="37" t="inlineStr">
        <is>
          <t>À vérifier</t>
        </is>
      </c>
      <c r="E163" t="inlineStr">
        <is>
          <t>Successeur déjà publié : RNCP42313 (Chargé des ressources humaines) — préparer la bascule de l'offre CPF | Échéance le 15/09/2026 (dans 47 j)</t>
        </is>
      </c>
      <c r="F163" t="inlineStr">
        <is>
          <t>RNCP42313</t>
        </is>
      </c>
      <c r="G163" t="inlineStr">
        <is>
          <t>Chargé des ressources humaines</t>
        </is>
      </c>
      <c r="H163" t="inlineStr">
        <is>
          <t>33054 (Gestion ressources humaines)</t>
        </is>
      </c>
      <c r="I163" t="inlineStr">
        <is>
          <t>15/09/2026</t>
        </is>
      </c>
    </row>
    <row r="164">
      <c r="A164" t="inlineStr"/>
      <c r="B164" t="inlineStr">
        <is>
          <t>RNCP35889</t>
        </is>
      </c>
      <c r="C164" t="inlineStr">
        <is>
          <t>CAP - Couvreur</t>
        </is>
      </c>
      <c r="D164" s="37" t="inlineStr">
        <is>
          <t>À vérifier</t>
        </is>
      </c>
      <c r="E164" t="inlineStr">
        <is>
          <t>Successeur déjà publié : RNCP41834 (Couvreur) — préparer la bascule de l'offre CPF | Échéance le 31/08/2026 (dans 32 j)</t>
        </is>
      </c>
      <c r="F164" t="inlineStr">
        <is>
          <t>RNCP41834</t>
        </is>
      </c>
      <c r="G164" t="inlineStr">
        <is>
          <t>Couvreur</t>
        </is>
      </c>
      <c r="H164" t="inlineStr">
        <is>
          <t>22437 (Couverture)</t>
        </is>
      </c>
      <c r="I164" t="inlineStr">
        <is>
          <t>31/08/2026</t>
        </is>
      </c>
    </row>
    <row r="165">
      <c r="A165" t="inlineStr"/>
      <c r="B165" t="inlineStr">
        <is>
          <t>RNCP35934</t>
        </is>
      </c>
      <c r="C165" t="inlineStr">
        <is>
          <t>TP - Ouvrier du génie écologique</t>
        </is>
      </c>
      <c r="D165" s="37" t="inlineStr">
        <is>
          <t>À vérifier</t>
        </is>
      </c>
      <c r="E165" t="inlineStr">
        <is>
          <t>Échéance le 01/09/2026 (dans 33 j)</t>
        </is>
      </c>
      <c r="F165" t="inlineStr">
        <is>
          <t>RNCP35934</t>
        </is>
      </c>
      <c r="G165" t="inlineStr">
        <is>
          <t>Ouvrier du génie écologique</t>
        </is>
      </c>
      <c r="H165" t="inlineStr">
        <is>
          <t>12510 (Aménagement gestion rivière) ; 12549 (Conservation littoral) ; 12526 (Réhabilitation écologique)</t>
        </is>
      </c>
      <c r="I165" t="inlineStr">
        <is>
          <t>01/09/2026</t>
        </is>
      </c>
    </row>
    <row r="166">
      <c r="A166" t="inlineStr"/>
      <c r="B166" t="inlineStr">
        <is>
          <t>RNCP35937</t>
        </is>
      </c>
      <c r="C166" t="inlineStr">
        <is>
          <t>TP - Agent de fabrication et montage en chaudronnerie</t>
        </is>
      </c>
      <c r="D166" s="37" t="inlineStr">
        <is>
          <t>À vérifier</t>
        </is>
      </c>
      <c r="E166" t="inlineStr">
        <is>
          <t>Échéance le 08/10/2026 (dans 70 j)</t>
        </is>
      </c>
      <c r="F166" t="inlineStr">
        <is>
          <t>RNCP35937</t>
        </is>
      </c>
      <c r="G166" t="inlineStr">
        <is>
          <t>Agent de fabrication et montage en chaudronnerie</t>
        </is>
      </c>
      <c r="H166" t="inlineStr">
        <is>
          <t>23083 (Chaudronnerie) ; 22387 (Construction métallique) ; 23016 (Soudage MIG MAG)</t>
        </is>
      </c>
      <c r="I166" t="inlineStr">
        <is>
          <t>08/10/2026</t>
        </is>
      </c>
    </row>
    <row r="167">
      <c r="A167" t="inlineStr"/>
      <c r="B167" t="inlineStr">
        <is>
          <t>RNCP35959</t>
        </is>
      </c>
      <c r="C167" t="inlineStr">
        <is>
          <t>Développeur web</t>
        </is>
      </c>
      <c r="D167" s="37" t="inlineStr">
        <is>
          <t>À vérifier</t>
        </is>
      </c>
      <c r="E167" t="inlineStr">
        <is>
          <t>Échéance le 15/10/2026 (dans 77 j)</t>
        </is>
      </c>
      <c r="F167" t="inlineStr">
        <is>
          <t>RNCP35959</t>
        </is>
      </c>
      <c r="G167" t="inlineStr">
        <is>
          <t>Développeur web</t>
        </is>
      </c>
      <c r="H167" t="inlineStr">
        <is>
          <t>31090 (Développement web) ; 46341 (Communication externe) ; 46359 (Réseau social) ; 30805 (Langage PHP)</t>
        </is>
      </c>
      <c r="I167" t="inlineStr">
        <is>
          <t>15/10/2026</t>
        </is>
      </c>
    </row>
    <row r="168">
      <c r="A168" t="inlineStr"/>
      <c r="B168" t="inlineStr">
        <is>
          <t>RNCP35974</t>
        </is>
      </c>
      <c r="C168" t="inlineStr">
        <is>
          <t>CAP - Menuisier installateur</t>
        </is>
      </c>
      <c r="D168" s="37" t="inlineStr">
        <is>
          <t>À vérifier</t>
        </is>
      </c>
      <c r="E168" t="inlineStr">
        <is>
          <t>Successeur déjà publié : RNCP41836 (Menuisier installateur) — préparer la bascule de l'offre CPF | Échéance le 31/08/2026 (dans 32 j)</t>
        </is>
      </c>
      <c r="F168" t="inlineStr">
        <is>
          <t>RNCP41836</t>
        </is>
      </c>
      <c r="G168" t="inlineStr">
        <is>
          <t>Menuisier installateur</t>
        </is>
      </c>
      <c r="H168" t="inlineStr">
        <is>
          <t>22404 (Menuiserie agencement) ; 22416 (Menuiserie bois)</t>
        </is>
      </c>
      <c r="I168" t="inlineStr">
        <is>
          <t>31/08/2026</t>
        </is>
      </c>
    </row>
    <row r="169">
      <c r="A169" t="inlineStr"/>
      <c r="B169" t="inlineStr">
        <is>
          <t>RNCP35988</t>
        </is>
      </c>
      <c r="C169" t="inlineStr">
        <is>
          <t>CQP Opérateur de levage et manutention complexe en milieu industriel</t>
        </is>
      </c>
      <c r="D169" s="37" t="inlineStr">
        <is>
          <t>À vérifier</t>
        </is>
      </c>
      <c r="E169" t="inlineStr">
        <is>
          <t>Échéance le 15/10/2026 (dans 77 j)</t>
        </is>
      </c>
      <c r="F169" t="inlineStr">
        <is>
          <t>RNCP35988</t>
        </is>
      </c>
      <c r="G169" t="inlineStr">
        <is>
          <t>CQP Opérateur de levage et manutention complexe en milieu industriel</t>
        </is>
      </c>
      <c r="H169" t="inlineStr">
        <is>
          <t>31747 (Engin manutention levage)</t>
        </is>
      </c>
      <c r="I169" t="inlineStr">
        <is>
          <t>15/10/2026</t>
        </is>
      </c>
    </row>
    <row r="170">
      <c r="A170" t="inlineStr"/>
      <c r="B170" t="inlineStr">
        <is>
          <t>RNCP35992</t>
        </is>
      </c>
      <c r="C170" t="inlineStr">
        <is>
          <t>TP - Employé technicien-vendeur en matériel de sport</t>
        </is>
      </c>
      <c r="D170" s="37" t="inlineStr">
        <is>
          <t>À vérifier</t>
        </is>
      </c>
      <c r="E170" t="inlineStr">
        <is>
          <t>Échéance le 13/10/2026 (dans 75 j)</t>
        </is>
      </c>
      <c r="F170" t="inlineStr">
        <is>
          <t>RNCP35992</t>
        </is>
      </c>
      <c r="G170" t="inlineStr">
        <is>
          <t>Employé technicien-vendeur en matériel de sport</t>
        </is>
      </c>
      <c r="H170" t="inlineStr">
        <is>
          <t>15447 (Matériel sport)</t>
        </is>
      </c>
      <c r="I170" t="inlineStr">
        <is>
          <t>13/10/2026</t>
        </is>
      </c>
    </row>
    <row r="171">
      <c r="A171" t="inlineStr"/>
      <c r="B171" t="inlineStr">
        <is>
          <t>RNCP36004</t>
        </is>
      </c>
      <c r="C171" t="inlineStr">
        <is>
          <t>DE - Accompagnant éducatif et social</t>
        </is>
      </c>
      <c r="D171" s="37" t="inlineStr">
        <is>
          <t>À vérifier</t>
        </is>
      </c>
      <c r="E171" t="inlineStr">
        <is>
          <t>Successeur déjà publié : RNCP42423 (Accompagnant éducatif et social) — préparer la bascule de l'offre CPF | Échéance le 01/09/2026 (dans 33 j)</t>
        </is>
      </c>
      <c r="F171" t="inlineStr">
        <is>
          <t>RNCP42423</t>
        </is>
      </c>
      <c r="G171" t="inlineStr">
        <is>
          <t>Accompagnant éducatif et social</t>
        </is>
      </c>
      <c r="H171" t="inlineStr">
        <is>
          <t>44028 (Accompagnement éducatif et social) ; 44079 (Animation personne handicapée) ; 44089 (Animation personne âgée)</t>
        </is>
      </c>
      <c r="I171" t="inlineStr">
        <is>
          <t>01/09/2026</t>
        </is>
      </c>
    </row>
    <row r="172">
      <c r="A172" t="inlineStr"/>
      <c r="B172" t="inlineStr">
        <is>
          <t>RNCP36012</t>
        </is>
      </c>
      <c r="C172" t="inlineStr">
        <is>
          <t>Manager de l'assurance</t>
        </is>
      </c>
      <c r="D172" s="37" t="inlineStr">
        <is>
          <t>À vérifier</t>
        </is>
      </c>
      <c r="E172" t="inlineStr">
        <is>
          <t>Échéance le 10/11/2026 (dans 103 j)</t>
        </is>
      </c>
      <c r="F172" t="inlineStr">
        <is>
          <t>RNCP36012</t>
        </is>
      </c>
      <c r="G172" t="inlineStr">
        <is>
          <t>Manager de l'assurance</t>
        </is>
      </c>
      <c r="H172" t="inlineStr">
        <is>
          <t>41036 (Assurance)</t>
        </is>
      </c>
      <c r="I172" t="inlineStr">
        <is>
          <t>10/11/2026</t>
        </is>
      </c>
    </row>
    <row r="173">
      <c r="A173" t="inlineStr"/>
      <c r="B173" t="inlineStr">
        <is>
          <t>RNCP36019</t>
        </is>
      </c>
      <c r="C173" t="inlineStr">
        <is>
          <t>CQP  Retoucheur tôle nue sur ligne de fabrication de véhicules</t>
        </is>
      </c>
      <c r="D173" s="37" t="inlineStr">
        <is>
          <t>À vérifier</t>
        </is>
      </c>
      <c r="E173" t="inlineStr">
        <is>
          <t>Échéance le 10/11/2026 (dans 103 j)</t>
        </is>
      </c>
      <c r="F173" t="inlineStr">
        <is>
          <t>RNCP36019</t>
        </is>
      </c>
      <c r="G173" t="inlineStr">
        <is>
          <t>CQP Retoucheur tôle nue sur ligne de fabrication de véhicules</t>
        </is>
      </c>
      <c r="H173" t="inlineStr">
        <is>
          <t>23617 (Carrosserie)</t>
        </is>
      </c>
      <c r="I173" t="inlineStr">
        <is>
          <t>10/11/2026</t>
        </is>
      </c>
    </row>
    <row r="174">
      <c r="A174" t="inlineStr"/>
      <c r="B174" t="inlineStr">
        <is>
          <t>RNCP36061</t>
        </is>
      </c>
      <c r="C174" t="inlineStr">
        <is>
          <t>TP - Administrateur système DevOps</t>
        </is>
      </c>
      <c r="D174" s="37" t="inlineStr">
        <is>
          <t>À vérifier</t>
        </is>
      </c>
      <c r="E174" t="inlineStr">
        <is>
          <t>Successeur déjà publié : RNCP42532 (Administrateur système DevOps) — préparer la bascule de l'offre CPF | Échéance le 30/11/2026 (dans 123 j)</t>
        </is>
      </c>
      <c r="F174" t="inlineStr">
        <is>
          <t>RNCP42532</t>
        </is>
      </c>
      <c r="G174" t="inlineStr">
        <is>
          <t>Administrateur système DevOps</t>
        </is>
      </c>
      <c r="H174" t="inlineStr">
        <is>
          <t>31034 (Administration système) ; 31021 (Linux) ; 31011 (Cloud Computing) ; 30812 (Langage Python)</t>
        </is>
      </c>
      <c r="I174" t="inlineStr">
        <is>
          <t>30/11/2026</t>
        </is>
      </c>
    </row>
    <row r="175">
      <c r="A175" t="inlineStr"/>
      <c r="B175" t="inlineStr">
        <is>
          <t>RNCP36073</t>
        </is>
      </c>
      <c r="C175" t="inlineStr">
        <is>
          <t>Responsable d’affaires immobilières</t>
        </is>
      </c>
      <c r="D175" s="37" t="inlineStr">
        <is>
          <t>À vérifier</t>
        </is>
      </c>
      <c r="E175" t="inlineStr">
        <is>
          <t>Échéance le 15/12/2026 (dans 138 j)</t>
        </is>
      </c>
      <c r="F175" t="inlineStr">
        <is>
          <t>RNCP36073</t>
        </is>
      </c>
      <c r="G175" t="inlineStr">
        <is>
          <t>Responsable d’affaires immobilières</t>
        </is>
      </c>
      <c r="H175" t="inlineStr">
        <is>
          <t>42158 (Commercialisation immobilière) ; 42133 (Gestion immobilière) ; 42184 (Agence immobilière)</t>
        </is>
      </c>
      <c r="I175" t="inlineStr">
        <is>
          <t>15/12/2026</t>
        </is>
      </c>
    </row>
    <row r="176">
      <c r="A176" t="inlineStr"/>
      <c r="B176" t="inlineStr">
        <is>
          <t>RNCP36074</t>
        </is>
      </c>
      <c r="C176" t="inlineStr">
        <is>
          <t>Expert conseil en gestion de patrimoine</t>
        </is>
      </c>
      <c r="D176" s="37" t="inlineStr">
        <is>
          <t>À vérifier</t>
        </is>
      </c>
      <c r="E176" t="inlineStr">
        <is>
          <t>Échéance le 15/12/2026 (dans 138 j)</t>
        </is>
      </c>
      <c r="F176" t="inlineStr">
        <is>
          <t>RNCP36074</t>
        </is>
      </c>
      <c r="G176" t="inlineStr">
        <is>
          <t>Expert conseil en gestion de patrimoine</t>
        </is>
      </c>
      <c r="H176" t="inlineStr">
        <is>
          <t>41014 (Gestion patrimoine)</t>
        </is>
      </c>
      <c r="I176" t="inlineStr">
        <is>
          <t>15/12/2026</t>
        </is>
      </c>
    </row>
    <row r="177">
      <c r="A177" t="inlineStr"/>
      <c r="B177" t="inlineStr">
        <is>
          <t>RNCP36085</t>
        </is>
      </c>
      <c r="C177" t="inlineStr">
        <is>
          <t>Technicien en pharmacie et cosmétique industrielles</t>
        </is>
      </c>
      <c r="D177" s="37" t="inlineStr">
        <is>
          <t>À vérifier</t>
        </is>
      </c>
      <c r="E177" t="inlineStr">
        <is>
          <t>Échéance le 15/12/2026 (dans 138 j)</t>
        </is>
      </c>
      <c r="F177" t="inlineStr">
        <is>
          <t>RNCP36085</t>
        </is>
      </c>
      <c r="G177" t="inlineStr">
        <is>
          <t>Technicien en pharmacie et cosmétique industrielles</t>
        </is>
      </c>
      <c r="H177" t="inlineStr">
        <is>
          <t>31620 (Conduite installation industrielle)</t>
        </is>
      </c>
      <c r="I177" t="inlineStr">
        <is>
          <t>15/12/2026</t>
        </is>
      </c>
    </row>
    <row r="178">
      <c r="A178" t="inlineStr"/>
      <c r="B178" t="inlineStr">
        <is>
          <t>RNCP36086</t>
        </is>
      </c>
      <c r="C178" t="inlineStr">
        <is>
          <t>CQP Ajusteur assembleur de structures aéronefs</t>
        </is>
      </c>
      <c r="D178" s="37" t="inlineStr">
        <is>
          <t>À vérifier</t>
        </is>
      </c>
      <c r="E178" t="inlineStr">
        <is>
          <t>Successeur déjà publié : RNCP42657 (CQP Ajusteur assembleur de structures aéronefs) — préparer la bascule de l'offre CPF | Échéance le 15/12/2026 (dans 138 j)</t>
        </is>
      </c>
      <c r="F178" t="inlineStr">
        <is>
          <t>RNCP42657</t>
        </is>
      </c>
      <c r="G178" t="inlineStr">
        <is>
          <t>CQP Ajusteur assembleur de structures aéronefs</t>
        </is>
      </c>
      <c r="H178" t="inlineStr">
        <is>
          <t>23035 (Montage assemblage)</t>
        </is>
      </c>
      <c r="I178" t="inlineStr">
        <is>
          <t>15/12/2026</t>
        </is>
      </c>
    </row>
    <row r="179">
      <c r="A179" t="inlineStr"/>
      <c r="B179" t="inlineStr">
        <is>
          <t>RNCP36112</t>
        </is>
      </c>
      <c r="C179" t="inlineStr">
        <is>
          <t>CAP - Menuisier fabricant</t>
        </is>
      </c>
      <c r="D179" s="37" t="inlineStr">
        <is>
          <t>À vérifier</t>
        </is>
      </c>
      <c r="E179" t="inlineStr">
        <is>
          <t>Successeur déjà publié : RNCP41835 (Menuisier fabricant) — préparer la bascule de l'offre CPF | Échéance le 31/08/2026 (dans 32 j)</t>
        </is>
      </c>
      <c r="F179" t="inlineStr">
        <is>
          <t>RNCP41835</t>
        </is>
      </c>
      <c r="G179" t="inlineStr">
        <is>
          <t>Menuisier fabricant</t>
        </is>
      </c>
      <c r="H179" t="inlineStr">
        <is>
          <t>22404 (Menuiserie agencement) ; 22416 (Menuiserie bois) ; 45019 (Ameublement)</t>
        </is>
      </c>
      <c r="I179" t="inlineStr">
        <is>
          <t>31/08/2026</t>
        </is>
      </c>
    </row>
    <row r="180">
      <c r="A180" t="inlineStr"/>
      <c r="B180" t="inlineStr">
        <is>
          <t>RNCP36255</t>
        </is>
      </c>
      <c r="C180" t="inlineStr">
        <is>
          <t>CAP - Assistant technique en instruments de musique options : Accordéon, Guitare, Instruments à vent, Piano</t>
        </is>
      </c>
      <c r="D180" s="37" t="inlineStr">
        <is>
          <t>À vérifier</t>
        </is>
      </c>
      <c r="E180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180" t="inlineStr">
        <is>
          <t>RNCP42419, RNCP42420, RNCP42421, RNCP42422</t>
        </is>
      </c>
      <c r="G180" t="inlineStr">
        <is>
          <t>Facture d'accordéons</t>
        </is>
      </c>
      <c r="H180" t="inlineStr">
        <is>
          <t>45583 (Facture instrumentale)</t>
        </is>
      </c>
      <c r="I180" t="inlineStr">
        <is>
          <t>31/08/2027</t>
        </is>
      </c>
    </row>
    <row r="181">
      <c r="A181" t="inlineStr"/>
      <c r="B181" t="inlineStr">
        <is>
          <t>RNCP36320</t>
        </is>
      </c>
      <c r="C181" t="inlineStr">
        <is>
          <t>DIPLOVIS - Ingénieur d'affaires</t>
        </is>
      </c>
      <c r="D181" s="37" t="inlineStr">
        <is>
          <t>À vérifier</t>
        </is>
      </c>
      <c r="E181" t="inlineStr">
        <is>
          <t>Successeur déjà publié : RNCP42246 (Ingénieur d'affaires) — préparer la bascule de l'offre CPF | Échéance le 31/08/2026 (dans 32 j)</t>
        </is>
      </c>
      <c r="F181" t="inlineStr">
        <is>
          <t>RNCP42246</t>
        </is>
      </c>
      <c r="G181" t="inlineStr">
        <is>
          <t>Ingénieur d'affaires</t>
        </is>
      </c>
      <c r="H181" t="inlineStr">
        <is>
          <t>34590 (Ingénieur d'affaires) ; 34254 (Commerce international) ; 34085 (Stratégie commerciale)</t>
        </is>
      </c>
      <c r="I181" t="inlineStr">
        <is>
          <t>31/08/2026</t>
        </is>
      </c>
    </row>
    <row r="182">
      <c r="A182" t="inlineStr"/>
      <c r="B182" t="inlineStr">
        <is>
          <t>RNCP36332</t>
        </is>
      </c>
      <c r="C182" t="inlineStr">
        <is>
          <t>CS - Maintenance des installations oléohydrauliques et pneumatiques</t>
        </is>
      </c>
      <c r="D182" s="37" t="inlineStr">
        <is>
          <t>À vérifier</t>
        </is>
      </c>
      <c r="E182" t="inlineStr">
        <is>
          <t>Successeur déjà publié : RNCP42136 (Maintenance des installations oléohydrauliques et pneumatiques) — préparer la bascule de l'offre CPF | Échéance le 31/08/2026 (dans 32 j)</t>
        </is>
      </c>
      <c r="F182" t="inlineStr">
        <is>
          <t>RNCP42136</t>
        </is>
      </c>
      <c r="G182" t="inlineStr">
        <is>
          <t>Maintenance des installations oléohydrauliques et pneumatiques</t>
        </is>
      </c>
      <c r="H182" t="inlineStr">
        <is>
          <t>23570 (Oléohydraulique) ; 23523 (Pneumatique) ; 24447 (Automatisme hydraulique) ; 24457 (Automatisme pneumatique) ; 23654 (Mécanique construction réparation)</t>
        </is>
      </c>
      <c r="I182" t="inlineStr">
        <is>
          <t>31/08/2026</t>
        </is>
      </c>
    </row>
    <row r="183">
      <c r="A183" t="inlineStr"/>
      <c r="B183" t="inlineStr">
        <is>
          <t>RNCP36334</t>
        </is>
      </c>
      <c r="C183" t="inlineStr">
        <is>
          <t>CS - Technicien des services à l'énergie</t>
        </is>
      </c>
      <c r="D183" s="37" t="inlineStr">
        <is>
          <t>À vérifier</t>
        </is>
      </c>
      <c r="E183" t="inlineStr">
        <is>
          <t>Successeur déjà publié : RNCP42138 (Technicien des services à l'énergie) — préparer la bascule de l'offre CPF | Échéance le 31/08/2026 (dans 32 j)</t>
        </is>
      </c>
      <c r="F183" t="inlineStr">
        <is>
          <t>RNCP42138</t>
        </is>
      </c>
      <c r="G183" t="inlineStr">
        <is>
          <t>Technicien des services à l'énergie</t>
        </is>
      </c>
      <c r="H183" t="inlineStr">
        <is>
          <t>24162 (Gestion énergie)</t>
        </is>
      </c>
      <c r="I183" t="inlineStr">
        <is>
          <t>31/08/2026</t>
        </is>
      </c>
    </row>
    <row r="184">
      <c r="A184" t="inlineStr"/>
      <c r="B184" t="inlineStr">
        <is>
          <t>RNCP36376</t>
        </is>
      </c>
      <c r="C184" t="inlineStr">
        <is>
          <t>CQP Opérateur en Maintenance Industrielle (CQPI)</t>
        </is>
      </c>
      <c r="D184" s="37" t="inlineStr">
        <is>
          <t>À vérifier</t>
        </is>
      </c>
      <c r="E184" t="inlineStr">
        <is>
          <t>Intitulé officiel différent : « Opérateur en Maintenance Industrielle »</t>
        </is>
      </c>
      <c r="F184" t="inlineStr">
        <is>
          <t>RNCP36376</t>
        </is>
      </c>
      <c r="G184" t="inlineStr">
        <is>
          <t>Opérateur en Maintenance Industrielle</t>
        </is>
      </c>
      <c r="H184" t="inlineStr">
        <is>
          <t>31624 (Maintenance industrielle)</t>
        </is>
      </c>
      <c r="I184" t="inlineStr">
        <is>
          <t>25/04/2027</t>
        </is>
      </c>
    </row>
    <row r="185">
      <c r="A185" t="inlineStr"/>
      <c r="B185" t="inlineStr">
        <is>
          <t>RNCP36683</t>
        </is>
      </c>
      <c r="C185" t="inlineStr">
        <is>
          <t>CAP - Doreur à la feuille ornemaniste</t>
        </is>
      </c>
      <c r="D185" s="37" t="inlineStr">
        <is>
          <t>À vérifier</t>
        </is>
      </c>
      <c r="E185" t="inlineStr">
        <is>
          <t>Successeur déjà publié : RNCP42112 (Doreur à la feuille ornemaniste) — préparer la bascule de l'offre CPF | Échéance le 31/08/2026 (dans 32 j)</t>
        </is>
      </c>
      <c r="F185" t="inlineStr">
        <is>
          <t>RNCP42112</t>
        </is>
      </c>
      <c r="G185" t="inlineStr">
        <is>
          <t>Doreur à la feuille ornemaniste</t>
        </is>
      </c>
      <c r="H185" t="inlineStr">
        <is>
          <t>45540 (Dorure art)</t>
        </is>
      </c>
      <c r="I185" t="inlineStr">
        <is>
          <t>31/08/2026</t>
        </is>
      </c>
    </row>
    <row r="186">
      <c r="A186" t="inlineStr"/>
      <c r="B186" t="inlineStr">
        <is>
          <t>RNCP36816</t>
        </is>
      </c>
      <c r="C186" t="inlineStr">
        <is>
          <t>CS - Opérateur polyvalent en interventions subaquatiques</t>
        </is>
      </c>
      <c r="D186" s="37" t="inlineStr">
        <is>
          <t>À vérifier</t>
        </is>
      </c>
      <c r="E186" t="inlineStr">
        <is>
          <t>Successeur déjà publié : RNCP42401 (Opérateur polyvalent en interventions subaquatiques) — préparer la bascule de l'offre CPF | Échéance le 31/08/2026 (dans 32 j)</t>
        </is>
      </c>
      <c r="F186" t="inlineStr">
        <is>
          <t>RNCP42401</t>
        </is>
      </c>
      <c r="G186" t="inlineStr">
        <is>
          <t>Opérateur polyvalent en interventions subaquatiques</t>
        </is>
      </c>
      <c r="H186" t="inlineStr">
        <is>
          <t>22067 (Travaux immergés) ; 15480 (Plongée subaquatique)</t>
        </is>
      </c>
      <c r="I186" t="inlineStr">
        <is>
          <t>31/08/2026</t>
        </is>
      </c>
    </row>
    <row r="187">
      <c r="A187" t="inlineStr"/>
      <c r="B187" t="inlineStr">
        <is>
          <t>RNCP36842</t>
        </is>
      </c>
      <c r="C187" t="inlineStr">
        <is>
          <t>DIPLOVIS - Concepteur réalisateur de films d'animation</t>
        </is>
      </c>
      <c r="D187" s="37" t="inlineStr">
        <is>
          <t>À vérifier</t>
        </is>
      </c>
      <c r="E187" t="inlineStr">
        <is>
          <t>Successeur déjà publié : RNCP42219 (Concepteur et réalisateur de films d'animation) — préparer la bascule de l'offre CPF | Échéance le 31/08/2026 (dans 32 j)</t>
        </is>
      </c>
      <c r="F187" t="inlineStr">
        <is>
          <t>RNCP42219</t>
        </is>
      </c>
      <c r="G187" t="inlineStr">
        <is>
          <t>Concepteur et réalisateur de films d'animation</t>
        </is>
      </c>
      <c r="H187" t="inlineStr">
        <is>
          <t>46276 (Film animation) ; 46251 (Jeu vidéo)</t>
        </is>
      </c>
      <c r="I187" t="inlineStr">
        <is>
          <t>31/08/2026</t>
        </is>
      </c>
    </row>
    <row r="188">
      <c r="A188" t="inlineStr"/>
      <c r="B188" t="inlineStr">
        <is>
          <t>RNCP36969</t>
        </is>
      </c>
      <c r="C188" t="inlineStr">
        <is>
          <t>BTS - Mécatronique navale</t>
        </is>
      </c>
      <c r="D188" s="37" t="inlineStr">
        <is>
          <t>À vérifier</t>
        </is>
      </c>
      <c r="E188" t="inlineStr">
        <is>
          <t>Successeur déjà publié : RNCP42587 (Mécatronique navale) — préparer la bascule de l'offre CPF</t>
        </is>
      </c>
      <c r="F188" t="inlineStr">
        <is>
          <t>RNCP42587</t>
        </is>
      </c>
      <c r="G188" t="inlineStr">
        <is>
          <t>Mécatronique navale</t>
        </is>
      </c>
      <c r="H188" t="inlineStr">
        <is>
          <t>23610 (Mécanique navale) ; 24424 (Mécatronique)</t>
        </is>
      </c>
      <c r="I188" t="inlineStr">
        <is>
          <t>31/08/2027</t>
        </is>
      </c>
    </row>
    <row r="189">
      <c r="A189" t="inlineStr"/>
      <c r="B189" t="inlineStr">
        <is>
          <t>RNCP37234</t>
        </is>
      </c>
      <c r="C189" t="inlineStr">
        <is>
          <t>Certificat de spécialisation - Essayage retouche vente</t>
        </is>
      </c>
      <c r="D189" s="37" t="inlineStr">
        <is>
          <t>À vérifier</t>
        </is>
      </c>
      <c r="E189" t="inlineStr">
        <is>
          <t>Successeur déjà publié : RNCP42121 (Essayage retouche vente) — préparer la bascule de l'offre CPF | Échéance le 31/08/2026 (dans 32 j)</t>
        </is>
      </c>
      <c r="F189" t="inlineStr">
        <is>
          <t>RNCP42121</t>
        </is>
      </c>
      <c r="G189" t="inlineStr">
        <is>
          <t>Essayage retouche vente</t>
        </is>
      </c>
      <c r="H189" t="inlineStr">
        <is>
          <t>21766 (Essayage retouche)</t>
        </is>
      </c>
      <c r="I189" t="inlineStr">
        <is>
          <t>31/08/2026</t>
        </is>
      </c>
    </row>
    <row r="190">
      <c r="A190" t="inlineStr"/>
      <c r="B190" t="inlineStr">
        <is>
          <t>RNCP37244</t>
        </is>
      </c>
      <c r="C190" t="inlineStr">
        <is>
          <t>CAP - Métiers de la mode chapelier modiste</t>
        </is>
      </c>
      <c r="D190" s="37" t="inlineStr">
        <is>
          <t>À vérifier</t>
        </is>
      </c>
      <c r="E190" t="inlineStr">
        <is>
          <t>Successeur déjà publié : RNCP42123 (Métiers de la mode chapelier modiste) — préparer la bascule de l'offre CPF | Échéance le 31/08/2026 (dans 32 j)</t>
        </is>
      </c>
      <c r="F190" t="inlineStr">
        <is>
          <t>RNCP42123</t>
        </is>
      </c>
      <c r="G190" t="inlineStr">
        <is>
          <t>Métiers de la mode chapelier modiste</t>
        </is>
      </c>
      <c r="H190" t="inlineStr">
        <is>
          <t>21752 (Accessoire mode)</t>
        </is>
      </c>
      <c r="I190" t="inlineStr">
        <is>
          <t>31/08/2026</t>
        </is>
      </c>
    </row>
    <row r="191">
      <c r="A191" t="inlineStr"/>
      <c r="B191" t="inlineStr">
        <is>
          <t>RNCP37245</t>
        </is>
      </c>
      <c r="C191" t="inlineStr">
        <is>
          <t>CAP - Métiers de la mode vêtement flou</t>
        </is>
      </c>
      <c r="D191" s="37" t="inlineStr">
        <is>
          <t>À vérifier</t>
        </is>
      </c>
      <c r="E191" t="inlineStr">
        <is>
          <t>Successeur déjà publié : RNCP42124 (Métiers de la mode vêtement flou) — préparer la bascule de l'offre CPF | Échéance le 31/08/2026 (dans 32 j)</t>
        </is>
      </c>
      <c r="F191" t="inlineStr">
        <is>
          <t>RNCP42124</t>
        </is>
      </c>
      <c r="G191" t="inlineStr">
        <is>
          <t>Métiers de la mode vêtement flou</t>
        </is>
      </c>
      <c r="H191" t="inlineStr">
        <is>
          <t>21759 (Couture flou)</t>
        </is>
      </c>
      <c r="I191" t="inlineStr">
        <is>
          <t>31/08/2026</t>
        </is>
      </c>
    </row>
    <row r="192">
      <c r="A192" t="inlineStr"/>
      <c r="B192" t="inlineStr">
        <is>
          <t>RNCP37246</t>
        </is>
      </c>
      <c r="C192" t="inlineStr">
        <is>
          <t>CAP - Métiers de la mode vêtement tailleur</t>
        </is>
      </c>
      <c r="D192" s="37" t="inlineStr">
        <is>
          <t>À vérifier</t>
        </is>
      </c>
      <c r="E192" t="inlineStr">
        <is>
          <t>Successeur déjà publié : RNCP42125 (Métiers de la mode vêtement tailleur) — préparer la bascule de l'offre CPF | Échéance le 31/08/2026 (dans 32 j)</t>
        </is>
      </c>
      <c r="F192" t="inlineStr">
        <is>
          <t>RNCP42125</t>
        </is>
      </c>
      <c r="G192" t="inlineStr">
        <is>
          <t>Métiers de la mode vêtement tailleur</t>
        </is>
      </c>
      <c r="H192" t="inlineStr">
        <is>
          <t>21779 (Couture tailleur)</t>
        </is>
      </c>
      <c r="I192" t="inlineStr">
        <is>
          <t>31/08/2026</t>
        </is>
      </c>
    </row>
    <row r="193">
      <c r="A193" t="inlineStr"/>
      <c r="B193" t="inlineStr">
        <is>
          <t>RNCP37250</t>
        </is>
      </c>
      <c r="C193" t="inlineStr">
        <is>
          <t>CAP - Vêtement de peau</t>
        </is>
      </c>
      <c r="D193" s="37" t="inlineStr">
        <is>
          <t>À vérifier</t>
        </is>
      </c>
      <c r="E193" t="inlineStr">
        <is>
          <t>Successeur déjà publié : RNCP42126 (Vêtement de peau) — préparer la bascule de l'offre CPF | Échéance le 31/08/2026 (dans 32 j)</t>
        </is>
      </c>
      <c r="F193" t="inlineStr">
        <is>
          <t>RNCP42126</t>
        </is>
      </c>
      <c r="G193" t="inlineStr">
        <is>
          <t>Vêtement de peau</t>
        </is>
      </c>
      <c r="H193" t="inlineStr">
        <is>
          <t>21886 (Vêtement cuir)</t>
        </is>
      </c>
      <c r="I193" t="inlineStr">
        <is>
          <t>31/08/2026</t>
        </is>
      </c>
    </row>
    <row r="194">
      <c r="A194" t="inlineStr"/>
      <c r="B194" t="inlineStr">
        <is>
          <t>RNCP37251</t>
        </is>
      </c>
      <c r="C194" t="inlineStr">
        <is>
          <t>Certificat d'aptitude professionnelle - Cordonnerie multiservice</t>
        </is>
      </c>
      <c r="D194" s="37" t="inlineStr">
        <is>
          <t>À vérifier</t>
        </is>
      </c>
      <c r="E194" t="inlineStr">
        <is>
          <t>Successeur déjà publié : RNCP42122 (Cordonnerie multiservice) — préparer la bascule de l'offre CPF | Échéance le 31/08/2026 (dans 32 j)</t>
        </is>
      </c>
      <c r="F194" t="inlineStr">
        <is>
          <t>RNCP42122</t>
        </is>
      </c>
      <c r="G194" t="inlineStr">
        <is>
          <t>Cordonnerie multiservice</t>
        </is>
      </c>
      <c r="H194" t="inlineStr">
        <is>
          <t>21889 (Cordonnerie réparation)</t>
        </is>
      </c>
      <c r="I194" t="inlineStr">
        <is>
          <t>31/08/2026</t>
        </is>
      </c>
    </row>
    <row r="195">
      <c r="A195" t="inlineStr"/>
      <c r="B195" t="inlineStr">
        <is>
          <t>RNCP37310</t>
        </is>
      </c>
      <c r="C195" t="inlineStr">
        <is>
          <t>BP - Boucher</t>
        </is>
      </c>
      <c r="D195" s="37" t="inlineStr">
        <is>
          <t>À vérifier</t>
        </is>
      </c>
      <c r="E195" t="inlineStr">
        <is>
          <t>Successeur déjà publié : RNCP42129 (Boucher) — préparer la bascule de l'offre CPF | Échéance le 31/08/2026 (dans 32 j)</t>
        </is>
      </c>
      <c r="F195" t="inlineStr">
        <is>
          <t>RNCP42129</t>
        </is>
      </c>
      <c r="G195" t="inlineStr">
        <is>
          <t>Boucher</t>
        </is>
      </c>
      <c r="H195" t="inlineStr">
        <is>
          <t>34525 (Vente produit alimentaire)</t>
        </is>
      </c>
      <c r="I195" t="inlineStr">
        <is>
          <t>31/08/2026</t>
        </is>
      </c>
    </row>
    <row r="196">
      <c r="A196" t="inlineStr"/>
      <c r="B196" t="inlineStr">
        <is>
          <t>RNCP37313</t>
        </is>
      </c>
      <c r="C196" t="inlineStr">
        <is>
          <t>CS - Boulangerie spécialisée</t>
        </is>
      </c>
      <c r="D196" s="37" t="inlineStr">
        <is>
          <t>À vérifier</t>
        </is>
      </c>
      <c r="E196" t="inlineStr">
        <is>
          <t>Successeur déjà publié : RNCP42130 (Boulangerie spécialisée) — préparer la bascule de l'offre CPF | Échéance le 31/08/2026 (dans 32 j)</t>
        </is>
      </c>
      <c r="F196" t="inlineStr">
        <is>
          <t>RNCP42130</t>
        </is>
      </c>
      <c r="G196" t="inlineStr">
        <is>
          <t>Boulangerie spécialisée</t>
        </is>
      </c>
      <c r="H196" t="inlineStr">
        <is>
          <t>21539 (Spécialisation boulangerie)</t>
        </is>
      </c>
      <c r="I196" t="inlineStr">
        <is>
          <t>31/08/2026</t>
        </is>
      </c>
    </row>
    <row r="197">
      <c r="A197" t="inlineStr"/>
      <c r="B197" t="inlineStr">
        <is>
          <t>RNCP37383</t>
        </is>
      </c>
      <c r="C197" t="inlineStr">
        <is>
          <t>CAP - Poissonnier- écailler</t>
        </is>
      </c>
      <c r="D197" s="37" t="inlineStr">
        <is>
          <t>À vérifier</t>
        </is>
      </c>
      <c r="E197" t="inlineStr">
        <is>
          <t>Successeur déjà publié : RNCP42137 (Poissonnier écailler) — préparer la bascule de l'offre CPF | Échéance le 31/08/2026 (dans 32 j)</t>
        </is>
      </c>
      <c r="F197" t="inlineStr">
        <is>
          <t>RNCP42137</t>
        </is>
      </c>
      <c r="G197" t="inlineStr">
        <is>
          <t>Poissonnier écailler</t>
        </is>
      </c>
      <c r="H197" t="inlineStr">
        <is>
          <t>21567 (Transformation produits de la mer) ; 34506 (Vente produit mer)</t>
        </is>
      </c>
      <c r="I197" t="inlineStr">
        <is>
          <t>31/08/2026</t>
        </is>
      </c>
    </row>
    <row r="198">
      <c r="A198" t="inlineStr"/>
      <c r="B198" t="inlineStr">
        <is>
          <t>RNCP37491</t>
        </is>
      </c>
      <c r="C198" t="inlineStr">
        <is>
          <t>BP - Boulanger</t>
        </is>
      </c>
      <c r="D198" s="37" t="inlineStr">
        <is>
          <t>À vérifier</t>
        </is>
      </c>
      <c r="E198" t="inlineStr">
        <is>
          <t>Successeur déjà publié : RNCP41937 (Boulanger) — préparer la bascule de l'offre CPF | Échéance le 31/08/2026 (dans 32 j)</t>
        </is>
      </c>
      <c r="F198" t="inlineStr">
        <is>
          <t>RNCP41937</t>
        </is>
      </c>
      <c r="G198" t="inlineStr">
        <is>
          <t>Boulanger</t>
        </is>
      </c>
      <c r="H198" t="inlineStr">
        <is>
          <t>21538 (Boulangerie)</t>
        </is>
      </c>
      <c r="I198" t="inlineStr">
        <is>
          <t>31/08/2026</t>
        </is>
      </c>
    </row>
    <row r="199">
      <c r="A199" t="inlineStr"/>
      <c r="B199" t="inlineStr">
        <is>
          <t>RNCP37492</t>
        </is>
      </c>
      <c r="C199" t="inlineStr">
        <is>
          <t>Brevet professionnel - barman</t>
        </is>
      </c>
      <c r="D199" s="37" t="inlineStr">
        <is>
          <t>À vérifier</t>
        </is>
      </c>
      <c r="E199" t="inlineStr">
        <is>
          <t>Échéance le 31/08/2026 (dans 32 j)</t>
        </is>
      </c>
      <c r="F199" t="inlineStr">
        <is>
          <t>RNCP37492</t>
        </is>
      </c>
      <c r="G199" t="inlineStr">
        <is>
          <t>barman</t>
        </is>
      </c>
      <c r="H199" t="inlineStr">
        <is>
          <t>42757 (Service salle) ; 42723 (Bar)</t>
        </is>
      </c>
      <c r="I199" t="inlineStr">
        <is>
          <t>31/08/2026</t>
        </is>
      </c>
    </row>
    <row r="200">
      <c r="A200" t="inlineStr"/>
      <c r="B200" t="inlineStr">
        <is>
          <t>RNCP37534</t>
        </is>
      </c>
      <c r="C200" t="inlineStr">
        <is>
          <t>Certificat d'aptitude professionnelle - Glacier fabricant</t>
        </is>
      </c>
      <c r="D200" s="37" t="inlineStr">
        <is>
          <t>À vérifier</t>
        </is>
      </c>
      <c r="E200" t="inlineStr">
        <is>
          <t>Successeur déjà publié : RNCP41941 (Glacier fabricant) — préparer la bascule de l'offre CPF | Échéance le 31/08/2026 (dans 32 j)</t>
        </is>
      </c>
      <c r="F200" t="inlineStr">
        <is>
          <t>RNCP41941</t>
        </is>
      </c>
      <c r="G200" t="inlineStr">
        <is>
          <t>Glacier fabricant</t>
        </is>
      </c>
      <c r="H200" t="inlineStr">
        <is>
          <t>21529 (Glacerie)</t>
        </is>
      </c>
      <c r="I200" t="inlineStr">
        <is>
          <t>31/08/2026</t>
        </is>
      </c>
    </row>
    <row r="201">
      <c r="A201" t="inlineStr"/>
      <c r="B201" t="inlineStr">
        <is>
          <t>RNCP37536</t>
        </is>
      </c>
      <c r="C201" t="inlineStr">
        <is>
          <t>Certificat d'aptitude professionnelle - Mareyage</t>
        </is>
      </c>
      <c r="D201" s="37" t="inlineStr">
        <is>
          <t>À vérifier</t>
        </is>
      </c>
      <c r="E201" t="inlineStr">
        <is>
          <t>Successeur déjà publié : RNCP42116 (Mareyage) — préparer la bascule de l'offre CPF | Échéance le 31/08/2026 (dans 32 j)</t>
        </is>
      </c>
      <c r="F201" t="inlineStr">
        <is>
          <t>RNCP42116</t>
        </is>
      </c>
      <c r="G201" t="inlineStr">
        <is>
          <t>Mareyage</t>
        </is>
      </c>
      <c r="H201" t="inlineStr">
        <is>
          <t>21376 (Mareyage) ; 21567 (Transformation produits de la mer) ; 21347 (Aquaculture)</t>
        </is>
      </c>
      <c r="I201" t="inlineStr">
        <is>
          <t>31/08/2026</t>
        </is>
      </c>
    </row>
    <row r="202">
      <c r="A202" t="inlineStr"/>
      <c r="B202" t="inlineStr">
        <is>
          <t>RNCP37537</t>
        </is>
      </c>
      <c r="C202" t="inlineStr">
        <is>
          <t>CAP - Boulanger</t>
        </is>
      </c>
      <c r="D202" s="37" t="inlineStr">
        <is>
          <t>À vérifier</t>
        </is>
      </c>
      <c r="E202" t="inlineStr">
        <is>
          <t>Successeur déjà publié : RNCP42115 (Boulanger) — préparer la bascule de l'offre CPF | Échéance le 31/08/2026 (dans 32 j)</t>
        </is>
      </c>
      <c r="F202" t="inlineStr">
        <is>
          <t>RNCP42115</t>
        </is>
      </c>
      <c r="G202" t="inlineStr">
        <is>
          <t>Boulanger</t>
        </is>
      </c>
      <c r="H202" t="inlineStr">
        <is>
          <t>21538 (Boulangerie)</t>
        </is>
      </c>
      <c r="I202" t="inlineStr">
        <is>
          <t>31/08/2026</t>
        </is>
      </c>
    </row>
    <row r="203">
      <c r="A203" t="inlineStr"/>
      <c r="B203" t="inlineStr">
        <is>
          <t>RNCP37566</t>
        </is>
      </c>
      <c r="C203" t="inlineStr">
        <is>
          <t>CS - Employé traiteur</t>
        </is>
      </c>
      <c r="D203" s="37" t="inlineStr">
        <is>
          <t>À vérifier</t>
        </is>
      </c>
      <c r="E203" t="inlineStr">
        <is>
          <t>Successeur déjà publié : RNCP41939 (Fabrication traiteur) — préparer la bascule de l'offre CPF | Échéance le 31/08/2026 (dans 32 j)</t>
        </is>
      </c>
      <c r="F203" t="inlineStr">
        <is>
          <t>RNCP41939</t>
        </is>
      </c>
      <c r="G203" t="inlineStr">
        <is>
          <t>Fabrication traiteur</t>
        </is>
      </c>
      <c r="H203" t="inlineStr">
        <is>
          <t>21576 (Traiteur)</t>
        </is>
      </c>
      <c r="I203" t="inlineStr">
        <is>
          <t>31/08/2026</t>
        </is>
      </c>
    </row>
    <row r="204">
      <c r="A204" t="inlineStr"/>
      <c r="B204" t="inlineStr">
        <is>
          <t>RNCP37572</t>
        </is>
      </c>
      <c r="C204" t="inlineStr">
        <is>
          <t>Grade_Licence - Sciences et Ingénierie - Transformation Numérique des Entreprises</t>
        </is>
      </c>
      <c r="D204" s="37" t="inlineStr">
        <is>
          <t>À vérifier</t>
        </is>
      </c>
      <c r="E204" t="inlineStr">
        <is>
          <t>Successeur déjà publié : RNCP42302 (Sciences et Ingénierie - Informatique et systèmes numériques) — préparer la bascule de l'offre CPF | Échéance le 31/08/2026 (dans 32 j)</t>
        </is>
      </c>
      <c r="F204" t="inlineStr">
        <is>
          <t>RNCP42302</t>
        </is>
      </c>
      <c r="G204" t="inlineStr">
        <is>
          <t>Sciences et Ingénierie - Informatique et systèmes numériques</t>
        </is>
      </c>
      <c r="H204" t="inlineStr">
        <is>
          <t>31054 (Informatique - Systèmes d’information et numérique) ; 24231 (Réseau informatique) ; 24454 (Automatisme informatique industrielle)</t>
        </is>
      </c>
      <c r="I204" t="inlineStr">
        <is>
          <t>31/08/2026</t>
        </is>
      </c>
    </row>
    <row r="205">
      <c r="A205" t="inlineStr"/>
      <c r="B205" t="inlineStr">
        <is>
          <t>RNCP37672</t>
        </is>
      </c>
      <c r="C205" t="inlineStr">
        <is>
          <t>CAP - Opérateur logistique</t>
        </is>
      </c>
      <c r="D205" s="37" t="inlineStr">
        <is>
          <t>À vérifier</t>
        </is>
      </c>
      <c r="E205" t="inlineStr">
        <is>
          <t>Successeur déjà publié : RNCP42142 (Opérateur logistique) ; RNCP42586 (Opérateur logistique) — préparer la bascule de l'offre CPF | Échéance le 31/08/2026 (dans 32 j)</t>
        </is>
      </c>
      <c r="F205" t="inlineStr">
        <is>
          <t>RNCP42142, RNCP42586</t>
        </is>
      </c>
      <c r="G205" t="inlineStr">
        <is>
          <t>Opérateur logistique</t>
        </is>
      </c>
      <c r="H205" t="inlineStr">
        <is>
          <t>31845 (Logistique) ; 31768 (Chariot automoteur) ; 31743 (Expédition)</t>
        </is>
      </c>
      <c r="I205" t="inlineStr">
        <is>
          <t>31/08/2026</t>
        </is>
      </c>
    </row>
    <row r="206">
      <c r="A206" t="inlineStr"/>
      <c r="B206" t="inlineStr">
        <is>
          <t>RNCP37675</t>
        </is>
      </c>
      <c r="C206" t="inlineStr">
        <is>
          <t>DE - Assistant de service social</t>
        </is>
      </c>
      <c r="D206" s="37" t="inlineStr">
        <is>
          <t>À vérifier</t>
        </is>
      </c>
      <c r="E206" t="inlineStr">
        <is>
          <t>Successeur déjà publié : RNCP41748 (Assistant de service social) — préparer la bascule de l'offre CPF | Échéance le 31/08/2026 (dans 32 j)</t>
        </is>
      </c>
      <c r="F206" t="inlineStr">
        <is>
          <t>RNCP41748</t>
        </is>
      </c>
      <c r="G206" t="inlineStr">
        <is>
          <t>Assistant de service social</t>
        </is>
      </c>
      <c r="H206" t="inlineStr">
        <is>
          <t>44083 (Assistance service social) ; 44056 (Travail social en réseau)</t>
        </is>
      </c>
      <c r="I206" t="inlineStr">
        <is>
          <t>31/08/2026</t>
        </is>
      </c>
    </row>
    <row r="207">
      <c r="A207" t="inlineStr"/>
      <c r="B207" t="inlineStr">
        <is>
          <t>RNCP37676</t>
        </is>
      </c>
      <c r="C207" t="inlineStr">
        <is>
          <t>DE - Educateur spécialisé</t>
        </is>
      </c>
      <c r="D207" s="37" t="inlineStr">
        <is>
          <t>À vérifier</t>
        </is>
      </c>
      <c r="E207" t="inlineStr">
        <is>
          <t>Successeur déjà publié : RNCP41747 (Educateur spécialisé) — préparer la bascule de l'offre CPF | Échéance le 31/08/2026 (dans 32 j)</t>
        </is>
      </c>
      <c r="F207" t="inlineStr">
        <is>
          <t>RNCP41747</t>
        </is>
      </c>
      <c r="G207" t="inlineStr">
        <is>
          <t>Educateur spécialisé</t>
        </is>
      </c>
      <c r="H207" t="inlineStr">
        <is>
          <t>44092 (Éducateur spécialisé)</t>
        </is>
      </c>
      <c r="I207" t="inlineStr">
        <is>
          <t>31/08/2026</t>
        </is>
      </c>
    </row>
    <row r="208">
      <c r="A208" t="inlineStr"/>
      <c r="B208" t="inlineStr">
        <is>
          <t>RNCP37677</t>
        </is>
      </c>
      <c r="C208" t="inlineStr">
        <is>
          <t>DE - Educateur technique spécialisé</t>
        </is>
      </c>
      <c r="D208" s="37" t="inlineStr">
        <is>
          <t>À vérifier</t>
        </is>
      </c>
      <c r="E208" t="inlineStr">
        <is>
          <t>Successeur déjà publié : RNCP41746 (Educateur technique spécialisé) — préparer la bascule de l'offre CPF | Échéance le 31/08/2026 (dans 32 j)</t>
        </is>
      </c>
      <c r="F208" t="inlineStr">
        <is>
          <t>RNCP41746</t>
        </is>
      </c>
      <c r="G208" t="inlineStr">
        <is>
          <t>Educateur technique spécialisé</t>
        </is>
      </c>
      <c r="H208" t="inlineStr">
        <is>
          <t>44072 (Travail social)</t>
        </is>
      </c>
      <c r="I208" t="inlineStr">
        <is>
          <t>31/08/2026</t>
        </is>
      </c>
    </row>
    <row r="209">
      <c r="A209" t="inlineStr"/>
      <c r="B209" t="inlineStr">
        <is>
          <t>RNCP37678</t>
        </is>
      </c>
      <c r="C209" t="inlineStr">
        <is>
          <t>DE - Conseiller en économie sociale familiale</t>
        </is>
      </c>
      <c r="D209" s="37" t="inlineStr">
        <is>
          <t>À vérifier</t>
        </is>
      </c>
      <c r="E209" t="inlineStr">
        <is>
          <t>Successeur déjà publié : RNCP42424 (Conseiller en économie sociale familiale) — préparer la bascule de l'offre CPF | Échéance le 31/08/2026 (dans 32 j)</t>
        </is>
      </c>
      <c r="F209" t="inlineStr">
        <is>
          <t>RNCP42424</t>
        </is>
      </c>
      <c r="G209" t="inlineStr">
        <is>
          <t>Conseiller en économie sociale familiale</t>
        </is>
      </c>
      <c r="H209" t="inlineStr">
        <is>
          <t>44084 (Économie sociale familiale)</t>
        </is>
      </c>
      <c r="I209" t="inlineStr">
        <is>
          <t>31/08/2026</t>
        </is>
      </c>
    </row>
    <row r="210">
      <c r="A210" t="inlineStr"/>
      <c r="B210" t="inlineStr">
        <is>
          <t>RNCP37679</t>
        </is>
      </c>
      <c r="C210" t="inlineStr">
        <is>
          <t>DE - Educateur de jeunes enfants</t>
        </is>
      </c>
      <c r="D210" s="37" t="inlineStr">
        <is>
          <t>À vérifier</t>
        </is>
      </c>
      <c r="E210" t="inlineStr">
        <is>
          <t>Successeur déjà publié : RNCP41745 (Educateur de jeunes enfants) — préparer la bascule de l'offre CPF | Échéance le 31/08/2026 (dans 32 j)</t>
        </is>
      </c>
      <c r="F210" t="inlineStr">
        <is>
          <t>RNCP41745</t>
        </is>
      </c>
      <c r="G210" t="inlineStr">
        <is>
          <t>Educateur de jeunes enfants</t>
        </is>
      </c>
      <c r="H210" t="inlineStr">
        <is>
          <t>44050 (Éducateur jeune enfant)</t>
        </is>
      </c>
      <c r="I210" t="inlineStr">
        <is>
          <t>31/08/2026</t>
        </is>
      </c>
    </row>
    <row r="211">
      <c r="A211" t="inlineStr"/>
      <c r="B211" t="inlineStr">
        <is>
          <t>RNCP37682</t>
        </is>
      </c>
      <c r="C211" t="inlineStr">
        <is>
          <t>TP - Technicien supérieur systèmes et réseaux</t>
        </is>
      </c>
      <c r="D211" s="37" t="inlineStr">
        <is>
          <t>À vérifier</t>
        </is>
      </c>
      <c r="E211" t="inlineStr">
        <is>
          <t>Successeur déjà publié : RNCP42463 (Technicien supérieur systèmes et réseaux) — préparer la bascule de l'offre CPF | Échéance le 01/09/2026 (dans 33 j)</t>
        </is>
      </c>
      <c r="F211" t="inlineStr">
        <is>
          <t>RNCP42463</t>
        </is>
      </c>
      <c r="G211" t="inlineStr">
        <is>
          <t>Technicien supérieur systèmes et réseaux</t>
        </is>
      </c>
      <c r="H211" t="inlineStr">
        <is>
          <t>31008 (Système information) ; 24231 (Réseau informatique)</t>
        </is>
      </c>
      <c r="I211" t="inlineStr">
        <is>
          <t>01/09/2026</t>
        </is>
      </c>
    </row>
    <row r="212">
      <c r="A212" t="inlineStr"/>
      <c r="B212" t="inlineStr">
        <is>
          <t>RNCP37707</t>
        </is>
      </c>
      <c r="C212" t="inlineStr">
        <is>
          <t>BTS - Métiers du géomètre-topographe et de la modélisation numérique</t>
        </is>
      </c>
      <c r="D212" s="37" t="inlineStr">
        <is>
          <t>À vérifier</t>
        </is>
      </c>
      <c r="E212" t="inlineStr">
        <is>
          <t>Successeur déjà publié : RNCP41848 (Métiers du géomètre-topographe et de la modélisation numérique) — préparer la bascule de l'offre CPF | Échéance le 31/08/2026 (dans 32 j)</t>
        </is>
      </c>
      <c r="F212" t="inlineStr">
        <is>
          <t>RNCP41848</t>
        </is>
      </c>
      <c r="G212" t="inlineStr">
        <is>
          <t>Métiers du géomètre-topographe et de la modélisation numérique</t>
        </is>
      </c>
      <c r="H212" t="inlineStr">
        <is>
          <t>11067 (Géométrie) ; 12225 (Topographie) ; 24289 (Photo interprétation)</t>
        </is>
      </c>
      <c r="I212" t="inlineStr">
        <is>
          <t>31/08/2026</t>
        </is>
      </c>
    </row>
    <row r="213">
      <c r="A213" t="inlineStr"/>
      <c r="B213" t="inlineStr">
        <is>
          <t>RNCP37719</t>
        </is>
      </c>
      <c r="C213" t="inlineStr">
        <is>
          <t>DIPLOVIS - Diplôme en management international de l'hôtellerie et de la restauration</t>
        </is>
      </c>
      <c r="D213" s="37" t="inlineStr">
        <is>
          <t>À vérifier</t>
        </is>
      </c>
      <c r="E213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F213" t="inlineStr">
        <is>
          <t>RNCP42709</t>
        </is>
      </c>
      <c r="G213" t="inlineStr">
        <is>
          <t>Diplôme en management international de l'hôtellerie, de la restauration et des vins et boissons</t>
        </is>
      </c>
      <c r="H213" t="inlineStr">
        <is>
          <t>32054 (Gestion des organisations) ; 42754 (Hôtellerie restauration) ; 42627 (Gestion entreprise touristique)</t>
        </is>
      </c>
      <c r="I213" t="inlineStr">
        <is>
          <t>31/08/2026</t>
        </is>
      </c>
    </row>
    <row r="214">
      <c r="A214" t="inlineStr"/>
      <c r="B214" t="inlineStr">
        <is>
          <t>RNCP37879</t>
        </is>
      </c>
      <c r="C214" t="inlineStr">
        <is>
          <t>TP - Opérateur en vidéoprotection et en télésurveillance</t>
        </is>
      </c>
      <c r="D214" s="37" t="inlineStr">
        <is>
          <t>À vérifier</t>
        </is>
      </c>
      <c r="E214" t="inlineStr">
        <is>
          <t>Échéance le 16/09/2026 (dans 48 j)</t>
        </is>
      </c>
      <c r="F214" t="inlineStr">
        <is>
          <t>RNCP37879</t>
        </is>
      </c>
      <c r="G214" t="inlineStr">
        <is>
          <t>Opérateur en vidéoprotection et en télésurveillance</t>
        </is>
      </c>
      <c r="H214" t="inlineStr">
        <is>
          <t>42801 (Télésurveillance)</t>
        </is>
      </c>
      <c r="I214" t="inlineStr">
        <is>
          <t>16/09/2026</t>
        </is>
      </c>
    </row>
    <row r="215">
      <c r="A215" t="inlineStr"/>
      <c r="B215" t="inlineStr">
        <is>
          <t>RNCP37897</t>
        </is>
      </c>
      <c r="C215" t="inlineStr">
        <is>
          <t>CAP - Métallier</t>
        </is>
      </c>
      <c r="D215" s="37" t="inlineStr">
        <is>
          <t>À vérifier</t>
        </is>
      </c>
      <c r="E215" t="inlineStr">
        <is>
          <t>Successeur déjà publié : RNCP41831 (Métallier) — préparer la bascule de l'offre CPF | Échéance le 31/08/2026 (dans 32 j)</t>
        </is>
      </c>
      <c r="F215" t="inlineStr">
        <is>
          <t>RNCP41831</t>
        </is>
      </c>
      <c r="G215" t="inlineStr">
        <is>
          <t>Métallier</t>
        </is>
      </c>
      <c r="H215" t="inlineStr">
        <is>
          <t>22478 (Métallerie serrurerie)</t>
        </is>
      </c>
      <c r="I215" t="inlineStr">
        <is>
          <t>31/08/2026</t>
        </is>
      </c>
    </row>
    <row r="216">
      <c r="A216" t="inlineStr"/>
      <c r="B216" t="inlineStr">
        <is>
          <t>RNCP37911</t>
        </is>
      </c>
      <c r="C216" t="inlineStr">
        <is>
          <t>BAC PRO - Etude et réalisation d'agencement</t>
        </is>
      </c>
      <c r="D216" s="37" t="inlineStr">
        <is>
          <t>À vérifier</t>
        </is>
      </c>
      <c r="E216" t="inlineStr">
        <is>
          <t>Successeur déjà publié : RNCP41837 (Etude et réalisation d'agencement) — préparer la bascule de l'offre CPF | Échéance le 31/08/2026 (dans 32 j)</t>
        </is>
      </c>
      <c r="F216" t="inlineStr">
        <is>
          <t>RNCP41837</t>
        </is>
      </c>
      <c r="G216" t="inlineStr">
        <is>
          <t>Etude et réalisation d'agencement</t>
        </is>
      </c>
      <c r="H216" t="inlineStr">
        <is>
          <t>45015 (Architecture intérieure) ; 22404 (Menuiserie agencement)</t>
        </is>
      </c>
      <c r="I216" t="inlineStr">
        <is>
          <t>31/08/2026</t>
        </is>
      </c>
    </row>
    <row r="217">
      <c r="A217" t="inlineStr"/>
      <c r="B217" t="inlineStr">
        <is>
          <t>RNCP37916</t>
        </is>
      </c>
      <c r="C217" t="inlineStr">
        <is>
          <t>BAC PRO - Technicien constructeur bois</t>
        </is>
      </c>
      <c r="D217" s="37" t="inlineStr">
        <is>
          <t>À vérifier</t>
        </is>
      </c>
      <c r="E217" t="inlineStr">
        <is>
          <t>Successeur déjà publié : RNCP41866 (Technicien constructeur bois) — préparer la bascule de l'offre CPF | Échéance le 31/08/2026 (dans 32 j)</t>
        </is>
      </c>
      <c r="F217" t="inlineStr">
        <is>
          <t>RNCP41866</t>
        </is>
      </c>
      <c r="G217" t="inlineStr">
        <is>
          <t>Technicien constructeur bois</t>
        </is>
      </c>
      <c r="H217" t="inlineStr">
        <is>
          <t>22396 (Construction bois) ; 22313 (Charpente bois)</t>
        </is>
      </c>
      <c r="I217" t="inlineStr">
        <is>
          <t>31/08/2026</t>
        </is>
      </c>
    </row>
    <row r="218">
      <c r="A218" t="inlineStr"/>
      <c r="B218" t="inlineStr">
        <is>
          <t>RNCP37917</t>
        </is>
      </c>
      <c r="C218" t="inlineStr">
        <is>
          <t>BAC PRO - Technicien menuisier agenceur</t>
        </is>
      </c>
      <c r="D218" s="37" t="inlineStr">
        <is>
          <t>À vérifier</t>
        </is>
      </c>
      <c r="E218" t="inlineStr">
        <is>
          <t>Successeur déjà publié : RNCP41867 (Technicien menuisier agenceur) — préparer la bascule de l'offre CPF | Échéance le 31/08/2026 (dans 32 j)</t>
        </is>
      </c>
      <c r="F218" t="inlineStr">
        <is>
          <t>RNCP41867</t>
        </is>
      </c>
      <c r="G218" t="inlineStr">
        <is>
          <t>Technicien menuisier agenceur</t>
        </is>
      </c>
      <c r="H218" t="inlineStr">
        <is>
          <t>22404 (Menuiserie agencement) ; 22416 (Menuiserie bois)</t>
        </is>
      </c>
      <c r="I218" t="inlineStr">
        <is>
          <t>31/08/2026</t>
        </is>
      </c>
    </row>
    <row r="219">
      <c r="A219" t="inlineStr"/>
      <c r="B219" t="inlineStr">
        <is>
          <t>RNCP37919</t>
        </is>
      </c>
      <c r="C219" t="inlineStr">
        <is>
          <t>CS - Maintenance des équipements thermiques individuels</t>
        </is>
      </c>
      <c r="D219" s="37" t="inlineStr">
        <is>
          <t>À vérifier</t>
        </is>
      </c>
      <c r="E219" t="inlineStr">
        <is>
          <t>Successeur déjà publié : RNCP41756 (Maintenance des équipements thermiques individuels) — préparer la bascule de l'offre CPF</t>
        </is>
      </c>
      <c r="F219" t="inlineStr">
        <is>
          <t>RNCP41756</t>
        </is>
      </c>
      <c r="G219" t="inlineStr">
        <is>
          <t>Maintenance des équipements thermiques individuels</t>
        </is>
      </c>
      <c r="H219" t="inlineStr">
        <is>
          <t>22671 (Chauffage) ; 22689 (Chauffe eau)</t>
        </is>
      </c>
      <c r="I219" t="inlineStr">
        <is>
          <t>31/08/2028</t>
        </is>
      </c>
    </row>
    <row r="220">
      <c r="A220" t="inlineStr"/>
      <c r="B220" t="inlineStr">
        <is>
          <t>RNCP37932</t>
        </is>
      </c>
      <c r="C220" t="inlineStr">
        <is>
          <t>DIPLOVIS - Diplôme en Management International des Arts Culinaires</t>
        </is>
      </c>
      <c r="D220" s="37" t="inlineStr">
        <is>
          <t>À vérifier</t>
        </is>
      </c>
      <c r="E220" t="inlineStr">
        <is>
          <t>Successeur déjà publié : RNCP42267 (Diplôme en management international des arts culinaires) — préparer la bascule de l'offre CPF | Échéance le 31/08/2026 (dans 32 j)</t>
        </is>
      </c>
      <c r="F220" t="inlineStr">
        <is>
          <t>RNCP42267</t>
        </is>
      </c>
      <c r="G220" t="inlineStr">
        <is>
          <t>Diplôme en management international des arts culinaires</t>
        </is>
      </c>
      <c r="H220" t="inlineStr">
        <is>
          <t>42782 (Gestion cuisine) ; 42760 (Gastronomie) ; 42766 (Gestion hôtel restaurant bar) ; 32054 (Gestion des organisations)</t>
        </is>
      </c>
      <c r="I220" t="inlineStr">
        <is>
          <t>31/08/2026</t>
        </is>
      </c>
    </row>
    <row r="221">
      <c r="A221" t="inlineStr"/>
      <c r="B221" t="inlineStr">
        <is>
          <t>RNCP37937</t>
        </is>
      </c>
      <c r="C221" t="inlineStr">
        <is>
          <t>BP - Vêtement sur mesure, option tailleur homme, option tailleur dame, option couture flou</t>
        </is>
      </c>
      <c r="D221" s="37" t="inlineStr">
        <is>
          <t>À vérifier</t>
        </is>
      </c>
      <c r="E221" t="inlineStr">
        <is>
          <t>Échéance le 31/08/2026 (dans 32 j)</t>
        </is>
      </c>
      <c r="F221" t="inlineStr">
        <is>
          <t>RNCP37937</t>
        </is>
      </c>
      <c r="G221" t="inlineStr">
        <is>
          <t>Vêtement sur mesure, option tailleur homme, option tailleur dame, option couture flou</t>
        </is>
      </c>
      <c r="H221" t="inlineStr">
        <is>
          <t>21759 (Couture flou) ; 21779 (Couture tailleur)</t>
        </is>
      </c>
      <c r="I221" t="inlineStr">
        <is>
          <t>31/08/2026</t>
        </is>
      </c>
    </row>
    <row r="222">
      <c r="A222" t="inlineStr"/>
      <c r="B222" t="inlineStr">
        <is>
          <t>RNCP37941</t>
        </is>
      </c>
      <c r="C222" t="inlineStr">
        <is>
          <t>Certificat d'aptitude professionnelle - Emballeur professionnel</t>
        </is>
      </c>
      <c r="D222" s="37" t="inlineStr">
        <is>
          <t>À vérifier</t>
        </is>
      </c>
      <c r="E222" t="inlineStr">
        <is>
          <t>Successeur déjà publié : RNCP42143 (Emballeur professionnel) — préparer la bascule de l'offre CPF | Échéance le 31/08/2026 (dans 32 j)</t>
        </is>
      </c>
      <c r="F222" t="inlineStr">
        <is>
          <t>RNCP42143</t>
        </is>
      </c>
      <c r="G222" t="inlineStr">
        <is>
          <t>Emballeur professionnel</t>
        </is>
      </c>
      <c r="H222" t="inlineStr">
        <is>
          <t>31752 (Conditionnement emballage)</t>
        </is>
      </c>
      <c r="I222" t="inlineStr">
        <is>
          <t>31/08/2026</t>
        </is>
      </c>
    </row>
    <row r="223">
      <c r="A223" t="inlineStr"/>
      <c r="B223" t="inlineStr">
        <is>
          <t>RNCP37985</t>
        </is>
      </c>
      <c r="C223" t="inlineStr">
        <is>
          <t>Expert en ingénierie logicielle</t>
        </is>
      </c>
      <c r="D223" s="37" t="inlineStr">
        <is>
          <t>À vérifier</t>
        </is>
      </c>
      <c r="E223" t="inlineStr">
        <is>
          <t>Successeur déjà publié : RNCP42505 (Expert en ingénierie logicielle) — préparer la bascule de l'offre CPF | Échéance le 20/09/2026 (dans 52 j)</t>
        </is>
      </c>
      <c r="F223" t="inlineStr">
        <is>
          <t>RNCP42505</t>
        </is>
      </c>
      <c r="G223" t="inlineStr">
        <is>
          <t>Expert en ingénierie logicielle</t>
        </is>
      </c>
      <c r="H223" t="inlineStr">
        <is>
          <t>31057 (Génie logiciel) ; 31067 (Développement informatique) ; 31006 (Sécurité informatique) ; 31009 (Architecture système information)</t>
        </is>
      </c>
      <c r="I223" t="inlineStr">
        <is>
          <t>20/09/2026</t>
        </is>
      </c>
    </row>
    <row r="224">
      <c r="A224" t="inlineStr"/>
      <c r="B224" t="inlineStr">
        <is>
          <t>RNCP37986</t>
        </is>
      </c>
      <c r="C224" t="inlineStr">
        <is>
          <t>Expert de la transition énergétique</t>
        </is>
      </c>
      <c r="D224" s="37" t="inlineStr">
        <is>
          <t>À vérifier</t>
        </is>
      </c>
      <c r="E224" t="inlineStr">
        <is>
          <t>Échéance le 20/09/2026 (dans 52 j)</t>
        </is>
      </c>
      <c r="F224" t="inlineStr">
        <is>
          <t>RNCP37986</t>
        </is>
      </c>
      <c r="G224" t="inlineStr">
        <is>
          <t>Expert de la transition énergétique</t>
        </is>
      </c>
      <c r="H224" t="inlineStr">
        <is>
          <t>22485 (Rénovation bâtiment) ; 22250 (Éco-construction) ; 22279 (Maîtrise d'oeuvre BTP) ; 22269 (Maîtrise d'ouvrage BTP) ; 24147 (Énergie renouvelable)</t>
        </is>
      </c>
      <c r="I224" t="inlineStr">
        <is>
          <t>20/09/2026</t>
        </is>
      </c>
    </row>
    <row r="225">
      <c r="A225" t="inlineStr"/>
      <c r="B225" t="inlineStr">
        <is>
          <t>RNCP37987</t>
        </is>
      </c>
      <c r="C225" t="inlineStr">
        <is>
          <t>Spécialiste en cybersécurité</t>
        </is>
      </c>
      <c r="D225" s="37" t="inlineStr">
        <is>
          <t>À vérifier</t>
        </is>
      </c>
      <c r="E225" t="inlineStr">
        <is>
          <t>Successeur déjà publié : RNCP42503 (Spécialiste en cybersécurité) — préparer la bascule de l'offre CPF | Échéance le 20/09/2026 (dans 52 j)</t>
        </is>
      </c>
      <c r="F225" t="inlineStr">
        <is>
          <t>RNCP42503</t>
        </is>
      </c>
      <c r="G225" t="inlineStr">
        <is>
          <t>Spécialiste en cybersécurité</t>
        </is>
      </c>
      <c r="H225" t="inlineStr">
        <is>
          <t>31045 (Cybersécurité) ; 31038 (Audit informatique) ; 31032 (Système exploitation informatique) ; 24220 (Gestion réseau informatique)</t>
        </is>
      </c>
      <c r="I225" t="inlineStr">
        <is>
          <t>20/09/2026</t>
        </is>
      </c>
    </row>
    <row r="226">
      <c r="A226" t="inlineStr"/>
      <c r="B226" t="inlineStr">
        <is>
          <t>RNCP37988</t>
        </is>
      </c>
      <c r="C226" t="inlineStr">
        <is>
          <t>Diplôme visé - Diplôme supérieur en marketing, vente et gestion</t>
        </is>
      </c>
      <c r="D226" s="37" t="inlineStr">
        <is>
          <t>À vérifier</t>
        </is>
      </c>
      <c r="E226" t="inlineStr">
        <is>
          <t>Successeur déjà publié : RNCP42254 (Diplôme supérieur en marketing, vente et gestion) — préparer la bascule de l'offre CPF | Échéance le 31/08/2026 (dans 32 j)</t>
        </is>
      </c>
      <c r="F226" t="inlineStr">
        <is>
          <t>RNCP42254</t>
        </is>
      </c>
      <c r="G226" t="inlineStr">
        <is>
          <t>Diplôme supérieur en marketing, vente et gestion</t>
        </is>
      </c>
      <c r="H226" t="inlineStr">
        <is>
          <t>34085 (Stratégie commerciale) ; 34052 (Marketing) ; 32154 (Encadrement management) ; 32054 (Gestion des organisations)</t>
        </is>
      </c>
      <c r="I226" t="inlineStr">
        <is>
          <t>31/08/2026</t>
        </is>
      </c>
    </row>
    <row r="227">
      <c r="A227" t="inlineStr"/>
      <c r="B227" t="inlineStr">
        <is>
          <t>RNCP37996</t>
        </is>
      </c>
      <c r="C227" t="inlineStr">
        <is>
          <t>CQP Moniteur de sports à roulettes</t>
        </is>
      </c>
      <c r="D227" s="37" t="inlineStr">
        <is>
          <t>À vérifier</t>
        </is>
      </c>
      <c r="E227" t="inlineStr">
        <is>
          <t>Successeur déjà publié : RNCP41982 (CQP Initiateur en sports à roulettes) — préparer la bascule de l'offre CPF | Échéance le 20/09/2026 (dans 52 j)</t>
        </is>
      </c>
      <c r="F227" t="inlineStr">
        <is>
          <t>RNCP41982</t>
        </is>
      </c>
      <c r="G227" t="inlineStr">
        <is>
          <t>CQP Initiateur en sports à roulettes</t>
        </is>
      </c>
      <c r="H227" t="inlineStr">
        <is>
          <t>15436 (Éducation sportive) ; 15401 (Patinage roulettes) ; 15402 (Planche roulettes)</t>
        </is>
      </c>
      <c r="I227" t="inlineStr">
        <is>
          <t>20/09/2026</t>
        </is>
      </c>
    </row>
    <row r="228">
      <c r="A228" t="inlineStr"/>
      <c r="B228" t="inlineStr">
        <is>
          <t>RNCP37998</t>
        </is>
      </c>
      <c r="C228" t="inlineStr">
        <is>
          <t>Responsable en rémunération globale et avantages sociaux</t>
        </is>
      </c>
      <c r="D228" s="37" t="inlineStr">
        <is>
          <t>À vérifier</t>
        </is>
      </c>
      <c r="E228" t="inlineStr">
        <is>
          <t>Successeur déjà publié : RNCP42499 (Responsable rémunération et avantages sociaux) — préparer la bascule de l'offre CPF | Échéance le 20/09/2026 (dans 52 j)</t>
        </is>
      </c>
      <c r="F228" t="inlineStr">
        <is>
          <t>RNCP42499</t>
        </is>
      </c>
      <c r="G228" t="inlineStr">
        <is>
          <t>Responsable rémunération et avantages sociaux</t>
        </is>
      </c>
      <c r="H228" t="inlineStr">
        <is>
          <t>33031 (Système rémunération)</t>
        </is>
      </c>
      <c r="I228" t="inlineStr">
        <is>
          <t>20/09/2026</t>
        </is>
      </c>
    </row>
    <row r="229">
      <c r="A229" t="inlineStr"/>
      <c r="B229" t="inlineStr">
        <is>
          <t>RNCP38012</t>
        </is>
      </c>
      <c r="C229" t="inlineStr">
        <is>
          <t>Designer en architecture d'intérieur</t>
        </is>
      </c>
      <c r="D229" s="37" t="inlineStr">
        <is>
          <t>À vérifier</t>
        </is>
      </c>
      <c r="E229" t="inlineStr">
        <is>
          <t>Échéance le 20/09/2026 (dans 52 j)</t>
        </is>
      </c>
      <c r="F229" t="inlineStr">
        <is>
          <t>RNCP38012</t>
        </is>
      </c>
      <c r="G229" t="inlineStr">
        <is>
          <t>Designer en architecture d'intérieur</t>
        </is>
      </c>
      <c r="H229" t="inlineStr">
        <is>
          <t>45015 (Architecture intérieure)</t>
        </is>
      </c>
      <c r="I229" t="inlineStr">
        <is>
          <t>20/09/2026</t>
        </is>
      </c>
    </row>
    <row r="230">
      <c r="A230" t="inlineStr"/>
      <c r="B230" t="inlineStr">
        <is>
          <t>RNCP38018</t>
        </is>
      </c>
      <c r="C230" t="inlineStr">
        <is>
          <t>Chef de projet digital</t>
        </is>
      </c>
      <c r="D230" s="37" t="inlineStr">
        <is>
          <t>À vérifier</t>
        </is>
      </c>
      <c r="E230" t="inlineStr">
        <is>
          <t>Échéance le 20/09/2026 (dans 52 j)</t>
        </is>
      </c>
      <c r="F230" t="inlineStr">
        <is>
          <t>RNCP38018</t>
        </is>
      </c>
      <c r="G230" t="inlineStr">
        <is>
          <t>Chef de projet digital</t>
        </is>
      </c>
      <c r="H230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30" t="inlineStr">
        <is>
          <t>20/09/2026</t>
        </is>
      </c>
    </row>
    <row r="231">
      <c r="A231" t="inlineStr"/>
      <c r="B231" t="inlineStr">
        <is>
          <t>RNCP38022</t>
        </is>
      </c>
      <c r="C231" t="inlineStr">
        <is>
          <t>Designer en architecture d'intérieur</t>
        </is>
      </c>
      <c r="D231" s="37" t="inlineStr">
        <is>
          <t>À vérifier</t>
        </is>
      </c>
      <c r="E231" t="inlineStr">
        <is>
          <t>Échéance le 20/09/2026 (dans 52 j)</t>
        </is>
      </c>
      <c r="F231" t="inlineStr">
        <is>
          <t>RNCP38022</t>
        </is>
      </c>
      <c r="G231" t="inlineStr">
        <is>
          <t>Designer en architecture d'intérieur</t>
        </is>
      </c>
      <c r="H231" t="inlineStr">
        <is>
          <t>45015 (Architecture intérieure) ; 22212 (Architecture bioclimatique)</t>
        </is>
      </c>
      <c r="I231" t="inlineStr">
        <is>
          <t>20/09/2026</t>
        </is>
      </c>
    </row>
    <row r="232">
      <c r="A232" t="inlineStr"/>
      <c r="B232" t="inlineStr">
        <is>
          <t>RNCP38025</t>
        </is>
      </c>
      <c r="C232" t="inlineStr">
        <is>
          <t>Chargé de développement commercial et marketing</t>
        </is>
      </c>
      <c r="D232" s="37" t="inlineStr">
        <is>
          <t>À vérifier</t>
        </is>
      </c>
      <c r="E232" t="inlineStr">
        <is>
          <t>Échéance le 20/09/2026 (dans 52 j)</t>
        </is>
      </c>
      <c r="F232" t="inlineStr">
        <is>
          <t>RNCP38025</t>
        </is>
      </c>
      <c r="G232" t="inlineStr">
        <is>
          <t>Chargé de développement commercial et marketing</t>
        </is>
      </c>
      <c r="H232" t="inlineStr">
        <is>
          <t>34085 (Stratégie commerciale) ; 34052 (Marketing) ; 34566 (Vente distribution)</t>
        </is>
      </c>
      <c r="I232" t="inlineStr">
        <is>
          <t>20/09/2026</t>
        </is>
      </c>
    </row>
    <row r="233">
      <c r="A233" t="inlineStr"/>
      <c r="B233" t="inlineStr">
        <is>
          <t>RNCP38038</t>
        </is>
      </c>
      <c r="C233" t="inlineStr">
        <is>
          <t>Développeur concepteur logiciel</t>
        </is>
      </c>
      <c r="D233" s="37" t="inlineStr">
        <is>
          <t>À vérifier</t>
        </is>
      </c>
      <c r="E233" t="inlineStr">
        <is>
          <t>Successeur déjà publié : RNCP42641 (Développeur full stack) — préparer la bascule de l'offre CPF | Échéance le 20/09/2026 (dans 52 j)</t>
        </is>
      </c>
      <c r="F233" t="inlineStr">
        <is>
          <t>RNCP42641</t>
        </is>
      </c>
      <c r="G233" t="inlineStr">
        <is>
          <t>Développeur full stack</t>
        </is>
      </c>
      <c r="H233" t="inlineStr">
        <is>
          <t>31067 (Développement informatique) ; 31057 (Génie logiciel)</t>
        </is>
      </c>
      <c r="I233" t="inlineStr">
        <is>
          <t>20/09/2026</t>
        </is>
      </c>
    </row>
    <row r="234">
      <c r="A234" t="inlineStr"/>
      <c r="B234" t="inlineStr">
        <is>
          <t>RNCP38123</t>
        </is>
      </c>
      <c r="C234" t="inlineStr">
        <is>
          <t>Responsable du développement commercial</t>
        </is>
      </c>
      <c r="D234" s="37" t="inlineStr">
        <is>
          <t>À vérifier</t>
        </is>
      </c>
      <c r="E234" t="inlineStr">
        <is>
          <t>Échéance le 18/10/2026 (dans 80 j)</t>
        </is>
      </c>
      <c r="F234" t="inlineStr">
        <is>
          <t>RNCP38123</t>
        </is>
      </c>
      <c r="G234" t="inlineStr">
        <is>
          <t>Responsable du développement commercial</t>
        </is>
      </c>
      <c r="H234" t="inlineStr">
        <is>
          <t>34085 (Stratégie commerciale) ; 34554 (Commerce)</t>
        </is>
      </c>
      <c r="I234" t="inlineStr">
        <is>
          <t>18/10/2026</t>
        </is>
      </c>
    </row>
    <row r="235">
      <c r="A235" t="inlineStr"/>
      <c r="B235" t="inlineStr">
        <is>
          <t>RNCP38125</t>
        </is>
      </c>
      <c r="C235" t="inlineStr">
        <is>
          <t>Responsable projet communication</t>
        </is>
      </c>
      <c r="D235" s="37" t="inlineStr">
        <is>
          <t>À vérifier</t>
        </is>
      </c>
      <c r="E235" t="inlineStr">
        <is>
          <t>Échéance le 18/10/2026 (dans 80 j)</t>
        </is>
      </c>
      <c r="F235" t="inlineStr">
        <is>
          <t>RNCP38125</t>
        </is>
      </c>
      <c r="G235" t="inlineStr">
        <is>
          <t>Responsable projet communication</t>
        </is>
      </c>
      <c r="H235" t="inlineStr">
        <is>
          <t>46311 (Communication interne) ; 46347 (Stratégie communication numérique) ; 46340 (Communication événementielle) ; 46341 (Communication externe)</t>
        </is>
      </c>
      <c r="I235" t="inlineStr">
        <is>
          <t>18/10/2026</t>
        </is>
      </c>
    </row>
    <row r="236">
      <c r="A236" t="inlineStr"/>
      <c r="B236" t="inlineStr">
        <is>
          <t>RNCP38131</t>
        </is>
      </c>
      <c r="C236" t="inlineStr">
        <is>
          <t>Responsable marketing et communication</t>
        </is>
      </c>
      <c r="D236" s="37" t="inlineStr">
        <is>
          <t>À vérifier</t>
        </is>
      </c>
      <c r="E236" t="inlineStr">
        <is>
          <t>Échéance le 18/10/2026 (dans 80 j)</t>
        </is>
      </c>
      <c r="F236" t="inlineStr">
        <is>
          <t>RNCP38131</t>
        </is>
      </c>
      <c r="G236" t="inlineStr">
        <is>
          <t>Responsable marketing et communication</t>
        </is>
      </c>
      <c r="H236" t="inlineStr">
        <is>
          <t>34052 (Marketing) ; 34085 (Stratégie commerciale)</t>
        </is>
      </c>
      <c r="I236" t="inlineStr">
        <is>
          <t>18/10/2026</t>
        </is>
      </c>
    </row>
    <row r="237">
      <c r="A237" t="inlineStr"/>
      <c r="B237" t="inlineStr">
        <is>
          <t>RNCP38142</t>
        </is>
      </c>
      <c r="C237" t="inlineStr">
        <is>
          <t>Chargé de développement d’une structure sportive associative</t>
        </is>
      </c>
      <c r="D237" s="37" t="inlineStr">
        <is>
          <t>À vérifier</t>
        </is>
      </c>
      <c r="E237" t="inlineStr">
        <is>
          <t>Successeur déjà publié : RNCP42635 (Chargé de développement de structure sportive) — préparer la bascule de l'offre CPF | Échéance le 18/10/2026 (dans 80 j)</t>
        </is>
      </c>
      <c r="F237" t="inlineStr">
        <is>
          <t>RNCP42635</t>
        </is>
      </c>
      <c r="G237" t="inlineStr">
        <is>
          <t>Chargé de développement de structure sportive</t>
        </is>
      </c>
      <c r="H237" t="inlineStr">
        <is>
          <t>15457 (Gestion sport) ; 15476 (Organisation événement sportif)</t>
        </is>
      </c>
      <c r="I237" t="inlineStr">
        <is>
          <t>18/10/2026</t>
        </is>
      </c>
    </row>
    <row r="238">
      <c r="A238" t="inlineStr"/>
      <c r="B238" t="inlineStr">
        <is>
          <t>RNCP38143</t>
        </is>
      </c>
      <c r="C238" t="inlineStr">
        <is>
          <t>Graphiste motion designer</t>
        </is>
      </c>
      <c r="D238" s="37" t="inlineStr">
        <is>
          <t>À vérifier</t>
        </is>
      </c>
      <c r="E238" t="inlineStr">
        <is>
          <t>Échéance le 18/10/2026 (dans 80 j)</t>
        </is>
      </c>
      <c r="F238" t="inlineStr">
        <is>
          <t>RNCP38143</t>
        </is>
      </c>
      <c r="G238" t="inlineStr">
        <is>
          <t>Graphiste motion designer</t>
        </is>
      </c>
      <c r="H238" t="inlineStr">
        <is>
          <t>46003 (Infographie) ; 46090 (Graphisme publicité) ; 46269 (Montage audiovisuel)</t>
        </is>
      </c>
      <c r="I238" t="inlineStr">
        <is>
          <t>18/10/2026</t>
        </is>
      </c>
    </row>
    <row r="239">
      <c r="A239" t="inlineStr"/>
      <c r="B239" t="inlineStr">
        <is>
          <t>RNCP38145</t>
        </is>
      </c>
      <c r="C239" t="inlineStr">
        <is>
          <t>Développeur informatique</t>
        </is>
      </c>
      <c r="D239" s="37" t="inlineStr">
        <is>
          <t>À vérifier</t>
        </is>
      </c>
      <c r="E239" t="inlineStr">
        <is>
          <t>Échéance le 18/10/2026 (dans 80 j)</t>
        </is>
      </c>
      <c r="F239" t="inlineStr">
        <is>
          <t>RNCP38145</t>
        </is>
      </c>
      <c r="G239" t="inlineStr">
        <is>
          <t>Développeur informatique</t>
        </is>
      </c>
      <c r="H239" t="inlineStr">
        <is>
          <t>31067 (Développement informatique)</t>
        </is>
      </c>
      <c r="I239" t="inlineStr">
        <is>
          <t>18/10/2026</t>
        </is>
      </c>
    </row>
    <row r="240">
      <c r="A240" t="inlineStr"/>
      <c r="B240" t="inlineStr">
        <is>
          <t>RNCP38146</t>
        </is>
      </c>
      <c r="C240" t="inlineStr">
        <is>
          <t>Responsable commercial</t>
        </is>
      </c>
      <c r="D240" s="37" t="inlineStr">
        <is>
          <t>À vérifier</t>
        </is>
      </c>
      <c r="E240" t="inlineStr">
        <is>
          <t>Échéance le 18/10/2026 (dans 80 j)</t>
        </is>
      </c>
      <c r="F240" t="inlineStr">
        <is>
          <t>RNCP38146</t>
        </is>
      </c>
      <c r="G240" t="inlineStr">
        <is>
          <t>Responsable commercial</t>
        </is>
      </c>
      <c r="H240" t="inlineStr">
        <is>
          <t>34584 (Animation vente) ; 34561 (Force vente) ; 34085 (Stratégie commerciale) ; 34582 (Négociation commerciale)</t>
        </is>
      </c>
      <c r="I240" t="inlineStr">
        <is>
          <t>18/10/2026</t>
        </is>
      </c>
    </row>
    <row r="241">
      <c r="A241" t="inlineStr"/>
      <c r="B241" t="inlineStr">
        <is>
          <t>RNCP38225</t>
        </is>
      </c>
      <c r="C241" t="inlineStr">
        <is>
          <t>Certificat de spécialisation - Accueil dans les transports</t>
        </is>
      </c>
      <c r="D241" s="37" t="inlineStr">
        <is>
          <t>À vérifier</t>
        </is>
      </c>
      <c r="E241" t="inlineStr">
        <is>
          <t>Successeur déjà publié : RNCP42552 (Accueil dans les transports) — préparer la bascule de l'offre CPF | Échéance le 31/08/2026 (dans 32 j)</t>
        </is>
      </c>
      <c r="F241" t="inlineStr">
        <is>
          <t>RNCP42552</t>
        </is>
      </c>
      <c r="G241" t="inlineStr">
        <is>
          <t>Accueil dans les transports</t>
        </is>
      </c>
      <c r="H241" t="inlineStr">
        <is>
          <t>35052 (Accueil) ; 31854 (Transport)</t>
        </is>
      </c>
      <c r="I241" t="inlineStr">
        <is>
          <t>31/08/2026</t>
        </is>
      </c>
    </row>
    <row r="242">
      <c r="A242" t="inlineStr"/>
      <c r="B242" t="inlineStr">
        <is>
          <t>RNCP38241</t>
        </is>
      </c>
      <c r="C242" t="inlineStr">
        <is>
          <t>CQP Chargé de ressources humaines</t>
        </is>
      </c>
      <c r="D242" s="37" t="inlineStr">
        <is>
          <t>À vérifier</t>
        </is>
      </c>
      <c r="E242" t="inlineStr">
        <is>
          <t>Échéance le 15/11/2026 (dans 108 j)</t>
        </is>
      </c>
      <c r="F242" t="inlineStr">
        <is>
          <t>RNCP38241</t>
        </is>
      </c>
      <c r="G242" t="inlineStr">
        <is>
          <t>CQP Chargé de ressources humaines</t>
        </is>
      </c>
      <c r="H242" t="inlineStr">
        <is>
          <t>33054 (Gestion ressources humaines)</t>
        </is>
      </c>
      <c r="I242" t="inlineStr">
        <is>
          <t>15/11/2026</t>
        </is>
      </c>
    </row>
    <row r="243">
      <c r="A243" t="inlineStr"/>
      <c r="B243" t="inlineStr">
        <is>
          <t>RNCP38243</t>
        </is>
      </c>
      <c r="C243" t="inlineStr">
        <is>
          <t>CQP Animateur de tennis de table</t>
        </is>
      </c>
      <c r="D243" s="37" t="inlineStr">
        <is>
          <t>À vérifier</t>
        </is>
      </c>
      <c r="E243" t="inlineStr">
        <is>
          <t>Échéance le 15/11/2026 (dans 108 j)</t>
        </is>
      </c>
      <c r="F243" t="inlineStr">
        <is>
          <t>RNCP38243</t>
        </is>
      </c>
      <c r="G243" t="inlineStr">
        <is>
          <t>CQP Animateur de tennis de table</t>
        </is>
      </c>
      <c r="H243" t="inlineStr">
        <is>
          <t>15436 (Éducation sportive) ; 15408 (Tennis table)</t>
        </is>
      </c>
      <c r="I243" t="inlineStr">
        <is>
          <t>15/11/2026</t>
        </is>
      </c>
    </row>
    <row r="244">
      <c r="A244" t="inlineStr"/>
      <c r="B244" t="inlineStr">
        <is>
          <t>RNCP38244</t>
        </is>
      </c>
      <c r="C244" t="inlineStr">
        <is>
          <t>Concepteur UI et webdesign</t>
        </is>
      </c>
      <c r="D244" s="37" t="inlineStr">
        <is>
          <t>À vérifier</t>
        </is>
      </c>
      <c r="E244" t="inlineStr">
        <is>
          <t>Échéance le 15/11/2026 (dans 108 j)</t>
        </is>
      </c>
      <c r="F244" t="inlineStr">
        <is>
          <t>RNCP38244</t>
        </is>
      </c>
      <c r="G244" t="inlineStr">
        <is>
          <t>Concepteur UI et webdesign</t>
        </is>
      </c>
      <c r="H244" t="inlineStr">
        <is>
          <t>46331 (Site web) ; 46003 (Infographie)</t>
        </is>
      </c>
      <c r="I244" t="inlineStr">
        <is>
          <t>15/11/2026</t>
        </is>
      </c>
    </row>
    <row r="245">
      <c r="A245" t="inlineStr"/>
      <c r="B245" t="inlineStr">
        <is>
          <t>RNCP38247</t>
        </is>
      </c>
      <c r="C245" t="inlineStr">
        <is>
          <t>CQP Employé de magasin</t>
        </is>
      </c>
      <c r="D245" s="37" t="inlineStr">
        <is>
          <t>À vérifier</t>
        </is>
      </c>
      <c r="E245" t="inlineStr">
        <is>
          <t>Échéance le 15/11/2026 (dans 108 j)</t>
        </is>
      </c>
      <c r="F245" t="inlineStr">
        <is>
          <t>RNCP38247</t>
        </is>
      </c>
      <c r="G245" t="inlineStr">
        <is>
          <t>CQP Employé de magasin</t>
        </is>
      </c>
      <c r="H245" t="inlineStr">
        <is>
          <t>34589 (Caisse) ; 34559 (Gestion rayon)</t>
        </is>
      </c>
      <c r="I245" t="inlineStr">
        <is>
          <t>15/11/2026</t>
        </is>
      </c>
    </row>
    <row r="246">
      <c r="A246" t="inlineStr"/>
      <c r="B246" t="inlineStr">
        <is>
          <t>RNCP38268</t>
        </is>
      </c>
      <c r="C246" t="inlineStr">
        <is>
          <t>Motion designer</t>
        </is>
      </c>
      <c r="D246" s="37" t="inlineStr">
        <is>
          <t>À vérifier</t>
        </is>
      </c>
      <c r="E246" t="inlineStr">
        <is>
          <t>Échéance le 15/11/2026 (dans 108 j)</t>
        </is>
      </c>
      <c r="F246" t="inlineStr">
        <is>
          <t>RNCP38268</t>
        </is>
      </c>
      <c r="G246" t="inlineStr">
        <is>
          <t>Motion designer</t>
        </is>
      </c>
      <c r="H246" t="inlineStr">
        <is>
          <t>46003 (Infographie) ; 46276 (Film animation)</t>
        </is>
      </c>
      <c r="I246" t="inlineStr">
        <is>
          <t>15/11/2026</t>
        </is>
      </c>
    </row>
    <row r="247">
      <c r="A247" t="inlineStr"/>
      <c r="B247" t="inlineStr">
        <is>
          <t>RNCP38275</t>
        </is>
      </c>
      <c r="C247" t="inlineStr">
        <is>
          <t>CQP Educateur de tennis</t>
        </is>
      </c>
      <c r="D247" s="37" t="inlineStr">
        <is>
          <t>À vérifier</t>
        </is>
      </c>
      <c r="E247" t="inlineStr">
        <is>
          <t>Échéance le 15/11/2026 (dans 108 j)</t>
        </is>
      </c>
      <c r="F247" t="inlineStr">
        <is>
          <t>RNCP38275</t>
        </is>
      </c>
      <c r="G247" t="inlineStr">
        <is>
          <t>CQP Educateur de tennis</t>
        </is>
      </c>
      <c r="H247" t="inlineStr">
        <is>
          <t>15436 (Éducation sportive) ; 15407 (Tennis)</t>
        </is>
      </c>
      <c r="I247" t="inlineStr">
        <is>
          <t>15/11/2026</t>
        </is>
      </c>
    </row>
    <row r="248">
      <c r="A248" t="inlineStr"/>
      <c r="B248" t="inlineStr">
        <is>
          <t>RNCP38280</t>
        </is>
      </c>
      <c r="C248" t="inlineStr">
        <is>
          <t>Visuel merchandiser</t>
        </is>
      </c>
      <c r="D248" s="37" t="inlineStr">
        <is>
          <t>À vérifier</t>
        </is>
      </c>
      <c r="E248" t="inlineStr">
        <is>
          <t>Échéance le 15/11/2026 (dans 108 j)</t>
        </is>
      </c>
      <c r="F248" t="inlineStr">
        <is>
          <t>RNCP38280</t>
        </is>
      </c>
      <c r="G248" t="inlineStr">
        <is>
          <t>Visuel merchandiser</t>
        </is>
      </c>
      <c r="H248" t="inlineStr">
        <is>
          <t>34519 (Étalage) ; 34597 (Marchandisage)</t>
        </is>
      </c>
      <c r="I248" t="inlineStr">
        <is>
          <t>15/11/2026</t>
        </is>
      </c>
    </row>
    <row r="249">
      <c r="A249" t="inlineStr"/>
      <c r="B249" t="inlineStr">
        <is>
          <t>RNCP38283</t>
        </is>
      </c>
      <c r="C249" t="inlineStr">
        <is>
          <t>CQP Moniteur d'aviron</t>
        </is>
      </c>
      <c r="D249" s="37" t="inlineStr">
        <is>
          <t>À vérifier</t>
        </is>
      </c>
      <c r="E249" t="inlineStr">
        <is>
          <t>Échéance le 15/11/2026 (dans 108 j)</t>
        </is>
      </c>
      <c r="F249" t="inlineStr">
        <is>
          <t>RNCP38283</t>
        </is>
      </c>
      <c r="G249" t="inlineStr">
        <is>
          <t>CQP Moniteur d'aviron</t>
        </is>
      </c>
      <c r="H249" t="inlineStr">
        <is>
          <t>15436 (Éducation sportive) ; 15492 (Aviron)</t>
        </is>
      </c>
      <c r="I249" t="inlineStr">
        <is>
          <t>15/11/2026</t>
        </is>
      </c>
    </row>
    <row r="250">
      <c r="A250" t="inlineStr"/>
      <c r="B250" t="inlineStr">
        <is>
          <t>RNCP38284</t>
        </is>
      </c>
      <c r="C250" t="inlineStr">
        <is>
          <t>CQP Moniteur de squash</t>
        </is>
      </c>
      <c r="D250" s="37" t="inlineStr">
        <is>
          <t>À vérifier</t>
        </is>
      </c>
      <c r="E250" t="inlineStr">
        <is>
          <t>Échéance le 15/11/2026 (dans 108 j)</t>
        </is>
      </c>
      <c r="F250" t="inlineStr">
        <is>
          <t>RNCP38284</t>
        </is>
      </c>
      <c r="G250" t="inlineStr">
        <is>
          <t>CQP Moniteur de squash</t>
        </is>
      </c>
      <c r="H250" t="inlineStr">
        <is>
          <t>15436 (Éducation sportive) ; 15409 (Squash)</t>
        </is>
      </c>
      <c r="I250" t="inlineStr">
        <is>
          <t>15/11/2026</t>
        </is>
      </c>
    </row>
    <row r="251">
      <c r="A251" t="inlineStr"/>
      <c r="B251" t="inlineStr">
        <is>
          <t>RNCP38292</t>
        </is>
      </c>
      <c r="C251" t="inlineStr">
        <is>
          <t>Moniteur de football</t>
        </is>
      </c>
      <c r="D251" s="37" t="inlineStr">
        <is>
          <t>À vérifier</t>
        </is>
      </c>
      <c r="E251" t="inlineStr">
        <is>
          <t>Échéance le 15/11/2026 (dans 108 j)</t>
        </is>
      </c>
      <c r="F251" t="inlineStr">
        <is>
          <t>RNCP38292</t>
        </is>
      </c>
      <c r="G251" t="inlineStr">
        <is>
          <t>Moniteur de football</t>
        </is>
      </c>
      <c r="H251" t="inlineStr">
        <is>
          <t>15436 (Éducation sportive) ; 15426 (Football)</t>
        </is>
      </c>
      <c r="I251" t="inlineStr">
        <is>
          <t>15/11/2026</t>
        </is>
      </c>
    </row>
    <row r="252">
      <c r="A252" t="inlineStr"/>
      <c r="B252" t="inlineStr">
        <is>
          <t>RNCP38301</t>
        </is>
      </c>
      <c r="C252" t="inlineStr">
        <is>
          <t>Brevet professionnel - Libraire</t>
        </is>
      </c>
      <c r="D252" s="37" t="inlineStr">
        <is>
          <t>À vérifier</t>
        </is>
      </c>
      <c r="E252" t="inlineStr">
        <is>
          <t>Successeur déjà publié : RNCP41840 (Libraire) — préparer la bascule de l'offre CPF | Échéance le 31/08/2026 (dans 32 j)</t>
        </is>
      </c>
      <c r="F252" t="inlineStr">
        <is>
          <t>RNCP41840</t>
        </is>
      </c>
      <c r="G252" t="inlineStr">
        <is>
          <t>Libraire</t>
        </is>
      </c>
      <c r="H252" t="inlineStr">
        <is>
          <t>46328 (Librairie)</t>
        </is>
      </c>
      <c r="I252" t="inlineStr">
        <is>
          <t>31/08/2026</t>
        </is>
      </c>
    </row>
    <row r="253">
      <c r="A253" t="inlineStr"/>
      <c r="B253" t="inlineStr">
        <is>
          <t>RNCP38302</t>
        </is>
      </c>
      <c r="C253" t="inlineStr">
        <is>
          <t>BAC PRO - Logistique</t>
        </is>
      </c>
      <c r="D253" s="37" t="inlineStr">
        <is>
          <t>À vérifier</t>
        </is>
      </c>
      <c r="E253" t="inlineStr">
        <is>
          <t>Successeur déjà publié : RNCP40687 (Métiers de la logistique) — préparer la bascule de l'offre CPF | Échéance le 31/08/2026 (dans 32 j)</t>
        </is>
      </c>
      <c r="F253" t="inlineStr">
        <is>
          <t>RNCP40687</t>
        </is>
      </c>
      <c r="G253" t="inlineStr">
        <is>
          <t>Métiers de la logistique</t>
        </is>
      </c>
      <c r="H253" t="inlineStr">
        <is>
          <t>31845 (Logistique) ; 31663 (Gestion stock) ; 31734 (Magasinage)</t>
        </is>
      </c>
      <c r="I253" t="inlineStr">
        <is>
          <t>31/08/2026</t>
        </is>
      </c>
    </row>
    <row r="254">
      <c r="A254" t="inlineStr"/>
      <c r="B254" t="inlineStr">
        <is>
          <t>RNCP38367</t>
        </is>
      </c>
      <c r="C254" t="inlineStr">
        <is>
          <t>BTS - Maintenance des véhicules (Option A : Voitures particulières, Option B : Véhicules de transport routier, Option C : Motocycles)</t>
        </is>
      </c>
      <c r="D254" s="37" t="inlineStr">
        <is>
          <t>À vérifier</t>
        </is>
      </c>
      <c r="E254" t="inlineStr">
        <is>
          <t>Successeur déjà publié : RNCP41864 (Maintenance des véhicules – options : véhicules légers, véhicules de transport routier et motocycles) — préparer la bascule de l'offre CPF | Échéance le 31/12/2026 (dans 154 j)</t>
        </is>
      </c>
      <c r="F254" t="inlineStr">
        <is>
          <t>RNCP41864</t>
        </is>
      </c>
      <c r="G254" t="inlineStr">
        <is>
          <t>Maintenance des véhicules – options : véhicules légers, véhicules de transport routier et motocycles</t>
        </is>
      </c>
      <c r="H254" t="inlineStr">
        <is>
          <t>23635 (Mécanique cycle motocycle) ; 23615 (Réparation véhicule industriel) ; 23637 (Mécanique automobile)</t>
        </is>
      </c>
      <c r="I254" t="inlineStr">
        <is>
          <t>31/12/2026</t>
        </is>
      </c>
    </row>
    <row r="255">
      <c r="A255" t="inlineStr"/>
      <c r="B255" t="inlineStr">
        <is>
          <t>RNCP38380</t>
        </is>
      </c>
      <c r="C255" t="inlineStr">
        <is>
          <t>BTS - Professions immobilières</t>
        </is>
      </c>
      <c r="D255" s="37" t="inlineStr">
        <is>
          <t>À vérifier</t>
        </is>
      </c>
      <c r="E255" t="inlineStr">
        <is>
          <t>Échéance le 31/12/2026 (dans 154 j)</t>
        </is>
      </c>
      <c r="F255" t="inlineStr">
        <is>
          <t>RNCP38380</t>
        </is>
      </c>
      <c r="G255" t="inlineStr">
        <is>
          <t>Professions immobilières</t>
        </is>
      </c>
      <c r="H255" t="inlineStr">
        <is>
          <t>42158 (Commercialisation immobilière) ; 42133 (Gestion immobilière)</t>
        </is>
      </c>
      <c r="I255" t="inlineStr">
        <is>
          <t>31/12/2026</t>
        </is>
      </c>
    </row>
    <row r="256">
      <c r="A256" t="inlineStr"/>
      <c r="B256" t="inlineStr">
        <is>
          <t>RNCP38410</t>
        </is>
      </c>
      <c r="C256" t="inlineStr">
        <is>
          <t>BP - Charpentier de marine</t>
        </is>
      </c>
      <c r="D256" s="37" t="inlineStr">
        <is>
          <t>À vérifier</t>
        </is>
      </c>
      <c r="E256" t="inlineStr">
        <is>
          <t>Échéance le 31/12/2026 (dans 154 j)</t>
        </is>
      </c>
      <c r="F256" t="inlineStr">
        <is>
          <t>RNCP38410</t>
        </is>
      </c>
      <c r="G256" t="inlineStr">
        <is>
          <t>Charpentier de marine</t>
        </is>
      </c>
      <c r="H256" t="inlineStr">
        <is>
          <t>22881 (Bois) ; 23601 (Charpente marine)</t>
        </is>
      </c>
      <c r="I256" t="inlineStr">
        <is>
          <t>31/12/2026</t>
        </is>
      </c>
    </row>
    <row r="257">
      <c r="A257" t="inlineStr"/>
      <c r="B257" t="inlineStr">
        <is>
          <t>RNCP38438</t>
        </is>
      </c>
      <c r="C257" t="inlineStr">
        <is>
          <t>Chargé de développement des ressources humaines</t>
        </is>
      </c>
      <c r="D257" s="37" t="inlineStr">
        <is>
          <t>À vérifier</t>
        </is>
      </c>
      <c r="E257" t="inlineStr">
        <is>
          <t>Échéance le 21/12/2026 (dans 144 j)</t>
        </is>
      </c>
      <c r="F257" t="inlineStr">
        <is>
          <t>RNCP38438</t>
        </is>
      </c>
      <c r="G257" t="inlineStr">
        <is>
          <t>Chargé de développement des ressources humaines</t>
        </is>
      </c>
      <c r="H257" t="inlineStr">
        <is>
          <t>33052 (Administration personnel) ; 33036 (Stratégie sociale entreprise)</t>
        </is>
      </c>
      <c r="I257" t="inlineStr">
        <is>
          <t>21/12/2026</t>
        </is>
      </c>
    </row>
    <row r="258">
      <c r="A258" t="inlineStr"/>
      <c r="B258" t="inlineStr">
        <is>
          <t>RNCP38453</t>
        </is>
      </c>
      <c r="C258" t="inlineStr">
        <is>
          <t>CQP Animateur d'équipe (CQPI)</t>
        </is>
      </c>
      <c r="D258" s="37" t="inlineStr">
        <is>
          <t>À vérifier</t>
        </is>
      </c>
      <c r="E258" t="inlineStr">
        <is>
          <t>Échéance le 21/12/2026 (dans 144 j)</t>
        </is>
      </c>
      <c r="F258" t="inlineStr">
        <is>
          <t>RNCP38453</t>
        </is>
      </c>
      <c r="G258" t="inlineStr">
        <is>
          <t>CQP Animateur d'équipe (CQPI)</t>
        </is>
      </c>
      <c r="H258" t="inlineStr">
        <is>
          <t>32130 (Animation motivation équipe)</t>
        </is>
      </c>
      <c r="I258" t="inlineStr">
        <is>
          <t>21/12/2026</t>
        </is>
      </c>
    </row>
    <row r="259">
      <c r="A259" t="inlineStr"/>
      <c r="B259" t="inlineStr">
        <is>
          <t>RNCP38460</t>
        </is>
      </c>
      <c r="C259" t="inlineStr">
        <is>
          <t>Manager en ressources humaines</t>
        </is>
      </c>
      <c r="D259" s="37" t="inlineStr">
        <is>
          <t>À vérifier</t>
        </is>
      </c>
      <c r="E259" t="inlineStr">
        <is>
          <t>Échéance le 21/12/2026 (dans 144 j)</t>
        </is>
      </c>
      <c r="F259" t="inlineStr">
        <is>
          <t>RNCP38460</t>
        </is>
      </c>
      <c r="G259" t="inlineStr">
        <is>
          <t>Manager en ressources humaines</t>
        </is>
      </c>
      <c r="H259" t="inlineStr">
        <is>
          <t>33054 (Gestion ressources humaines)</t>
        </is>
      </c>
      <c r="I259" t="inlineStr">
        <is>
          <t>21/12/2026</t>
        </is>
      </c>
    </row>
    <row r="260">
      <c r="A260" t="inlineStr"/>
      <c r="B260" t="inlineStr">
        <is>
          <t>RNCP38463</t>
        </is>
      </c>
      <c r="C260" t="inlineStr">
        <is>
          <t>Expert en développement de solutions de cybersécurité</t>
        </is>
      </c>
      <c r="D260" s="37" t="inlineStr">
        <is>
          <t>À vérifier</t>
        </is>
      </c>
      <c r="E260" t="inlineStr">
        <is>
          <t>Échéance le 21/12/2026 (dans 144 j)</t>
        </is>
      </c>
      <c r="F260" t="inlineStr">
        <is>
          <t>RNCP38463</t>
        </is>
      </c>
      <c r="G260" t="inlineStr">
        <is>
          <t>Expert en développement de solutions de cybersécurité</t>
        </is>
      </c>
      <c r="H260" t="inlineStr">
        <is>
          <t>31045 (Cybersécurité)</t>
        </is>
      </c>
      <c r="I260" t="inlineStr">
        <is>
          <t>21/12/2026</t>
        </is>
      </c>
    </row>
    <row r="261">
      <c r="A261" t="inlineStr"/>
      <c r="B261" t="inlineStr">
        <is>
          <t>RNCP38467</t>
        </is>
      </c>
      <c r="C261" t="inlineStr">
        <is>
          <t>CQP Chargé d'intégration de la productique industrielle</t>
        </is>
      </c>
      <c r="D261" s="37" t="inlineStr">
        <is>
          <t>À vérifier</t>
        </is>
      </c>
      <c r="E261" t="inlineStr">
        <is>
          <t>Échéance le 21/12/2026 (dans 144 j)</t>
        </is>
      </c>
      <c r="F261" t="inlineStr">
        <is>
          <t>RNCP38467</t>
        </is>
      </c>
      <c r="G261" t="inlineStr">
        <is>
          <t>CQP Chargé d'intégration de la productique industrielle</t>
        </is>
      </c>
      <c r="H261" t="inlineStr">
        <is>
          <t>31632 (Productique) ; 31676 (Bureau d'études) ; 31629 (Bureau des méthodes)</t>
        </is>
      </c>
      <c r="I261" t="inlineStr">
        <is>
          <t>21/12/2026</t>
        </is>
      </c>
    </row>
    <row r="262">
      <c r="A262" t="inlineStr"/>
      <c r="B262" t="inlineStr">
        <is>
          <t>RNCP38471</t>
        </is>
      </c>
      <c r="C262" t="inlineStr">
        <is>
          <t>CQP Polisseur</t>
        </is>
      </c>
      <c r="D262" s="37" t="inlineStr">
        <is>
          <t>À vérifier</t>
        </is>
      </c>
      <c r="E262" t="inlineStr">
        <is>
          <t>Échéance le 21/12/2026 (dans 144 j)</t>
        </is>
      </c>
      <c r="F262" t="inlineStr">
        <is>
          <t>RNCP38471</t>
        </is>
      </c>
      <c r="G262" t="inlineStr">
        <is>
          <t>CQP Polisseur</t>
        </is>
      </c>
      <c r="H262" t="inlineStr">
        <is>
          <t>23583 (Mécanique surface) ; 23054 (Travail matériau)</t>
        </is>
      </c>
      <c r="I262" t="inlineStr">
        <is>
          <t>21/12/2026</t>
        </is>
      </c>
    </row>
    <row r="263">
      <c r="A263" t="inlineStr"/>
      <c r="B263" t="inlineStr">
        <is>
          <t>RNCP38489</t>
        </is>
      </c>
      <c r="C263" t="inlineStr">
        <is>
          <t>Manager des ressources humaines</t>
        </is>
      </c>
      <c r="D263" s="37" t="inlineStr">
        <is>
          <t>À vérifier</t>
        </is>
      </c>
      <c r="E263" t="inlineStr">
        <is>
          <t>Échéance le 21/12/2026 (dans 144 j)</t>
        </is>
      </c>
      <c r="F263" t="inlineStr">
        <is>
          <t>RNCP38489</t>
        </is>
      </c>
      <c r="G263" t="inlineStr">
        <is>
          <t>Manager des ressources humaines</t>
        </is>
      </c>
      <c r="H263" t="inlineStr">
        <is>
          <t>33054 (Gestion ressources humaines)</t>
        </is>
      </c>
      <c r="I263" t="inlineStr">
        <is>
          <t>21/12/2026</t>
        </is>
      </c>
    </row>
    <row r="264">
      <c r="A264" t="inlineStr"/>
      <c r="B264" t="inlineStr">
        <is>
          <t>RNCP38497</t>
        </is>
      </c>
      <c r="C264" t="inlineStr">
        <is>
          <t>Art-thérapeute</t>
        </is>
      </c>
      <c r="D264" s="37" t="inlineStr">
        <is>
          <t>À vérifier</t>
        </is>
      </c>
      <c r="E264" t="inlineStr">
        <is>
          <t>Échéance le 21/12/2026 (dans 144 j)</t>
        </is>
      </c>
      <c r="F264" t="inlineStr">
        <is>
          <t>RNCP38497</t>
        </is>
      </c>
      <c r="G264" t="inlineStr">
        <is>
          <t>Art-thérapeute</t>
        </is>
      </c>
      <c r="H264" t="inlineStr">
        <is>
          <t>14426 (Art thérapie)</t>
        </is>
      </c>
      <c r="I264" t="inlineStr">
        <is>
          <t>21/12/2026</t>
        </is>
      </c>
    </row>
    <row r="265">
      <c r="A265" t="inlineStr"/>
      <c r="B265" t="inlineStr">
        <is>
          <t>RNCP38505</t>
        </is>
      </c>
      <c r="C265" t="inlineStr">
        <is>
          <t>Responsable du développement commercial</t>
        </is>
      </c>
      <c r="D265" s="37" t="inlineStr">
        <is>
          <t>À vérifier</t>
        </is>
      </c>
      <c r="E265" t="inlineStr">
        <is>
          <t>Échéance le 21/12/2026 (dans 144 j)</t>
        </is>
      </c>
      <c r="F265" t="inlineStr">
        <is>
          <t>RNCP38505</t>
        </is>
      </c>
      <c r="G265" t="inlineStr">
        <is>
          <t>Responsable du développement commercial</t>
        </is>
      </c>
      <c r="H265" t="inlineStr">
        <is>
          <t>34572 (Négociation grand compte) ; 34085 (Stratégie commerciale)</t>
        </is>
      </c>
      <c r="I265" t="inlineStr">
        <is>
          <t>21/12/2026</t>
        </is>
      </c>
    </row>
    <row r="266">
      <c r="A266" t="inlineStr"/>
      <c r="B266" t="inlineStr">
        <is>
          <t>RNCP38519</t>
        </is>
      </c>
      <c r="C266" t="inlineStr">
        <is>
          <t>Responsable paie et audit social</t>
        </is>
      </c>
      <c r="D266" s="37" t="inlineStr">
        <is>
          <t>À vérifier</t>
        </is>
      </c>
      <c r="E266" t="inlineStr">
        <is>
          <t>Échéance le 21/12/2026 (dans 144 j)</t>
        </is>
      </c>
      <c r="F266" t="inlineStr">
        <is>
          <t>RNCP38519</t>
        </is>
      </c>
      <c r="G266" t="inlineStr">
        <is>
          <t>Responsable paie et audit social</t>
        </is>
      </c>
      <c r="H266" t="inlineStr">
        <is>
          <t>32688 (Traitement paie) ; 33052 (Administration personnel) ; 33035 (Audit ressources humaines)</t>
        </is>
      </c>
      <c r="I266" t="inlineStr">
        <is>
          <t>21/12/2026</t>
        </is>
      </c>
    </row>
    <row r="267">
      <c r="A267" t="inlineStr"/>
      <c r="B267" t="inlineStr">
        <is>
          <t>RNCP38711</t>
        </is>
      </c>
      <c r="C267" t="inlineStr">
        <is>
          <t>CS - Peinture décoration</t>
        </is>
      </c>
      <c r="D267" s="37" t="inlineStr">
        <is>
          <t>À vérifier</t>
        </is>
      </c>
      <c r="E267" t="inlineStr">
        <is>
          <t>Successeur déjà publié : RNCP41753 (Peintre décorateur créateur d'ambiances) — préparer la bascule de l'offre CPF | Échéance le 31/12/2026 (dans 154 j)</t>
        </is>
      </c>
      <c r="F267" t="inlineStr">
        <is>
          <t>RNCP41753</t>
        </is>
      </c>
      <c r="G267" t="inlineStr">
        <is>
          <t>Peintre décorateur créateur d'ambiances</t>
        </is>
      </c>
      <c r="H267" t="inlineStr">
        <is>
          <t>22301 (Enduit maçonnerie) ; 45501 (Peinture décorative)</t>
        </is>
      </c>
      <c r="I267" t="inlineStr">
        <is>
          <t>31/12/2026</t>
        </is>
      </c>
    </row>
    <row r="268">
      <c r="A268" t="inlineStr"/>
      <c r="B268" t="inlineStr">
        <is>
          <t>RNCP38715</t>
        </is>
      </c>
      <c r="C268" t="inlineStr">
        <is>
          <t>BP - Conducteur d'engins : travaux publics et carrières</t>
        </is>
      </c>
      <c r="D268" s="37" t="inlineStr">
        <is>
          <t>À vérifier</t>
        </is>
      </c>
      <c r="E268" t="inlineStr">
        <is>
          <t>Échéance le 31/12/2026 (dans 154 j)</t>
        </is>
      </c>
      <c r="F268" t="inlineStr">
        <is>
          <t>RNCP38715</t>
        </is>
      </c>
      <c r="G268" t="inlineStr">
        <is>
          <t>Conducteur d'engins : travaux publics et carrières</t>
        </is>
      </c>
      <c r="H268" t="inlineStr">
        <is>
          <t>22054 (Travaux publics) ; 31717 (Engin chantier)</t>
        </is>
      </c>
      <c r="I268" t="inlineStr">
        <is>
          <t>31/12/2026</t>
        </is>
      </c>
    </row>
    <row r="269">
      <c r="A269" t="inlineStr"/>
      <c r="B269" t="inlineStr">
        <is>
          <t>RNCP38725</t>
        </is>
      </c>
      <c r="C269" t="inlineStr">
        <is>
          <t>BP - Couvreur</t>
        </is>
      </c>
      <c r="D269" s="37" t="inlineStr">
        <is>
          <t>À vérifier</t>
        </is>
      </c>
      <c r="E269" t="inlineStr">
        <is>
          <t>Échéance le 31/12/2026 (dans 154 j)</t>
        </is>
      </c>
      <c r="F269" t="inlineStr">
        <is>
          <t>RNCP38725</t>
        </is>
      </c>
      <c r="G269" t="inlineStr">
        <is>
          <t>Couvreur</t>
        </is>
      </c>
      <c r="H269" t="inlineStr">
        <is>
          <t>22437 (Couverture)</t>
        </is>
      </c>
      <c r="I269" t="inlineStr">
        <is>
          <t>31/12/2026</t>
        </is>
      </c>
    </row>
    <row r="270">
      <c r="A270" t="inlineStr"/>
      <c r="B270" t="inlineStr">
        <is>
          <t>RNCP38740</t>
        </is>
      </c>
      <c r="C270" t="inlineStr">
        <is>
          <t>BP - Peintre applicateur de revêtements</t>
        </is>
      </c>
      <c r="D270" s="37" t="inlineStr">
        <is>
          <t>À vérifier</t>
        </is>
      </c>
      <c r="E270" t="inlineStr">
        <is>
          <t>Successeur déjà publié : RNCP42256 (Peintre applicateur de revêtements) — préparer la bascule de l'offre CPF | Échéance le 31/12/2026 (dans 154 j)</t>
        </is>
      </c>
      <c r="F270" t="inlineStr">
        <is>
          <t>RNCP42256</t>
        </is>
      </c>
      <c r="G270" t="inlineStr">
        <is>
          <t>Peintre applicateur de revêtements</t>
        </is>
      </c>
      <c r="H270" t="inlineStr">
        <is>
          <t>22472 (Peinture bâtiment) ; 22412 (Plâtrerie)</t>
        </is>
      </c>
      <c r="I270" t="inlineStr">
        <is>
          <t>31/12/2026</t>
        </is>
      </c>
    </row>
    <row r="271">
      <c r="A271" t="inlineStr"/>
      <c r="B271" t="inlineStr">
        <is>
          <t>RNCP38741</t>
        </is>
      </c>
      <c r="C271" t="inlineStr">
        <is>
          <t>CAP - Agent de la qualité de l'eau</t>
        </is>
      </c>
      <c r="D271" s="37" t="inlineStr">
        <is>
          <t>À vérifier</t>
        </is>
      </c>
      <c r="E271" t="inlineStr">
        <is>
          <t>Échéance le 31/12/2026 (dans 154 j)</t>
        </is>
      </c>
      <c r="F271" t="inlineStr">
        <is>
          <t>RNCP38741</t>
        </is>
      </c>
      <c r="G271" t="inlineStr">
        <is>
          <t>Agent de la qualité de l'eau</t>
        </is>
      </c>
      <c r="H271" t="inlineStr">
        <is>
          <t>12520 (Traitement eau)</t>
        </is>
      </c>
      <c r="I271" t="inlineStr">
        <is>
          <t>31/12/2026</t>
        </is>
      </c>
    </row>
    <row r="272">
      <c r="A272" t="inlineStr"/>
      <c r="B272" t="inlineStr">
        <is>
          <t>RNCP38842</t>
        </is>
      </c>
      <c r="C272" t="inlineStr">
        <is>
          <t>CS - Commercialisation du bétail : acheteur-estimateur</t>
        </is>
      </c>
      <c r="D272" s="37" t="inlineStr">
        <is>
          <t>À vérifier</t>
        </is>
      </c>
      <c r="E272" t="inlineStr">
        <is>
          <t>Successeur déjà publié : RNCP41839 (Commercialisation du bétail) — préparer la bascule de l'offre CPF</t>
        </is>
      </c>
      <c r="F272" t="inlineStr">
        <is>
          <t>RNCP41839</t>
        </is>
      </c>
      <c r="G272" t="inlineStr">
        <is>
          <t>Commercialisation du bétail</t>
        </is>
      </c>
      <c r="H272" t="inlineStr">
        <is>
          <t>21084 (Commercialisation agricole)</t>
        </is>
      </c>
      <c r="I272" t="inlineStr">
        <is>
          <t>01/01/2029</t>
        </is>
      </c>
    </row>
    <row r="273">
      <c r="A273" t="inlineStr"/>
      <c r="B273" t="inlineStr">
        <is>
          <t>RNCP39031</t>
        </is>
      </c>
      <c r="C273" t="inlineStr">
        <is>
          <t>CAP - Emailleur d'art sur métaux</t>
        </is>
      </c>
      <c r="D273" s="37" t="inlineStr">
        <is>
          <t>À vérifier</t>
        </is>
      </c>
      <c r="E273" t="inlineStr">
        <is>
          <t>Successeur déjà publié : RNCP42111 (Emailleur d'art sur métaux) — préparer la bascule de l'offre CPF | Échéance le 31/08/2026 (dans 32 j)</t>
        </is>
      </c>
      <c r="F273" t="inlineStr">
        <is>
          <t>RNCP42111</t>
        </is>
      </c>
      <c r="G273" t="inlineStr">
        <is>
          <t>Emailleur d'art sur métaux</t>
        </is>
      </c>
      <c r="H273" t="inlineStr">
        <is>
          <t>45529 (BJO)</t>
        </is>
      </c>
      <c r="I273" t="inlineStr">
        <is>
          <t>31/08/2026</t>
        </is>
      </c>
    </row>
    <row r="274">
      <c r="A274" t="inlineStr"/>
      <c r="B274" t="inlineStr">
        <is>
          <t>RNCP39160</t>
        </is>
      </c>
      <c r="C274" t="inlineStr">
        <is>
          <t>Diplôme visé grade de master - Programme Grande Ecole</t>
        </is>
      </c>
      <c r="D274" s="37" t="inlineStr">
        <is>
          <t>À vérifier</t>
        </is>
      </c>
      <c r="E274" t="inlineStr">
        <is>
          <t>Successeur déjà publié : RNCP42673 (Diplôme supérieur en management) — préparer la bascule de l'offre CPF | Échéance le 31/08/2026 (dans 32 j)</t>
        </is>
      </c>
      <c r="F274" t="inlineStr">
        <is>
          <t>RNCP42673</t>
        </is>
      </c>
      <c r="G274" t="inlineStr">
        <is>
          <t>Diplôme supérieur en management</t>
        </is>
      </c>
      <c r="H274" t="inlineStr">
        <is>
          <t>32025 (Stratégie entreprise) ; 32008 (Responsabilité sociétale entreprise) ; 32047 (Création entreprise) ; 32654 (Gestion financière comptabilité) ; 32154 (Encadrement management)</t>
        </is>
      </c>
      <c r="I274" t="inlineStr">
        <is>
          <t>31/08/2026</t>
        </is>
      </c>
    </row>
    <row r="275">
      <c r="A275" t="inlineStr"/>
      <c r="B275" t="inlineStr">
        <is>
          <t>RNCP39191</t>
        </is>
      </c>
      <c r="C275" t="inlineStr">
        <is>
          <t>CS - Conducteur de machines de verrerie</t>
        </is>
      </c>
      <c r="D275" s="37" t="inlineStr">
        <is>
          <t>À vérifier</t>
        </is>
      </c>
      <c r="E275" t="inlineStr">
        <is>
          <t>Successeur déjà publié : RNCP42255 (Conduite d'équipements verriers) — préparer la bascule de l'offre CPF | Échéance le 31/12/2026 (dans 154 j)</t>
        </is>
      </c>
      <c r="F275" t="inlineStr">
        <is>
          <t>RNCP42255</t>
        </is>
      </c>
      <c r="G275" t="inlineStr">
        <is>
          <t>Conduite d'équipements verriers</t>
        </is>
      </c>
      <c r="H275" t="inlineStr">
        <is>
          <t>31620 (Conduite installation industrielle) ; 22820 (Verre)</t>
        </is>
      </c>
      <c r="I275" t="inlineStr">
        <is>
          <t>31/12/2026</t>
        </is>
      </c>
    </row>
    <row r="276">
      <c r="A276" t="inlineStr"/>
      <c r="B276" t="inlineStr">
        <is>
          <t>RNCP39192</t>
        </is>
      </c>
      <c r="C276" t="inlineStr">
        <is>
          <t>CS - Technicien ascensoriste (service et modernisation)</t>
        </is>
      </c>
      <c r="D276" s="37" t="inlineStr">
        <is>
          <t>À vérifier</t>
        </is>
      </c>
      <c r="E276" t="inlineStr">
        <is>
          <t>Échéance le 31/12/2026 (dans 154 j)</t>
        </is>
      </c>
      <c r="F276" t="inlineStr">
        <is>
          <t>RNCP39192</t>
        </is>
      </c>
      <c r="G276" t="inlineStr">
        <is>
          <t>Technicien ascensoriste (service et modernisation)</t>
        </is>
      </c>
      <c r="H276" t="inlineStr">
        <is>
          <t>22493 (Ascenseur) ; 24054 (Électricité)</t>
        </is>
      </c>
      <c r="I276" t="inlineStr">
        <is>
          <t>31/12/2026</t>
        </is>
      </c>
    </row>
    <row r="277">
      <c r="A277" t="inlineStr"/>
      <c r="B277" t="inlineStr">
        <is>
          <t>RNCP39296</t>
        </is>
      </c>
      <c r="C277" t="inlineStr">
        <is>
          <t>CAP - Mouleur noyauteur : cuivre et bronze</t>
        </is>
      </c>
      <c r="D277" s="37" t="inlineStr">
        <is>
          <t>À vérifier</t>
        </is>
      </c>
      <c r="E277" t="inlineStr">
        <is>
          <t>Successeur déjà publié : RNCP42114 (Mouleur noyauteur) — préparer la bascule de l'offre CPF | Échéance le 31/08/2026 (dans 32 j)</t>
        </is>
      </c>
      <c r="F277" t="inlineStr">
        <is>
          <t>RNCP42114</t>
        </is>
      </c>
      <c r="G277" t="inlineStr">
        <is>
          <t>Mouleur noyauteur</t>
        </is>
      </c>
      <c r="H277" t="inlineStr">
        <is>
          <t>23090 (Fonderie)</t>
        </is>
      </c>
      <c r="I277" t="inlineStr">
        <is>
          <t>31/08/2026</t>
        </is>
      </c>
    </row>
    <row r="278">
      <c r="A278" t="inlineStr"/>
      <c r="B278" t="inlineStr">
        <is>
          <t>RNCP39491</t>
        </is>
      </c>
      <c r="C278" t="inlineStr">
        <is>
          <t>CAP - Outillages en outils à découper et à emboutir</t>
        </is>
      </c>
      <c r="D278" s="37" t="inlineStr">
        <is>
          <t>À vérifier</t>
        </is>
      </c>
      <c r="E278" t="inlineStr">
        <is>
          <t>Successeur déjà publié : RNCP42106 (Outillages en outils à découper et à emboutir) — préparer la bascule de l'offre CPF | Échéance le 31/08/2026 (dans 32 j)</t>
        </is>
      </c>
      <c r="F278" t="inlineStr">
        <is>
          <t>RNCP42106</t>
        </is>
      </c>
      <c r="G278" t="inlineStr">
        <is>
          <t>Outillages en outils à découper et à emboutir</t>
        </is>
      </c>
      <c r="H278" t="inlineStr">
        <is>
          <t>23078 (Découpage) ; 23059 (Emboutissage)</t>
        </is>
      </c>
      <c r="I278" t="inlineStr">
        <is>
          <t>31/08/2026</t>
        </is>
      </c>
    </row>
    <row r="279">
      <c r="A279" t="inlineStr"/>
      <c r="B279" t="inlineStr">
        <is>
          <t>RNCP39492</t>
        </is>
      </c>
      <c r="C279" t="inlineStr">
        <is>
          <t>CAP - Rentrayeur - option A tapis, option B tapisserie</t>
        </is>
      </c>
      <c r="D279" s="37" t="inlineStr">
        <is>
          <t>À vérifier</t>
        </is>
      </c>
      <c r="E279" t="inlineStr">
        <is>
          <t>Successeur déjà publié : RNCP42133 (Rentrayeur - option A tapis, option B tapisserie) — préparer la bascule de l'offre CPF | Échéance le 31/08/2026 (dans 32 j)</t>
        </is>
      </c>
      <c r="F279" t="inlineStr">
        <is>
          <t>RNCP42133</t>
        </is>
      </c>
      <c r="G279" t="inlineStr">
        <is>
          <t>Rentrayeur - option A tapis, option B tapisserie</t>
        </is>
      </c>
      <c r="H279" t="inlineStr">
        <is>
          <t>45504 (Tissage artisanal) ; 45038 (Restauration objet art) ; 45523 (Tapisserie ameublement)</t>
        </is>
      </c>
      <c r="I279" t="inlineStr">
        <is>
          <t>31/08/2026</t>
        </is>
      </c>
    </row>
    <row r="280">
      <c r="A280" t="inlineStr"/>
      <c r="B280" t="inlineStr">
        <is>
          <t>RNCP39516</t>
        </is>
      </c>
      <c r="C280" t="inlineStr">
        <is>
          <t>BAC PRO - Traitements des matériaux</t>
        </is>
      </c>
      <c r="D280" s="37" t="inlineStr">
        <is>
          <t>À vérifier</t>
        </is>
      </c>
      <c r="E280" t="inlineStr">
        <is>
          <t>Échéance le 31/12/2026 (dans 154 j)</t>
        </is>
      </c>
      <c r="F280" t="inlineStr">
        <is>
          <t>RNCP39516</t>
        </is>
      </c>
      <c r="G280" t="inlineStr">
        <is>
          <t>Traitements des matériaux</t>
        </is>
      </c>
      <c r="H280" t="inlineStr">
        <is>
          <t>23042 (Traitement surface)</t>
        </is>
      </c>
      <c r="I280" t="inlineStr">
        <is>
          <t>31/12/2026</t>
        </is>
      </c>
    </row>
    <row r="281">
      <c r="A281" t="inlineStr"/>
      <c r="B281" t="inlineStr">
        <is>
          <t>RNCP39533</t>
        </is>
      </c>
      <c r="C281" t="inlineStr">
        <is>
          <t>TP - Gouvernant en hôtellerie</t>
        </is>
      </c>
      <c r="D281" s="37" t="inlineStr">
        <is>
          <t>À vérifier</t>
        </is>
      </c>
      <c r="E281" t="inlineStr">
        <is>
          <t>Échéance le 17/12/2026 (dans 140 j)</t>
        </is>
      </c>
      <c r="F281" t="inlineStr">
        <is>
          <t>RNCP39533</t>
        </is>
      </c>
      <c r="G281" t="inlineStr">
        <is>
          <t>Gouvernant en hôtellerie</t>
        </is>
      </c>
      <c r="H281" t="inlineStr">
        <is>
          <t>42797 (Gouvernante hôtel)</t>
        </is>
      </c>
      <c r="I281" t="inlineStr">
        <is>
          <t>17/12/2026</t>
        </is>
      </c>
    </row>
    <row r="282">
      <c r="A282" t="inlineStr"/>
      <c r="B282" t="inlineStr">
        <is>
          <t>RNCP39534</t>
        </is>
      </c>
      <c r="C282" t="inlineStr">
        <is>
          <t>TP - Serveur en restauration</t>
        </is>
      </c>
      <c r="D282" s="37" t="inlineStr">
        <is>
          <t>À vérifier</t>
        </is>
      </c>
      <c r="E282" t="inlineStr">
        <is>
          <t>Échéance le 07/01/2027 (dans 161 j)</t>
        </is>
      </c>
      <c r="F282" t="inlineStr">
        <is>
          <t>RNCP39534</t>
        </is>
      </c>
      <c r="G282" t="inlineStr">
        <is>
          <t>Serveur en restauration</t>
        </is>
      </c>
      <c r="H282" t="inlineStr">
        <is>
          <t>42757 (Service salle) ; 42716 (Café brasserie)</t>
        </is>
      </c>
      <c r="I282" t="inlineStr">
        <is>
          <t>07/01/2027</t>
        </is>
      </c>
    </row>
    <row r="283">
      <c r="A283" t="inlineStr"/>
      <c r="B283" t="inlineStr">
        <is>
          <t>RNCP39584</t>
        </is>
      </c>
      <c r="C283" t="inlineStr">
        <is>
          <t>Expert maritime et fluvial</t>
        </is>
      </c>
      <c r="D283" s="37" t="inlineStr">
        <is>
          <t>À vérifier</t>
        </is>
      </c>
      <c r="E283" t="inlineStr">
        <is>
          <t>Successeur déjà publié : RNCP42207 (Expert dans le domaine des constructions flottantes option maritime ou fluvial) — préparer la bascule de l'offre CPF | Échéance le 01/10/2026 (dans 63 j)</t>
        </is>
      </c>
      <c r="F283" t="inlineStr">
        <is>
          <t>RNCP42207</t>
        </is>
      </c>
      <c r="G283" t="inlineStr">
        <is>
          <t>Expert dans le domaine des constructions flottantes option maritime ou fluvial</t>
        </is>
      </c>
      <c r="H283" t="inlineStr">
        <is>
          <t>23610 (Mécanique navale) ; 31872 (Transport maritime) ; 31850 (Transport fluvial)</t>
        </is>
      </c>
      <c r="I283" t="inlineStr">
        <is>
          <t>01/10/2026</t>
        </is>
      </c>
    </row>
    <row r="284">
      <c r="A284" t="inlineStr"/>
      <c r="B284" t="inlineStr">
        <is>
          <t>RNCP39587</t>
        </is>
      </c>
      <c r="C284" t="inlineStr">
        <is>
          <t>Juriste d'affaires</t>
        </is>
      </c>
      <c r="D284" s="37" t="inlineStr">
        <is>
          <t>À vérifier</t>
        </is>
      </c>
      <c r="E284" t="inlineStr">
        <is>
          <t>Successeur déjà publié : RNCP42328 (Juriste d'affaires) — préparer la bascule de l'offre CPF | Échéance le 01/10/2026 (dans 63 j)</t>
        </is>
      </c>
      <c r="F284" t="inlineStr">
        <is>
          <t>RNCP42328</t>
        </is>
      </c>
      <c r="G284" t="inlineStr">
        <is>
          <t>Juriste d'affaires</t>
        </is>
      </c>
      <c r="H284" t="inlineStr">
        <is>
          <t>13261 (Droit affaires) ; 13256 (Droit contrat)</t>
        </is>
      </c>
      <c r="I284" t="inlineStr">
        <is>
          <t>01/10/2026</t>
        </is>
      </c>
    </row>
    <row r="285">
      <c r="A285" t="inlineStr"/>
      <c r="B285" t="inlineStr">
        <is>
          <t>RNCP39634</t>
        </is>
      </c>
      <c r="C285" t="inlineStr">
        <is>
          <t>CQP Peintre en carrosserie</t>
        </is>
      </c>
      <c r="D285" s="37" t="inlineStr">
        <is>
          <t>À vérifier</t>
        </is>
      </c>
      <c r="E285" t="inlineStr">
        <is>
          <t>Échéance le 01/10/2026 (dans 63 j)</t>
        </is>
      </c>
      <c r="F285" t="inlineStr">
        <is>
          <t>RNCP39634</t>
        </is>
      </c>
      <c r="G285" t="inlineStr">
        <is>
          <t>CQP Peintre en carrosserie</t>
        </is>
      </c>
      <c r="H285" t="inlineStr">
        <is>
          <t>23607 (Peinture carrosserie)</t>
        </is>
      </c>
      <c r="I285" t="inlineStr">
        <is>
          <t>01/10/2026</t>
        </is>
      </c>
    </row>
    <row r="286">
      <c r="A286" t="inlineStr"/>
      <c r="B286" t="inlineStr">
        <is>
          <t>RNCP39643</t>
        </is>
      </c>
      <c r="C286" t="inlineStr">
        <is>
          <t>Diplôme d'Etat Moniteur éducateur - DEME</t>
        </is>
      </c>
      <c r="D286" s="37" t="inlineStr">
        <is>
          <t>À vérifier</t>
        </is>
      </c>
      <c r="E286" t="inlineStr">
        <is>
          <t>Intitulé officiel différent : « Moniteur éducateur »</t>
        </is>
      </c>
      <c r="F286" t="inlineStr">
        <is>
          <t>RNCP39643</t>
        </is>
      </c>
      <c r="G286" t="inlineStr">
        <is>
          <t>Moniteur éducateur</t>
        </is>
      </c>
      <c r="H286" t="inlineStr">
        <is>
          <t>44072 (Travail social)</t>
        </is>
      </c>
      <c r="I286" t="inlineStr">
        <is>
          <t>31/12/2028</t>
        </is>
      </c>
    </row>
    <row r="287">
      <c r="A287" t="inlineStr"/>
      <c r="B287" t="inlineStr">
        <is>
          <t>RNCP39644</t>
        </is>
      </c>
      <c r="C287" t="inlineStr">
        <is>
          <t>DE - Ingénierie sociale</t>
        </is>
      </c>
      <c r="D287" s="37" t="inlineStr">
        <is>
          <t>À vérifier</t>
        </is>
      </c>
      <c r="E287" t="inlineStr">
        <is>
          <t>Échéance le 31/12/2026 (dans 154 j)</t>
        </is>
      </c>
      <c r="F287" t="inlineStr">
        <is>
          <t>RNCP39644</t>
        </is>
      </c>
      <c r="G287" t="inlineStr">
        <is>
          <t>Ingénierie sociale</t>
        </is>
      </c>
      <c r="H287" t="inlineStr">
        <is>
          <t>44072 (Travail social) ; 44056 (Travail social en réseau)</t>
        </is>
      </c>
      <c r="I287" t="inlineStr">
        <is>
          <t>31/12/2026</t>
        </is>
      </c>
    </row>
    <row r="288">
      <c r="A288" t="inlineStr"/>
      <c r="B288" t="inlineStr">
        <is>
          <t>RNCP39645</t>
        </is>
      </c>
      <c r="C288" t="inlineStr">
        <is>
          <t>DE - Médiateur familial</t>
        </is>
      </c>
      <c r="D288" s="37" t="inlineStr">
        <is>
          <t>À vérifier</t>
        </is>
      </c>
      <c r="E288" t="inlineStr">
        <is>
          <t>Échéance le 31/12/2026 (dans 154 j)</t>
        </is>
      </c>
      <c r="F288" t="inlineStr">
        <is>
          <t>RNCP39645</t>
        </is>
      </c>
      <c r="G288" t="inlineStr">
        <is>
          <t>Médiateur familial</t>
        </is>
      </c>
      <c r="H288" t="inlineStr">
        <is>
          <t>44072 (Travail social)</t>
        </is>
      </c>
      <c r="I288" t="inlineStr">
        <is>
          <t>31/12/2026</t>
        </is>
      </c>
    </row>
    <row r="289">
      <c r="A289" t="inlineStr"/>
      <c r="B289" t="inlineStr">
        <is>
          <t>RNCP39679</t>
        </is>
      </c>
      <c r="C289" t="inlineStr">
        <is>
          <t>CS - Education et travail des jeunes équidés</t>
        </is>
      </c>
      <c r="D289" s="37" t="inlineStr">
        <is>
          <t>À vérifier</t>
        </is>
      </c>
      <c r="E289" t="inlineStr">
        <is>
          <t>Successeur déjà publié : RNCP42019 (Education et travail des jeunes équidés) — préparer la bascule de l'offre CPF | Échéance le 31/08/2026 (dans 32 j)</t>
        </is>
      </c>
      <c r="F289" t="inlineStr">
        <is>
          <t>RNCP42019</t>
        </is>
      </c>
      <c r="G289" t="inlineStr">
        <is>
          <t>Education et travail des jeunes équidés</t>
        </is>
      </c>
      <c r="H289" t="inlineStr">
        <is>
          <t>21088 (Élevage équin)</t>
        </is>
      </c>
      <c r="I289" t="inlineStr">
        <is>
          <t>31/08/2026</t>
        </is>
      </c>
    </row>
    <row r="290">
      <c r="A290" t="inlineStr"/>
      <c r="B290" t="inlineStr">
        <is>
          <t>RNCP39706</t>
        </is>
      </c>
      <c r="C290" t="inlineStr">
        <is>
          <t>CAP - Arts de la broderie</t>
        </is>
      </c>
      <c r="D290" s="37" t="inlineStr">
        <is>
          <t>À vérifier</t>
        </is>
      </c>
      <c r="E290" t="inlineStr">
        <is>
          <t>Successeur déjà publié : RNCP42105 (Arts de la broderie) — préparer la bascule de l'offre CPF | Échéance le 31/08/2026 (dans 32 j)</t>
        </is>
      </c>
      <c r="F290" t="inlineStr">
        <is>
          <t>RNCP42105</t>
        </is>
      </c>
      <c r="G290" t="inlineStr">
        <is>
          <t>Arts de la broderie</t>
        </is>
      </c>
      <c r="H290" t="inlineStr">
        <is>
          <t>45531 (Dentellerie broderie artisanale)</t>
        </is>
      </c>
      <c r="I290" t="inlineStr">
        <is>
          <t>31/08/2026</t>
        </is>
      </c>
    </row>
    <row r="291">
      <c r="A291" t="inlineStr"/>
      <c r="B291" t="inlineStr">
        <is>
          <t>RNCP39714</t>
        </is>
      </c>
      <c r="C291" t="inlineStr">
        <is>
          <t>CAP - Arts du tapis et de la  tapisserie de lisse</t>
        </is>
      </c>
      <c r="D291" s="37" t="inlineStr">
        <is>
          <t>À vérifier</t>
        </is>
      </c>
      <c r="E291" t="inlineStr">
        <is>
          <t>Successeur déjà publié : RNCP42113 (Arts du tapis et de la tapisserie de lisse) — préparer la bascule de l'offre CPF | Échéance le 31/08/2026 (dans 32 j)</t>
        </is>
      </c>
      <c r="F291" t="inlineStr">
        <is>
          <t>RNCP42113</t>
        </is>
      </c>
      <c r="G291" t="inlineStr">
        <is>
          <t>Arts du tapis et de la tapisserie de lisse</t>
        </is>
      </c>
      <c r="H291" t="inlineStr">
        <is>
          <t>45511 (Tapisserie lice) ; 21694 (Tapis)</t>
        </is>
      </c>
      <c r="I291" t="inlineStr">
        <is>
          <t>31/08/2026</t>
        </is>
      </c>
    </row>
    <row r="292">
      <c r="A292" t="inlineStr"/>
      <c r="B292" t="inlineStr">
        <is>
          <t>RNCP39716</t>
        </is>
      </c>
      <c r="C292" t="inlineStr">
        <is>
          <t>CAP - Bronzier options : A : Monteur en bronze B : Ciseleur sur bronze C : Tourneur sur bronze</t>
        </is>
      </c>
      <c r="D292" s="37" t="inlineStr">
        <is>
          <t>À vérifier</t>
        </is>
      </c>
      <c r="E292" t="inlineStr">
        <is>
          <t>Successeur déjà publié : RNCP42134 (Bronzier options : A : Monteur en bronze B : Ciseleur sur bronze C : Tourneur sur bronze) — préparer la bascule de l'offre CPF | Échéance le 31/08/2026 (dans 32 j)</t>
        </is>
      </c>
      <c r="F292" t="inlineStr">
        <is>
          <t>RNCP42134</t>
        </is>
      </c>
      <c r="G292" t="inlineStr">
        <is>
          <t>Bronzier options : A : Monteur en bronze B : Ciseleur sur bronze C : Tourneur sur bronze</t>
        </is>
      </c>
      <c r="H292" t="inlineStr">
        <is>
          <t>45548 (Art bronze)</t>
        </is>
      </c>
      <c r="I292" t="inlineStr">
        <is>
          <t>31/08/2026</t>
        </is>
      </c>
    </row>
    <row r="293">
      <c r="A293" t="inlineStr"/>
      <c r="B293" t="inlineStr">
        <is>
          <t>RNCP39763</t>
        </is>
      </c>
      <c r="C293" t="inlineStr">
        <is>
          <t>Manager de la performance financière</t>
        </is>
      </c>
      <c r="D293" s="37" t="inlineStr">
        <is>
          <t>À vérifier</t>
        </is>
      </c>
      <c r="E293" t="inlineStr">
        <is>
          <t>Échéance le 31/10/2026 (dans 93 j)</t>
        </is>
      </c>
      <c r="F293" t="inlineStr">
        <is>
          <t>RNCP39763</t>
        </is>
      </c>
      <c r="G293" t="inlineStr">
        <is>
          <t>Manager de la performance financière</t>
        </is>
      </c>
      <c r="H293" t="inlineStr">
        <is>
          <t>32154 (Encadrement management) ; 32079 (Gestion performance) ; 32652 (Contrôle gestion) ; 32098 (Audit entreprise)</t>
        </is>
      </c>
      <c r="I293" t="inlineStr">
        <is>
          <t>31/10/2026</t>
        </is>
      </c>
    </row>
    <row r="294">
      <c r="A294" t="inlineStr"/>
      <c r="B294" t="inlineStr">
        <is>
          <t>RNCP39786</t>
        </is>
      </c>
      <c r="C294" t="inlineStr">
        <is>
          <t>Coach professionnel</t>
        </is>
      </c>
      <c r="D294" s="37" t="inlineStr">
        <is>
          <t>À vérifier</t>
        </is>
      </c>
      <c r="E294" t="inlineStr">
        <is>
          <t>Successeur déjà publié : RNCP42473 (Coach professionnel) — préparer la bascule de l'offre CPF | Échéance le 31/10/2026 (dans 93 j)</t>
        </is>
      </c>
      <c r="F294" t="inlineStr">
        <is>
          <t>RNCP42473</t>
        </is>
      </c>
      <c r="G294" t="inlineStr">
        <is>
          <t>Coach professionnel</t>
        </is>
      </c>
      <c r="H294" t="inlineStr">
        <is>
          <t>32150 (Coaching entreprise) ; 32043 (Conseil entreprise)</t>
        </is>
      </c>
      <c r="I294" t="inlineStr">
        <is>
          <t>31/10/2026</t>
        </is>
      </c>
    </row>
    <row r="295">
      <c r="A295" t="inlineStr"/>
      <c r="B295" t="inlineStr">
        <is>
          <t>RNCP39788</t>
        </is>
      </c>
      <c r="C295" t="inlineStr">
        <is>
          <t>CAP - Orfèvre options : A : monteur en orfèvrerie ; B : tourneur repousseur en orfèvrerie ; C : polisseur aviveur en orfèvrerie ; D : planeur en orfèvrerie</t>
        </is>
      </c>
      <c r="D295" s="37" t="inlineStr">
        <is>
          <t>À vérifier</t>
        </is>
      </c>
      <c r="E295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32 j)</t>
        </is>
      </c>
      <c r="F295" t="inlineStr">
        <is>
          <t>RNCP42131</t>
        </is>
      </c>
      <c r="G295" t="inlineStr">
        <is>
          <t>Orfèvre options : A : monteur en orfèvrerie ; B : tourneur repousseur en orfèvrerie ; C : polisseur aviveur en orfèvrerie ; D : planeur en orfèvrerie</t>
        </is>
      </c>
      <c r="H295" t="inlineStr">
        <is>
          <t>45507 (Orfèvrerie)</t>
        </is>
      </c>
      <c r="I295" t="inlineStr">
        <is>
          <t>31/08/2026</t>
        </is>
      </c>
    </row>
    <row r="296">
      <c r="A296" t="inlineStr"/>
      <c r="B296" t="inlineStr">
        <is>
          <t>RNCP39801</t>
        </is>
      </c>
      <c r="C296" t="inlineStr">
        <is>
          <t>BTS - Bâtiment</t>
        </is>
      </c>
      <c r="D296" s="37" t="inlineStr">
        <is>
          <t>À vérifier</t>
        </is>
      </c>
      <c r="E296" t="inlineStr">
        <is>
          <t>Successeur déjà publié : RNCP41816 (Bâtiment) — préparer la bascule de l'offre CPF | Échéance le 31/12/2026 (dans 154 j)</t>
        </is>
      </c>
      <c r="F296" t="inlineStr">
        <is>
          <t>RNCP41816</t>
        </is>
      </c>
      <c r="G296" t="inlineStr">
        <is>
          <t>Bâtiment</t>
        </is>
      </c>
      <c r="H296" t="inlineStr">
        <is>
          <t>22274 (Chantier BTP)</t>
        </is>
      </c>
      <c r="I296" t="inlineStr">
        <is>
          <t>31/12/2026</t>
        </is>
      </c>
    </row>
    <row r="297">
      <c r="A297" t="inlineStr"/>
      <c r="B297" t="inlineStr">
        <is>
          <t>RNCP39807</t>
        </is>
      </c>
      <c r="C297" t="inlineStr">
        <is>
          <t>CAP - Lapidaire options Diamant et Pierres de couleur</t>
        </is>
      </c>
      <c r="D297" s="37" t="inlineStr">
        <is>
          <t>À vérifier</t>
        </is>
      </c>
      <c r="E297" t="inlineStr">
        <is>
          <t>Successeur déjà publié : RNCP42135 (Lapidaire options Diamant et Pierres de couleur) — préparer la bascule de l'offre CPF | Échéance le 31/08/2026 (dans 32 j)</t>
        </is>
      </c>
      <c r="F297" t="inlineStr">
        <is>
          <t>RNCP42135</t>
        </is>
      </c>
      <c r="G297" t="inlineStr">
        <is>
          <t>Lapidaire options Diamant et Pierres de couleur</t>
        </is>
      </c>
      <c r="H297" t="inlineStr">
        <is>
          <t>45508 (Art pierre précieuse)</t>
        </is>
      </c>
      <c r="I297" t="inlineStr">
        <is>
          <t>31/08/2026</t>
        </is>
      </c>
    </row>
    <row r="298">
      <c r="A298" t="inlineStr"/>
      <c r="B298" t="inlineStr">
        <is>
          <t>RNCP39847</t>
        </is>
      </c>
      <c r="C298" t="inlineStr">
        <is>
          <t>CQP Opérateur maintenance pneumatiques véhicules industriels, agricoles et génie civil</t>
        </is>
      </c>
      <c r="D298" s="37" t="inlineStr">
        <is>
          <t>À vérifier</t>
        </is>
      </c>
      <c r="E298" t="inlineStr">
        <is>
          <t>Échéance le 28/11/2026 (dans 121 j)</t>
        </is>
      </c>
      <c r="F298" t="inlineStr">
        <is>
          <t>RNCP39847</t>
        </is>
      </c>
      <c r="G298" t="inlineStr">
        <is>
          <t>CQP Opérateur maintenance pneumatiques véhicules industriels, agricoles et génie civil</t>
        </is>
      </c>
      <c r="H298" t="inlineStr">
        <is>
          <t>23608 (Pneu)</t>
        </is>
      </c>
      <c r="I298" t="inlineStr">
        <is>
          <t>28/11/2026</t>
        </is>
      </c>
    </row>
    <row r="299">
      <c r="A299" t="inlineStr"/>
      <c r="B299" t="inlineStr">
        <is>
          <t>RNCP39892</t>
        </is>
      </c>
      <c r="C299" t="inlineStr">
        <is>
          <t>TP - Technicien de maintenance d'engins et de matériels « machinisme agricole »</t>
        </is>
      </c>
      <c r="D299" s="37" t="inlineStr">
        <is>
          <t>À vérifier</t>
        </is>
      </c>
      <c r="E299" t="inlineStr">
        <is>
          <t>Échéance le 26/12/2026 (dans 149 j)</t>
        </is>
      </c>
      <c r="F299" t="inlineStr">
        <is>
          <t>RNCP39892</t>
        </is>
      </c>
      <c r="G299" t="inlineStr">
        <is>
          <t>Technicien de maintenance d'engins et de matériels « machinisme agricole »</t>
        </is>
      </c>
      <c r="H299" t="inlineStr">
        <is>
          <t>21011 (Machinisme agricole)</t>
        </is>
      </c>
      <c r="I299" t="inlineStr">
        <is>
          <t>26/12/2026</t>
        </is>
      </c>
    </row>
    <row r="300">
      <c r="A300" t="inlineStr"/>
      <c r="B300" t="inlineStr">
        <is>
          <t>RNCP39973</t>
        </is>
      </c>
      <c r="C300" t="inlineStr">
        <is>
          <t>Gestionnaire comptable et financier</t>
        </is>
      </c>
      <c r="D300" s="37" t="inlineStr">
        <is>
          <t>À vérifier</t>
        </is>
      </c>
      <c r="E300" t="inlineStr">
        <is>
          <t>Échéance le 18/12/2026 (dans 141 j)</t>
        </is>
      </c>
      <c r="F300" t="inlineStr">
        <is>
          <t>RNCP39973</t>
        </is>
      </c>
      <c r="G300" t="inlineStr">
        <is>
          <t>Gestionnaire comptable et financier</t>
        </is>
      </c>
      <c r="H300" t="inlineStr">
        <is>
          <t>32663 (Comptabilité) ; 32652 (Contrôle gestion) ; 32611 (Trésorerie)</t>
        </is>
      </c>
      <c r="I300" t="inlineStr">
        <is>
          <t>18/12/2026</t>
        </is>
      </c>
    </row>
    <row r="301">
      <c r="A301" t="inlineStr"/>
      <c r="B301" t="inlineStr">
        <is>
          <t>RNCP39995</t>
        </is>
      </c>
      <c r="C301" t="inlineStr">
        <is>
          <t>CQP Conducteur d'équipement industriel caoutchouc</t>
        </is>
      </c>
      <c r="D301" s="37" t="inlineStr">
        <is>
          <t>À vérifier</t>
        </is>
      </c>
      <c r="E301" t="inlineStr">
        <is>
          <t>Échéance le 18/12/2026 (dans 141 j)</t>
        </is>
      </c>
      <c r="F301" t="inlineStr">
        <is>
          <t>RNCP39995</t>
        </is>
      </c>
      <c r="G301" t="inlineStr">
        <is>
          <t>CQP Conducteur d'équipement industriel caoutchouc</t>
        </is>
      </c>
      <c r="H301" t="inlineStr">
        <is>
          <t>22839 (Caoutchouc) ; 31620 (Conduite installation industrielle)</t>
        </is>
      </c>
      <c r="I301" t="inlineStr">
        <is>
          <t>18/12/2026</t>
        </is>
      </c>
    </row>
    <row r="302">
      <c r="A302" t="inlineStr"/>
      <c r="B302" t="inlineStr">
        <is>
          <t>RNCP40003</t>
        </is>
      </c>
      <c r="C302" t="inlineStr">
        <is>
          <t>Décorateur</t>
        </is>
      </c>
      <c r="D302" s="37" t="inlineStr">
        <is>
          <t>À vérifier</t>
        </is>
      </c>
      <c r="E302" t="inlineStr">
        <is>
          <t>Échéance le 18/12/2026 (dans 141 j)</t>
        </is>
      </c>
      <c r="F302" t="inlineStr">
        <is>
          <t>RNCP40003</t>
        </is>
      </c>
      <c r="G302" t="inlineStr">
        <is>
          <t>Décorateur</t>
        </is>
      </c>
      <c r="H302" t="inlineStr">
        <is>
          <t>22404 (Menuiserie agencement) ; 45015 (Architecture intérieure)</t>
        </is>
      </c>
      <c r="I302" t="inlineStr">
        <is>
          <t>18/12/2026</t>
        </is>
      </c>
    </row>
    <row r="303">
      <c r="A303" t="inlineStr"/>
      <c r="B303" t="inlineStr">
        <is>
          <t>RNCP40217</t>
        </is>
      </c>
      <c r="C303" t="inlineStr">
        <is>
          <t>TP - Conducteur de travaux du bâtiment et du génie civil</t>
        </is>
      </c>
      <c r="D303" s="37" t="inlineStr">
        <is>
          <t>À vérifier</t>
        </is>
      </c>
      <c r="E303" t="inlineStr">
        <is>
          <t>Échéance le 20/10/2026 (dans 82 j)</t>
        </is>
      </c>
      <c r="F303" t="inlineStr">
        <is>
          <t>RNCP40217</t>
        </is>
      </c>
      <c r="G303" t="inlineStr">
        <is>
          <t>Conducteur de travaux du bâtiment et du génie civil</t>
        </is>
      </c>
      <c r="H303" t="inlineStr">
        <is>
          <t>22293 (Conduite travaux BTP) ; 22054 (Travaux publics) ; 22354 (Bâtiment gros oeuvre)</t>
        </is>
      </c>
      <c r="I303" t="inlineStr">
        <is>
          <t>20/10/2026</t>
        </is>
      </c>
    </row>
    <row r="304">
      <c r="A304" t="inlineStr"/>
      <c r="B304" t="inlineStr">
        <is>
          <t>RNCP40298</t>
        </is>
      </c>
      <c r="C304" t="inlineStr">
        <is>
          <t>TP - Agent de sûreté et de sécurité privée</t>
        </is>
      </c>
      <c r="D304" s="37" t="inlineStr">
        <is>
          <t>À vérifier</t>
        </is>
      </c>
      <c r="E304" t="inlineStr">
        <is>
          <t>Successeur déjà publié : RNCP42530 (Agent de sûreté et de sécurité privée) — préparer la bascule de l'offre CPF | Échéance le 01/09/2026 (dans 33 j)</t>
        </is>
      </c>
      <c r="F304" t="inlineStr">
        <is>
          <t>RNCP42530</t>
        </is>
      </c>
      <c r="G304" t="inlineStr">
        <is>
          <t>Agent de sûreté et de sécurité privée</t>
        </is>
      </c>
      <c r="H304" t="inlineStr">
        <is>
          <t>42811 (SSIAP) ; 42841 (Surveillance sécurité IGH) ; 42850 (Surveillance sécurité ERP) ; 42820 (Surveillance sécurité magasin) ; 31875 (Sécurité transport)</t>
        </is>
      </c>
      <c r="I304" t="inlineStr">
        <is>
          <t>01/09/2026</t>
        </is>
      </c>
    </row>
    <row r="305">
      <c r="A305" t="inlineStr"/>
      <c r="B305" t="inlineStr">
        <is>
          <t>RNCP40692</t>
        </is>
      </c>
      <c r="C305" t="inlineStr">
        <is>
          <t>DE - Aide-Soignant (DEAS)</t>
        </is>
      </c>
      <c r="D305" s="37" t="inlineStr">
        <is>
          <t>À vérifier</t>
        </is>
      </c>
      <c r="E305" t="inlineStr">
        <is>
          <t>Intitulé officiel différent : « Aide-Soignant »</t>
        </is>
      </c>
      <c r="F305" t="inlineStr">
        <is>
          <t>RNCP40692</t>
        </is>
      </c>
      <c r="G305" t="inlineStr">
        <is>
          <t>Aide-Soignant</t>
        </is>
      </c>
      <c r="H305" t="inlineStr">
        <is>
          <t>43436 (Aide-soignant)</t>
        </is>
      </c>
      <c r="I305" t="inlineStr">
        <is>
          <t>01/09/2029</t>
        </is>
      </c>
    </row>
    <row r="306">
      <c r="A306" t="inlineStr"/>
      <c r="B306" t="inlineStr">
        <is>
          <t>RNCP40743</t>
        </is>
      </c>
      <c r="C306" t="inlineStr">
        <is>
          <t>DE - Auxiliaire de puériculture (DEAP)</t>
        </is>
      </c>
      <c r="D306" s="37" t="inlineStr">
        <is>
          <t>À vérifier</t>
        </is>
      </c>
      <c r="E306" t="inlineStr">
        <is>
          <t>Intitulé officiel différent : « Auxiliaire de puériculture »</t>
        </is>
      </c>
      <c r="F306" t="inlineStr">
        <is>
          <t>RNCP40743</t>
        </is>
      </c>
      <c r="G306" t="inlineStr">
        <is>
          <t>Auxiliaire de puériculture</t>
        </is>
      </c>
      <c r="H306" t="inlineStr">
        <is>
          <t>43441 (Auxiliaire puériculture)</t>
        </is>
      </c>
      <c r="I306" t="inlineStr">
        <is>
          <t>01/09/2029</t>
        </is>
      </c>
    </row>
    <row r="307">
      <c r="A307" t="inlineStr"/>
      <c r="B307" t="inlineStr">
        <is>
          <t>RNCP40839</t>
        </is>
      </c>
      <c r="C307" t="inlineStr">
        <is>
          <t>CQP Technicien après-vente automobile</t>
        </is>
      </c>
      <c r="D307" s="37" t="inlineStr">
        <is>
          <t>À vérifier</t>
        </is>
      </c>
      <c r="E307" t="inlineStr">
        <is>
          <t>Intitulé officiel différent : « Technicien après-vente automobile »</t>
        </is>
      </c>
      <c r="F307" t="inlineStr">
        <is>
          <t>RNCP40839</t>
        </is>
      </c>
      <c r="G307" t="inlineStr">
        <is>
          <t>Technicien après-vente automobile</t>
        </is>
      </c>
      <c r="H307" t="inlineStr">
        <is>
          <t>23637 (Mécanique automobile)</t>
        </is>
      </c>
      <c r="I307" t="inlineStr">
        <is>
          <t>25/06/2030</t>
        </is>
      </c>
    </row>
    <row r="308">
      <c r="A308" t="inlineStr"/>
      <c r="B308" t="inlineStr">
        <is>
          <t>RNCP40981</t>
        </is>
      </c>
      <c r="C308" t="inlineStr">
        <is>
          <t>DIPLOVIS - Diplôme supérieur en immobilier</t>
        </is>
      </c>
      <c r="D308" s="37" t="inlineStr">
        <is>
          <t>À vérifier</t>
        </is>
      </c>
      <c r="E308" t="inlineStr">
        <is>
          <t>Successeur déjà publié : RNCP41903 (Diplôme supérieur en immobilier) — préparer la bascule de l'offre CPF</t>
        </is>
      </c>
      <c r="F308" t="inlineStr">
        <is>
          <t>RNCP41903</t>
        </is>
      </c>
      <c r="G308" t="inlineStr">
        <is>
          <t>Diplôme supérieur en immobilier</t>
        </is>
      </c>
      <c r="H308" t="inlineStr">
        <is>
          <t>42158 (Commercialisation immobilière) ; 42178 (Financement immobilier) ; 42137 (Expertise immobilière) ; 42133 (Gestion immobilière) ; 42186 (Promotion immobilière)</t>
        </is>
      </c>
      <c r="I308" t="inlineStr">
        <is>
          <t>31/08/2027</t>
        </is>
      </c>
    </row>
    <row r="309">
      <c r="A309" t="inlineStr"/>
      <c r="B309" t="inlineStr">
        <is>
          <t>RNCP41538</t>
        </is>
      </c>
      <c r="C309" t="inlineStr">
        <is>
          <t>TP - Responsable d'unité de restauration collective</t>
        </is>
      </c>
      <c r="D309" s="37" t="inlineStr">
        <is>
          <t>À vérifier</t>
        </is>
      </c>
      <c r="E309" t="inlineStr">
        <is>
          <t>Échéance le 21/01/2027 (dans 175 j)</t>
        </is>
      </c>
      <c r="F309" t="inlineStr">
        <is>
          <t>RNCP41538</t>
        </is>
      </c>
      <c r="G309" t="inlineStr">
        <is>
          <t>Responsable d'unité de restauration collective</t>
        </is>
      </c>
      <c r="H309" t="inlineStr">
        <is>
          <t>42729 (Gestion restauration collective)</t>
        </is>
      </c>
      <c r="I309" t="inlineStr">
        <is>
          <t>21/01/2027</t>
        </is>
      </c>
    </row>
  </sheetData>
  <autoFilter ref="A12:I30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2026-07-30</t>
        </is>
      </c>
      <c r="B3" s="43" t="inlineStr">
        <is>
          <t>RNCP36156</t>
        </is>
      </c>
      <c r="C3" s="43" t="inlineStr">
        <is>
          <t>Changement de statut</t>
        </is>
      </c>
      <c r="D3" s="43" t="inlineStr">
        <is>
          <t>RAS</t>
        </is>
      </c>
      <c r="E3" s="43" t="inlineStr">
        <is>
          <t>À vérifier</t>
        </is>
      </c>
    </row>
    <row r="4">
      <c r="A4" s="43" t="inlineStr">
        <is>
          <t>2026-07-30</t>
        </is>
      </c>
      <c r="B4" s="43" t="inlineStr">
        <is>
          <t>RNCP36143</t>
        </is>
      </c>
      <c r="C4" s="43" t="inlineStr">
        <is>
          <t>Changement de statut</t>
        </is>
      </c>
      <c r="D4" s="43" t="inlineStr">
        <is>
          <t>RAS</t>
        </is>
      </c>
      <c r="E4" s="43" t="inlineStr">
        <is>
          <t>À vérifier</t>
        </is>
      </c>
    </row>
    <row r="5">
      <c r="A5" s="43" t="inlineStr">
        <is>
          <t>2026-07-30</t>
        </is>
      </c>
      <c r="B5" s="43" t="inlineStr">
        <is>
          <t>RNCP36119</t>
        </is>
      </c>
      <c r="C5" s="43" t="inlineStr">
        <is>
          <t>Changement de statut</t>
        </is>
      </c>
      <c r="D5" s="43" t="inlineStr">
        <is>
          <t>RAS</t>
        </is>
      </c>
      <c r="E5" s="43" t="inlineStr">
        <is>
          <t>À vérifier</t>
        </is>
      </c>
    </row>
    <row r="6">
      <c r="A6" t="inlineStr">
        <is>
          <t>2026-07-28</t>
        </is>
      </c>
      <c r="B6" t="inlineStr">
        <is>
          <t>RNCP37678</t>
        </is>
      </c>
      <c r="C6" t="inlineStr">
        <is>
          <t>Successeur(s) modifié(s)</t>
        </is>
      </c>
      <c r="D6" t="inlineStr">
        <is>
          <t>RNCP41744, RNCP42424</t>
        </is>
      </c>
      <c r="E6" t="inlineStr">
        <is>
          <t>RNCP42424</t>
        </is>
      </c>
    </row>
    <row r="7">
      <c r="A7" t="inlineStr">
        <is>
          <t>2026-07-25</t>
        </is>
      </c>
      <c r="B7" t="inlineStr">
        <is>
          <t>RNCP41538</t>
        </is>
      </c>
      <c r="C7" t="inlineStr">
        <is>
          <t>Changement de statut</t>
        </is>
      </c>
      <c r="D7" t="inlineStr">
        <is>
          <t>RAS</t>
        </is>
      </c>
      <c r="E7" t="inlineStr">
        <is>
          <t>À vérifier</t>
        </is>
      </c>
    </row>
    <row r="8">
      <c r="A8" t="inlineStr">
        <is>
          <t>2026-07-25</t>
        </is>
      </c>
      <c r="B8" t="inlineStr">
        <is>
          <t>RNCP37719</t>
        </is>
      </c>
      <c r="C8" t="inlineStr">
        <is>
          <t>Successeur(s) modifié(s)</t>
        </is>
      </c>
      <c r="D8" t="inlineStr"/>
      <c r="E8" t="inlineStr">
        <is>
          <t>RNCP42709</t>
        </is>
      </c>
    </row>
    <row r="9">
      <c r="A9" t="inlineStr">
        <is>
          <t>2026-07-22</t>
        </is>
      </c>
      <c r="B9" t="inlineStr">
        <is>
          <t>RNCP39160</t>
        </is>
      </c>
      <c r="C9" t="inlineStr">
        <is>
          <t>Successeur(s) modifié(s)</t>
        </is>
      </c>
      <c r="D9" t="inlineStr"/>
      <c r="E9" t="inlineStr">
        <is>
          <t>RNCP42673</t>
        </is>
      </c>
    </row>
    <row r="10">
      <c r="A10" t="inlineStr">
        <is>
          <t>2026-07-22</t>
        </is>
      </c>
      <c r="B10" t="inlineStr">
        <is>
          <t>RNCP38142</t>
        </is>
      </c>
      <c r="C10" t="inlineStr">
        <is>
          <t>Successeur(s) modifié(s)</t>
        </is>
      </c>
      <c r="D10" t="inlineStr"/>
      <c r="E10" t="inlineStr">
        <is>
          <t>RNCP42635</t>
        </is>
      </c>
    </row>
    <row r="11">
      <c r="A11" t="inlineStr">
        <is>
          <t>2026-07-22</t>
        </is>
      </c>
      <c r="B11" t="inlineStr">
        <is>
          <t>RNCP37779</t>
        </is>
      </c>
      <c r="C11" t="inlineStr">
        <is>
          <t>Successeur(s) modifié(s)</t>
        </is>
      </c>
      <c r="D11" t="inlineStr"/>
      <c r="E11" t="inlineStr">
        <is>
          <t>RNCP42656</t>
        </is>
      </c>
    </row>
    <row r="12">
      <c r="A12" t="inlineStr">
        <is>
          <t>2026-07-22</t>
        </is>
      </c>
      <c r="B12" t="inlineStr">
        <is>
          <t>RNCP35863</t>
        </is>
      </c>
      <c r="C12" t="inlineStr">
        <is>
          <t>Successeur(s) modifié(s)</t>
        </is>
      </c>
      <c r="D12" t="inlineStr"/>
      <c r="E12" t="inlineStr">
        <is>
          <t>RNCP42644</t>
        </is>
      </c>
    </row>
    <row r="13">
      <c r="A13" t="inlineStr">
        <is>
          <t>2026-07-21</t>
        </is>
      </c>
      <c r="B13" t="inlineStr">
        <is>
          <t>RNCP39395</t>
        </is>
      </c>
      <c r="C13" t="inlineStr">
        <is>
          <t>État de la fiche</t>
        </is>
      </c>
      <c r="D13" t="inlineStr">
        <is>
          <t>Active</t>
        </is>
      </c>
      <c r="E13" t="inlineStr">
        <is>
          <t>Inactive</t>
        </is>
      </c>
    </row>
    <row r="14">
      <c r="A14" t="inlineStr">
        <is>
          <t>2026-07-21</t>
        </is>
      </c>
      <c r="B14" t="inlineStr">
        <is>
          <t>RNCP39395</t>
        </is>
      </c>
      <c r="C14" t="inlineStr">
        <is>
          <t>Changement de statut</t>
        </is>
      </c>
      <c r="D14" t="inlineStr">
        <is>
          <t>À vérifier</t>
        </is>
      </c>
      <c r="E14" t="inlineStr">
        <is>
          <t>Expiré / remplacé</t>
        </is>
      </c>
    </row>
    <row r="15">
      <c r="A15" t="inlineStr">
        <is>
          <t>2026-07-21</t>
        </is>
      </c>
      <c r="B15" t="inlineStr">
        <is>
          <t>RNCP39392</t>
        </is>
      </c>
      <c r="C15" t="inlineStr">
        <is>
          <t>État de la fiche</t>
        </is>
      </c>
      <c r="D15" t="inlineStr">
        <is>
          <t>Active</t>
        </is>
      </c>
      <c r="E15" t="inlineStr">
        <is>
          <t>Inactive</t>
        </is>
      </c>
    </row>
    <row r="16">
      <c r="A16" t="inlineStr">
        <is>
          <t>2026-07-21</t>
        </is>
      </c>
      <c r="B16" t="inlineStr">
        <is>
          <t>RNCP39392</t>
        </is>
      </c>
      <c r="C16" t="inlineStr">
        <is>
          <t>Changement de statut</t>
        </is>
      </c>
      <c r="D16" t="inlineStr">
        <is>
          <t>À vérifier</t>
        </is>
      </c>
      <c r="E16" t="inlineStr">
        <is>
          <t>Expiré / remplacé</t>
        </is>
      </c>
    </row>
    <row r="17">
      <c r="A17" t="inlineStr">
        <is>
          <t>2026-07-21</t>
        </is>
      </c>
      <c r="B17" t="inlineStr">
        <is>
          <t>RNCP37865</t>
        </is>
      </c>
      <c r="C17" t="inlineStr">
        <is>
          <t>État de la fiche</t>
        </is>
      </c>
      <c r="D17" t="inlineStr">
        <is>
          <t>Active</t>
        </is>
      </c>
      <c r="E17" t="inlineStr">
        <is>
          <t>Inactive</t>
        </is>
      </c>
    </row>
    <row r="18">
      <c r="A18" t="inlineStr">
        <is>
          <t>2026-07-21</t>
        </is>
      </c>
      <c r="B18" t="inlineStr">
        <is>
          <t>RNCP37865</t>
        </is>
      </c>
      <c r="C18" t="inlineStr">
        <is>
          <t>Changement de statut</t>
        </is>
      </c>
      <c r="D18" t="inlineStr">
        <is>
          <t>À vérifier</t>
        </is>
      </c>
      <c r="E18" t="inlineStr">
        <is>
          <t>Expiré / remplacé</t>
        </is>
      </c>
    </row>
    <row r="19">
      <c r="A19" t="inlineStr">
        <is>
          <t>2026-07-21</t>
        </is>
      </c>
      <c r="B19" t="inlineStr">
        <is>
          <t>RNCP37854</t>
        </is>
      </c>
      <c r="C19" t="inlineStr">
        <is>
          <t>État de la fiche</t>
        </is>
      </c>
      <c r="D19" t="inlineStr">
        <is>
          <t>Active</t>
        </is>
      </c>
      <c r="E19" t="inlineStr">
        <is>
          <t>Inactive</t>
        </is>
      </c>
    </row>
    <row r="20">
      <c r="A20" t="inlineStr">
        <is>
          <t>2026-07-21</t>
        </is>
      </c>
      <c r="B20" t="inlineStr">
        <is>
          <t>RNCP37854</t>
        </is>
      </c>
      <c r="C20" t="inlineStr">
        <is>
          <t>Changement de statut</t>
        </is>
      </c>
      <c r="D20" t="inlineStr">
        <is>
          <t>À vérifier</t>
        </is>
      </c>
      <c r="E20" t="inlineStr">
        <is>
          <t>Expiré / remplacé</t>
        </is>
      </c>
    </row>
    <row r="21">
      <c r="A21" t="inlineStr">
        <is>
          <t>2026-07-21</t>
        </is>
      </c>
      <c r="B21" t="inlineStr">
        <is>
          <t>RNCP37853</t>
        </is>
      </c>
      <c r="C21" t="inlineStr">
        <is>
          <t>État de la fiche</t>
        </is>
      </c>
      <c r="D21" t="inlineStr">
        <is>
          <t>Active</t>
        </is>
      </c>
      <c r="E21" t="inlineStr">
        <is>
          <t>Inactive</t>
        </is>
      </c>
    </row>
    <row r="22">
      <c r="A22" t="inlineStr">
        <is>
          <t>2026-07-21</t>
        </is>
      </c>
      <c r="B22" t="inlineStr">
        <is>
          <t>RNCP37853</t>
        </is>
      </c>
      <c r="C22" t="inlineStr">
        <is>
          <t>Changement de statut</t>
        </is>
      </c>
      <c r="D22" t="inlineStr">
        <is>
          <t>À vérifier</t>
        </is>
      </c>
      <c r="E22" t="inlineStr">
        <is>
          <t>Expiré / remplacé</t>
        </is>
      </c>
    </row>
    <row r="23">
      <c r="A23" t="inlineStr">
        <is>
          <t>2026-07-21</t>
        </is>
      </c>
      <c r="B23" t="inlineStr">
        <is>
          <t>RNCP37851</t>
        </is>
      </c>
      <c r="C23" t="inlineStr">
        <is>
          <t>Successeur(s) modifié(s)</t>
        </is>
      </c>
      <c r="D23" t="inlineStr"/>
      <c r="E23" t="inlineStr">
        <is>
          <t>RNCP42638</t>
        </is>
      </c>
    </row>
    <row r="24">
      <c r="A24" t="inlineStr">
        <is>
          <t>2026-07-21</t>
        </is>
      </c>
      <c r="B24" t="inlineStr">
        <is>
          <t>RNCP37851</t>
        </is>
      </c>
      <c r="C24" t="inlineStr">
        <is>
          <t>État de la fiche</t>
        </is>
      </c>
      <c r="D24" t="inlineStr">
        <is>
          <t>Active</t>
        </is>
      </c>
      <c r="E24" t="inlineStr">
        <is>
          <t>Inactive</t>
        </is>
      </c>
    </row>
    <row r="25">
      <c r="A25" t="inlineStr">
        <is>
          <t>2026-07-21</t>
        </is>
      </c>
      <c r="B25" t="inlineStr">
        <is>
          <t>RNCP37851</t>
        </is>
      </c>
      <c r="C25" t="inlineStr">
        <is>
          <t>Changement de statut</t>
        </is>
      </c>
      <c r="D25" t="inlineStr">
        <is>
          <t>À vérifier</t>
        </is>
      </c>
      <c r="E25" t="inlineStr">
        <is>
          <t>Expiré / remplacé</t>
        </is>
      </c>
    </row>
    <row r="26">
      <c r="A26" t="inlineStr">
        <is>
          <t>2026-07-21</t>
        </is>
      </c>
      <c r="B26" t="inlineStr">
        <is>
          <t>RNCP37849</t>
        </is>
      </c>
      <c r="C26" t="inlineStr">
        <is>
          <t>État de la fiche</t>
        </is>
      </c>
      <c r="D26" t="inlineStr">
        <is>
          <t>Active</t>
        </is>
      </c>
      <c r="E26" t="inlineStr">
        <is>
          <t>Inactive</t>
        </is>
      </c>
    </row>
    <row r="27">
      <c r="A27" t="inlineStr">
        <is>
          <t>2026-07-21</t>
        </is>
      </c>
      <c r="B27" t="inlineStr">
        <is>
          <t>RNCP37849</t>
        </is>
      </c>
      <c r="C27" t="inlineStr">
        <is>
          <t>Changement de statut</t>
        </is>
      </c>
      <c r="D27" t="inlineStr">
        <is>
          <t>À vérifier</t>
        </is>
      </c>
      <c r="E27" t="inlineStr">
        <is>
          <t>Expiré / remplacé</t>
        </is>
      </c>
    </row>
    <row r="28">
      <c r="A28" t="inlineStr">
        <is>
          <t>2026-07-21</t>
        </is>
      </c>
      <c r="B28" t="inlineStr">
        <is>
          <t>RNCP37842</t>
        </is>
      </c>
      <c r="C28" t="inlineStr">
        <is>
          <t>État de la fiche</t>
        </is>
      </c>
      <c r="D28" t="inlineStr">
        <is>
          <t>Active</t>
        </is>
      </c>
      <c r="E28" t="inlineStr">
        <is>
          <t>Inactive</t>
        </is>
      </c>
    </row>
    <row r="29">
      <c r="A29" t="inlineStr">
        <is>
          <t>2026-07-21</t>
        </is>
      </c>
      <c r="B29" t="inlineStr">
        <is>
          <t>RNCP37842</t>
        </is>
      </c>
      <c r="C29" t="inlineStr">
        <is>
          <t>Changement de statut</t>
        </is>
      </c>
      <c r="D29" t="inlineStr">
        <is>
          <t>À vérifier</t>
        </is>
      </c>
      <c r="E29" t="inlineStr">
        <is>
          <t>Expiré / remplacé</t>
        </is>
      </c>
    </row>
    <row r="30">
      <c r="A30" t="inlineStr">
        <is>
          <t>2026-07-21</t>
        </is>
      </c>
      <c r="B30" t="inlineStr">
        <is>
          <t>RNCP37828</t>
        </is>
      </c>
      <c r="C30" t="inlineStr">
        <is>
          <t>État de la fiche</t>
        </is>
      </c>
      <c r="D30" t="inlineStr">
        <is>
          <t>Active</t>
        </is>
      </c>
      <c r="E30" t="inlineStr">
        <is>
          <t>Inactive</t>
        </is>
      </c>
    </row>
    <row r="31">
      <c r="A31" t="inlineStr">
        <is>
          <t>2026-07-21</t>
        </is>
      </c>
      <c r="B31" t="inlineStr">
        <is>
          <t>RNCP37828</t>
        </is>
      </c>
      <c r="C31" t="inlineStr">
        <is>
          <t>Changement de statut</t>
        </is>
      </c>
      <c r="D31" t="inlineStr">
        <is>
          <t>À vérifier</t>
        </is>
      </c>
      <c r="E31" t="inlineStr">
        <is>
          <t>Expiré / remplacé</t>
        </is>
      </c>
    </row>
    <row r="32">
      <c r="A32" t="inlineStr">
        <is>
          <t>2026-07-21</t>
        </is>
      </c>
      <c r="B32" t="inlineStr">
        <is>
          <t>RNCP37824</t>
        </is>
      </c>
      <c r="C32" t="inlineStr">
        <is>
          <t>État de la fiche</t>
        </is>
      </c>
      <c r="D32" t="inlineStr">
        <is>
          <t>Active</t>
        </is>
      </c>
      <c r="E32" t="inlineStr">
        <is>
          <t>Inactive</t>
        </is>
      </c>
    </row>
    <row r="33">
      <c r="A33" t="inlineStr">
        <is>
          <t>2026-07-21</t>
        </is>
      </c>
      <c r="B33" t="inlineStr">
        <is>
          <t>RNCP37824</t>
        </is>
      </c>
      <c r="C33" t="inlineStr">
        <is>
          <t>Changement de statut</t>
        </is>
      </c>
      <c r="D33" t="inlineStr">
        <is>
          <t>À vérifier</t>
        </is>
      </c>
      <c r="E33" t="inlineStr">
        <is>
          <t>Expiré / remplacé</t>
        </is>
      </c>
    </row>
    <row r="34">
      <c r="A34" t="inlineStr">
        <is>
          <t>2026-07-21</t>
        </is>
      </c>
      <c r="B34" t="inlineStr">
        <is>
          <t>RNCP37799</t>
        </is>
      </c>
      <c r="C34" t="inlineStr">
        <is>
          <t>État de la fiche</t>
        </is>
      </c>
      <c r="D34" t="inlineStr">
        <is>
          <t>Active</t>
        </is>
      </c>
      <c r="E34" t="inlineStr">
        <is>
          <t>Inactive</t>
        </is>
      </c>
    </row>
    <row r="35">
      <c r="A35" t="inlineStr">
        <is>
          <t>2026-07-21</t>
        </is>
      </c>
      <c r="B35" t="inlineStr">
        <is>
          <t>RNCP37799</t>
        </is>
      </c>
      <c r="C35" t="inlineStr">
        <is>
          <t>Changement de statut</t>
        </is>
      </c>
      <c r="D35" t="inlineStr">
        <is>
          <t>À vérifier</t>
        </is>
      </c>
      <c r="E35" t="inlineStr">
        <is>
          <t>Expiré / remplacé</t>
        </is>
      </c>
    </row>
    <row r="36">
      <c r="A36" t="inlineStr">
        <is>
          <t>2026-07-21</t>
        </is>
      </c>
      <c r="B36" t="inlineStr">
        <is>
          <t>RNCP37796</t>
        </is>
      </c>
      <c r="C36" t="inlineStr">
        <is>
          <t>État de la fiche</t>
        </is>
      </c>
      <c r="D36" t="inlineStr">
        <is>
          <t>Active</t>
        </is>
      </c>
      <c r="E36" t="inlineStr">
        <is>
          <t>Inactive</t>
        </is>
      </c>
    </row>
    <row r="37">
      <c r="A37" t="inlineStr">
        <is>
          <t>2026-07-21</t>
        </is>
      </c>
      <c r="B37" t="inlineStr">
        <is>
          <t>RNCP37796</t>
        </is>
      </c>
      <c r="C37" t="inlineStr">
        <is>
          <t>Changement de statut</t>
        </is>
      </c>
      <c r="D37" t="inlineStr">
        <is>
          <t>À vérifier</t>
        </is>
      </c>
      <c r="E37" t="inlineStr">
        <is>
          <t>Expiré / remplacé</t>
        </is>
      </c>
    </row>
    <row r="38">
      <c r="A38" t="inlineStr">
        <is>
          <t>2026-07-21</t>
        </is>
      </c>
      <c r="B38" t="inlineStr">
        <is>
          <t>RNCP37795</t>
        </is>
      </c>
      <c r="C38" t="inlineStr">
        <is>
          <t>État de la fiche</t>
        </is>
      </c>
      <c r="D38" t="inlineStr">
        <is>
          <t>Active</t>
        </is>
      </c>
      <c r="E38" t="inlineStr">
        <is>
          <t>Inactive</t>
        </is>
      </c>
    </row>
    <row r="39">
      <c r="A39" t="inlineStr">
        <is>
          <t>2026-07-21</t>
        </is>
      </c>
      <c r="B39" t="inlineStr">
        <is>
          <t>RNCP37795</t>
        </is>
      </c>
      <c r="C39" t="inlineStr">
        <is>
          <t>Changement de statut</t>
        </is>
      </c>
      <c r="D39" t="inlineStr">
        <is>
          <t>À vérifier</t>
        </is>
      </c>
      <c r="E39" t="inlineStr">
        <is>
          <t>Expiré / remplacé</t>
        </is>
      </c>
    </row>
    <row r="40">
      <c r="A40" t="inlineStr">
        <is>
          <t>2026-07-21</t>
        </is>
      </c>
      <c r="B40" t="inlineStr">
        <is>
          <t>RNCP37793</t>
        </is>
      </c>
      <c r="C40" t="inlineStr">
        <is>
          <t>État de la fiche</t>
        </is>
      </c>
      <c r="D40" t="inlineStr">
        <is>
          <t>Active</t>
        </is>
      </c>
      <c r="E40" t="inlineStr">
        <is>
          <t>Inactive</t>
        </is>
      </c>
    </row>
    <row r="41">
      <c r="A41" t="inlineStr">
        <is>
          <t>2026-07-21</t>
        </is>
      </c>
      <c r="B41" t="inlineStr">
        <is>
          <t>RNCP37793</t>
        </is>
      </c>
      <c r="C41" t="inlineStr">
        <is>
          <t>Changement de statut</t>
        </is>
      </c>
      <c r="D41" t="inlineStr">
        <is>
          <t>À vérifier</t>
        </is>
      </c>
      <c r="E41" t="inlineStr">
        <is>
          <t>Expiré / remplacé</t>
        </is>
      </c>
    </row>
    <row r="42">
      <c r="A42" t="inlineStr">
        <is>
          <t>2026-07-21</t>
        </is>
      </c>
      <c r="B42" t="inlineStr">
        <is>
          <t>RNCP37792</t>
        </is>
      </c>
      <c r="C42" t="inlineStr">
        <is>
          <t>État de la fiche</t>
        </is>
      </c>
      <c r="D42" t="inlineStr">
        <is>
          <t>Active</t>
        </is>
      </c>
      <c r="E42" t="inlineStr">
        <is>
          <t>Inactive</t>
        </is>
      </c>
    </row>
    <row r="43">
      <c r="A43" t="inlineStr">
        <is>
          <t>2026-07-21</t>
        </is>
      </c>
      <c r="B43" t="inlineStr">
        <is>
          <t>RNCP37792</t>
        </is>
      </c>
      <c r="C43" t="inlineStr">
        <is>
          <t>Changement de statut</t>
        </is>
      </c>
      <c r="D43" t="inlineStr">
        <is>
          <t>À vérifier</t>
        </is>
      </c>
      <c r="E43" t="inlineStr">
        <is>
          <t>Expiré / remplacé</t>
        </is>
      </c>
    </row>
    <row r="44">
      <c r="A44" t="inlineStr">
        <is>
          <t>2026-07-21</t>
        </is>
      </c>
      <c r="B44" t="inlineStr">
        <is>
          <t>RNCP37787</t>
        </is>
      </c>
      <c r="C44" t="inlineStr">
        <is>
          <t>État de la fiche</t>
        </is>
      </c>
      <c r="D44" t="inlineStr">
        <is>
          <t>Active</t>
        </is>
      </c>
      <c r="E44" t="inlineStr">
        <is>
          <t>Inactive</t>
        </is>
      </c>
    </row>
    <row r="45">
      <c r="A45" t="inlineStr">
        <is>
          <t>2026-07-21</t>
        </is>
      </c>
      <c r="B45" t="inlineStr">
        <is>
          <t>RNCP37787</t>
        </is>
      </c>
      <c r="C45" t="inlineStr">
        <is>
          <t>Changement de statut</t>
        </is>
      </c>
      <c r="D45" t="inlineStr">
        <is>
          <t>À vérifier</t>
        </is>
      </c>
      <c r="E45" t="inlineStr">
        <is>
          <t>Expiré / remplacé</t>
        </is>
      </c>
    </row>
    <row r="46">
      <c r="A46" t="inlineStr">
        <is>
          <t>2026-07-21</t>
        </is>
      </c>
      <c r="B46" t="inlineStr">
        <is>
          <t>RNCP37786</t>
        </is>
      </c>
      <c r="C46" t="inlineStr">
        <is>
          <t>État de la fiche</t>
        </is>
      </c>
      <c r="D46" t="inlineStr">
        <is>
          <t>Active</t>
        </is>
      </c>
      <c r="E46" t="inlineStr">
        <is>
          <t>Inactive</t>
        </is>
      </c>
    </row>
    <row r="47">
      <c r="A47" t="inlineStr">
        <is>
          <t>2026-07-21</t>
        </is>
      </c>
      <c r="B47" t="inlineStr">
        <is>
          <t>RNCP37786</t>
        </is>
      </c>
      <c r="C47" t="inlineStr">
        <is>
          <t>Changement de statut</t>
        </is>
      </c>
      <c r="D47" t="inlineStr">
        <is>
          <t>À vérifier</t>
        </is>
      </c>
      <c r="E47" t="inlineStr">
        <is>
          <t>Expiré / remplacé</t>
        </is>
      </c>
    </row>
    <row r="48">
      <c r="A48" t="inlineStr">
        <is>
          <t>2026-07-21</t>
        </is>
      </c>
      <c r="B48" t="inlineStr">
        <is>
          <t>RNCP37785</t>
        </is>
      </c>
      <c r="C48" t="inlineStr">
        <is>
          <t>État de la fiche</t>
        </is>
      </c>
      <c r="D48" t="inlineStr">
        <is>
          <t>Active</t>
        </is>
      </c>
      <c r="E48" t="inlineStr">
        <is>
          <t>Inactive</t>
        </is>
      </c>
    </row>
    <row r="49">
      <c r="A49" t="inlineStr">
        <is>
          <t>2026-07-21</t>
        </is>
      </c>
      <c r="B49" t="inlineStr">
        <is>
          <t>RNCP37785</t>
        </is>
      </c>
      <c r="C49" t="inlineStr">
        <is>
          <t>Changement de statut</t>
        </is>
      </c>
      <c r="D49" t="inlineStr">
        <is>
          <t>À vérifier</t>
        </is>
      </c>
      <c r="E49" t="inlineStr">
        <is>
          <t>Expiré / remplacé</t>
        </is>
      </c>
    </row>
    <row r="50">
      <c r="A50" t="inlineStr">
        <is>
          <t>2026-07-21</t>
        </is>
      </c>
      <c r="B50" t="inlineStr">
        <is>
          <t>RNCP37780</t>
        </is>
      </c>
      <c r="C50" t="inlineStr">
        <is>
          <t>État de la fiche</t>
        </is>
      </c>
      <c r="D50" t="inlineStr">
        <is>
          <t>Active</t>
        </is>
      </c>
      <c r="E50" t="inlineStr">
        <is>
          <t>Inactive</t>
        </is>
      </c>
    </row>
    <row r="51">
      <c r="A51" t="inlineStr">
        <is>
          <t>2026-07-21</t>
        </is>
      </c>
      <c r="B51" t="inlineStr">
        <is>
          <t>RNCP37780</t>
        </is>
      </c>
      <c r="C51" t="inlineStr">
        <is>
          <t>Changement de statut</t>
        </is>
      </c>
      <c r="D51" t="inlineStr">
        <is>
          <t>À vérifier</t>
        </is>
      </c>
      <c r="E51" t="inlineStr">
        <is>
          <t>Expiré / remplacé</t>
        </is>
      </c>
    </row>
    <row r="52">
      <c r="A52" t="inlineStr">
        <is>
          <t>2026-07-21</t>
        </is>
      </c>
      <c r="B52" t="inlineStr">
        <is>
          <t>RNCP37779</t>
        </is>
      </c>
      <c r="C52" t="inlineStr">
        <is>
          <t>État de la fiche</t>
        </is>
      </c>
      <c r="D52" t="inlineStr">
        <is>
          <t>Active</t>
        </is>
      </c>
      <c r="E52" t="inlineStr">
        <is>
          <t>Inactive</t>
        </is>
      </c>
    </row>
    <row r="53">
      <c r="A53" t="inlineStr">
        <is>
          <t>2026-07-21</t>
        </is>
      </c>
      <c r="B53" t="inlineStr">
        <is>
          <t>RNCP37779</t>
        </is>
      </c>
      <c r="C53" t="inlineStr">
        <is>
          <t>Changement de statut</t>
        </is>
      </c>
      <c r="D53" t="inlineStr">
        <is>
          <t>À vérifier</t>
        </is>
      </c>
      <c r="E53" t="inlineStr">
        <is>
          <t>Expiré / remplacé</t>
        </is>
      </c>
    </row>
    <row r="54">
      <c r="A54" t="inlineStr">
        <is>
          <t>2026-07-21</t>
        </is>
      </c>
      <c r="B54" t="inlineStr">
        <is>
          <t>RNCP37778</t>
        </is>
      </c>
      <c r="C54" t="inlineStr">
        <is>
          <t>État de la fiche</t>
        </is>
      </c>
      <c r="D54" t="inlineStr">
        <is>
          <t>Active</t>
        </is>
      </c>
      <c r="E54" t="inlineStr">
        <is>
          <t>Inactive</t>
        </is>
      </c>
    </row>
    <row r="55">
      <c r="A55" t="inlineStr">
        <is>
          <t>2026-07-21</t>
        </is>
      </c>
      <c r="B55" t="inlineStr">
        <is>
          <t>RNCP37778</t>
        </is>
      </c>
      <c r="C55" t="inlineStr">
        <is>
          <t>Changement de statut</t>
        </is>
      </c>
      <c r="D55" t="inlineStr">
        <is>
          <t>À vérifier</t>
        </is>
      </c>
      <c r="E55" t="inlineStr">
        <is>
          <t>Expiré / remplacé</t>
        </is>
      </c>
    </row>
    <row r="56">
      <c r="A56" t="inlineStr">
        <is>
          <t>2026-07-21</t>
        </is>
      </c>
      <c r="B56" t="inlineStr">
        <is>
          <t>RNCP37777</t>
        </is>
      </c>
      <c r="C56" t="inlineStr">
        <is>
          <t>État de la fiche</t>
        </is>
      </c>
      <c r="D56" t="inlineStr">
        <is>
          <t>Active</t>
        </is>
      </c>
      <c r="E56" t="inlineStr">
        <is>
          <t>Inactive</t>
        </is>
      </c>
    </row>
    <row r="57">
      <c r="A57" t="inlineStr">
        <is>
          <t>2026-07-21</t>
        </is>
      </c>
      <c r="B57" t="inlineStr">
        <is>
          <t>RNCP37777</t>
        </is>
      </c>
      <c r="C57" t="inlineStr">
        <is>
          <t>Changement de statut</t>
        </is>
      </c>
      <c r="D57" t="inlineStr">
        <is>
          <t>À vérifier</t>
        </is>
      </c>
      <c r="E57" t="inlineStr">
        <is>
          <t>Expiré / remplacé</t>
        </is>
      </c>
    </row>
    <row r="58">
      <c r="A58" t="inlineStr">
        <is>
          <t>2026-07-21</t>
        </is>
      </c>
      <c r="B58" t="inlineStr">
        <is>
          <t>RNCP37776</t>
        </is>
      </c>
      <c r="C58" t="inlineStr">
        <is>
          <t>État de la fiche</t>
        </is>
      </c>
      <c r="D58" t="inlineStr">
        <is>
          <t>Active</t>
        </is>
      </c>
      <c r="E58" t="inlineStr">
        <is>
          <t>Inactive</t>
        </is>
      </c>
    </row>
    <row r="59">
      <c r="A59" t="inlineStr">
        <is>
          <t>2026-07-21</t>
        </is>
      </c>
      <c r="B59" t="inlineStr">
        <is>
          <t>RNCP37776</t>
        </is>
      </c>
      <c r="C59" t="inlineStr">
        <is>
          <t>Changement de statut</t>
        </is>
      </c>
      <c r="D59" t="inlineStr">
        <is>
          <t>À vérifier</t>
        </is>
      </c>
      <c r="E59" t="inlineStr">
        <is>
          <t>Expiré / remplacé</t>
        </is>
      </c>
    </row>
    <row r="60">
      <c r="A60" t="inlineStr">
        <is>
          <t>2026-07-21</t>
        </is>
      </c>
      <c r="B60" t="inlineStr">
        <is>
          <t>RNCP37775</t>
        </is>
      </c>
      <c r="C60" t="inlineStr">
        <is>
          <t>État de la fiche</t>
        </is>
      </c>
      <c r="D60" t="inlineStr">
        <is>
          <t>Active</t>
        </is>
      </c>
      <c r="E60" t="inlineStr">
        <is>
          <t>Inactive</t>
        </is>
      </c>
    </row>
    <row r="61">
      <c r="A61" t="inlineStr">
        <is>
          <t>2026-07-21</t>
        </is>
      </c>
      <c r="B61" t="inlineStr">
        <is>
          <t>RNCP37775</t>
        </is>
      </c>
      <c r="C61" t="inlineStr">
        <is>
          <t>Changement de statut</t>
        </is>
      </c>
      <c r="D61" t="inlineStr">
        <is>
          <t>À vérifier</t>
        </is>
      </c>
      <c r="E61" t="inlineStr">
        <is>
          <t>Expiré / remplacé</t>
        </is>
      </c>
    </row>
    <row r="62">
      <c r="A62" t="inlineStr">
        <is>
          <t>2026-07-21</t>
        </is>
      </c>
      <c r="B62" t="inlineStr">
        <is>
          <t>RNCP37758</t>
        </is>
      </c>
      <c r="C62" t="inlineStr">
        <is>
          <t>État de la fiche</t>
        </is>
      </c>
      <c r="D62" t="inlineStr">
        <is>
          <t>Active</t>
        </is>
      </c>
      <c r="E62" t="inlineStr">
        <is>
          <t>Inactive</t>
        </is>
      </c>
    </row>
    <row r="63">
      <c r="A63" t="inlineStr">
        <is>
          <t>2026-07-21</t>
        </is>
      </c>
      <c r="B63" t="inlineStr">
        <is>
          <t>RNCP37758</t>
        </is>
      </c>
      <c r="C63" t="inlineStr">
        <is>
          <t>Changement de statut</t>
        </is>
      </c>
      <c r="D63" t="inlineStr">
        <is>
          <t>À vérifier</t>
        </is>
      </c>
      <c r="E63" t="inlineStr">
        <is>
          <t>Expiré / remplacé</t>
        </is>
      </c>
    </row>
    <row r="64">
      <c r="A64" t="inlineStr">
        <is>
          <t>2026-07-21</t>
        </is>
      </c>
      <c r="B64" t="inlineStr">
        <is>
          <t>RNCP37748</t>
        </is>
      </c>
      <c r="C64" t="inlineStr">
        <is>
          <t>État de la fiche</t>
        </is>
      </c>
      <c r="D64" t="inlineStr">
        <is>
          <t>Active</t>
        </is>
      </c>
      <c r="E64" t="inlineStr">
        <is>
          <t>Inactive</t>
        </is>
      </c>
    </row>
    <row r="65">
      <c r="A65" t="inlineStr">
        <is>
          <t>2026-07-21</t>
        </is>
      </c>
      <c r="B65" t="inlineStr">
        <is>
          <t>RNCP37748</t>
        </is>
      </c>
      <c r="C65" t="inlineStr">
        <is>
          <t>Changement de statut</t>
        </is>
      </c>
      <c r="D65" t="inlineStr">
        <is>
          <t>À vérifier</t>
        </is>
      </c>
      <c r="E65" t="inlineStr">
        <is>
          <t>Expiré / remplacé</t>
        </is>
      </c>
    </row>
    <row r="66">
      <c r="A66" t="inlineStr">
        <is>
          <t>2026-07-21</t>
        </is>
      </c>
      <c r="B66" t="inlineStr">
        <is>
          <t>RNCP37745</t>
        </is>
      </c>
      <c r="C66" t="inlineStr">
        <is>
          <t>État de la fiche</t>
        </is>
      </c>
      <c r="D66" t="inlineStr">
        <is>
          <t>Active</t>
        </is>
      </c>
      <c r="E66" t="inlineStr">
        <is>
          <t>Inactive</t>
        </is>
      </c>
    </row>
    <row r="67">
      <c r="A67" t="inlineStr">
        <is>
          <t>2026-07-21</t>
        </is>
      </c>
      <c r="B67" t="inlineStr">
        <is>
          <t>RNCP37745</t>
        </is>
      </c>
      <c r="C67" t="inlineStr">
        <is>
          <t>Changement de statut</t>
        </is>
      </c>
      <c r="D67" t="inlineStr">
        <is>
          <t>À vérifier</t>
        </is>
      </c>
      <c r="E67" t="inlineStr">
        <is>
          <t>Expiré / remplacé</t>
        </is>
      </c>
    </row>
    <row r="68">
      <c r="A68" t="inlineStr">
        <is>
          <t>2026-07-21</t>
        </is>
      </c>
      <c r="B68" t="inlineStr">
        <is>
          <t>RNCP37742</t>
        </is>
      </c>
      <c r="C68" t="inlineStr">
        <is>
          <t>État de la fiche</t>
        </is>
      </c>
      <c r="D68" t="inlineStr">
        <is>
          <t>Active</t>
        </is>
      </c>
      <c r="E68" t="inlineStr">
        <is>
          <t>Inactive</t>
        </is>
      </c>
    </row>
    <row r="69">
      <c r="A69" t="inlineStr">
        <is>
          <t>2026-07-21</t>
        </is>
      </c>
      <c r="B69" t="inlineStr">
        <is>
          <t>RNCP37742</t>
        </is>
      </c>
      <c r="C69" t="inlineStr">
        <is>
          <t>Changement de statut</t>
        </is>
      </c>
      <c r="D69" t="inlineStr">
        <is>
          <t>À vérifier</t>
        </is>
      </c>
      <c r="E69" t="inlineStr">
        <is>
          <t>Expiré / remplacé</t>
        </is>
      </c>
    </row>
    <row r="70">
      <c r="A70" t="inlineStr">
        <is>
          <t>2026-07-21</t>
        </is>
      </c>
      <c r="B70" t="inlineStr">
        <is>
          <t>RNCP37734</t>
        </is>
      </c>
      <c r="C70" t="inlineStr">
        <is>
          <t>État de la fiche</t>
        </is>
      </c>
      <c r="D70" t="inlineStr">
        <is>
          <t>Active</t>
        </is>
      </c>
      <c r="E70" t="inlineStr">
        <is>
          <t>Inactive</t>
        </is>
      </c>
    </row>
    <row r="71">
      <c r="A71" t="inlineStr">
        <is>
          <t>2026-07-21</t>
        </is>
      </c>
      <c r="B71" t="inlineStr">
        <is>
          <t>RNCP37734</t>
        </is>
      </c>
      <c r="C71" t="inlineStr">
        <is>
          <t>Changement de statut</t>
        </is>
      </c>
      <c r="D71" t="inlineStr">
        <is>
          <t>À vérifier</t>
        </is>
      </c>
      <c r="E71" t="inlineStr">
        <is>
          <t>Expiré / remplacé</t>
        </is>
      </c>
    </row>
    <row r="72">
      <c r="A72" t="inlineStr">
        <is>
          <t>2026-07-18</t>
        </is>
      </c>
      <c r="B72" t="inlineStr">
        <is>
          <t>RNCP38919</t>
        </is>
      </c>
      <c r="C72" t="inlineStr">
        <is>
          <t>Successeur(s) modifié(s)</t>
        </is>
      </c>
      <c r="D72" t="inlineStr"/>
      <c r="E72" t="inlineStr">
        <is>
          <t>RNCP42655</t>
        </is>
      </c>
    </row>
    <row r="73">
      <c r="A73" t="inlineStr">
        <is>
          <t>2026-07-18</t>
        </is>
      </c>
      <c r="B73" t="inlineStr">
        <is>
          <t>RNCP38038</t>
        </is>
      </c>
      <c r="C73" t="inlineStr">
        <is>
          <t>Successeur(s) modifié(s)</t>
        </is>
      </c>
      <c r="D73" t="inlineStr"/>
      <c r="E73" t="inlineStr">
        <is>
          <t>RNCP42641</t>
        </is>
      </c>
    </row>
    <row r="74">
      <c r="A74" t="inlineStr">
        <is>
          <t>2026-07-18</t>
        </is>
      </c>
      <c r="B74" t="inlineStr">
        <is>
          <t>RNCP37778</t>
        </is>
      </c>
      <c r="C74" t="inlineStr">
        <is>
          <t>Successeur(s) modifié(s)</t>
        </is>
      </c>
      <c r="D74" t="inlineStr"/>
      <c r="E74" t="inlineStr">
        <is>
          <t>RNCP42620</t>
        </is>
      </c>
    </row>
    <row r="75">
      <c r="A75" t="inlineStr">
        <is>
          <t>2026-07-18</t>
        </is>
      </c>
      <c r="B75" t="inlineStr">
        <is>
          <t>RNCP36086</t>
        </is>
      </c>
      <c r="C75" t="inlineStr">
        <is>
          <t>Successeur(s) modifié(s)</t>
        </is>
      </c>
      <c r="D75" t="inlineStr"/>
      <c r="E75" t="inlineStr">
        <is>
          <t>RNCP42657</t>
        </is>
      </c>
    </row>
    <row r="76">
      <c r="A76" t="inlineStr">
        <is>
          <t>2026-07-15</t>
        </is>
      </c>
      <c r="B76" t="inlineStr">
        <is>
          <t>RNCP35634</t>
        </is>
      </c>
      <c r="C76" t="inlineStr">
        <is>
          <t>État de la fiche</t>
        </is>
      </c>
      <c r="D76" t="inlineStr">
        <is>
          <t>Active</t>
        </is>
      </c>
      <c r="E76" t="inlineStr">
        <is>
          <t>Inactive</t>
        </is>
      </c>
    </row>
    <row r="77">
      <c r="A77" t="inlineStr">
        <is>
          <t>2026-07-15</t>
        </is>
      </c>
      <c r="B77" t="inlineStr">
        <is>
          <t>RNCP35634</t>
        </is>
      </c>
      <c r="C77" t="inlineStr">
        <is>
          <t>Changement de statut</t>
        </is>
      </c>
      <c r="D77" t="inlineStr">
        <is>
          <t>À vérifier</t>
        </is>
      </c>
      <c r="E77" t="inlineStr">
        <is>
          <t>Expiré / remplacé</t>
        </is>
      </c>
    </row>
    <row r="78">
      <c r="A78" t="inlineStr">
        <is>
          <t>2026-07-11</t>
        </is>
      </c>
      <c r="B78" t="inlineStr">
        <is>
          <t>—</t>
        </is>
      </c>
      <c r="C78" t="inlineStr">
        <is>
          <t>Initialisation du suivi</t>
        </is>
      </c>
      <c r="D78" t="inlineStr"/>
      <c r="E78" t="inlineStr">
        <is>
          <t>1411 codes suivis</t>
        </is>
      </c>
    </row>
  </sheetData>
  <autoFilter ref="A2:E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45" t="n"/>
      <c r="B6" s="46" t="inlineStr">
        <is>
          <t>11031</t>
        </is>
      </c>
      <c r="C6" s="46">
        <f>LEFT(Tableau1[[#This Row],[Formacode]],3)</f>
        <v/>
      </c>
      <c r="D6" s="47" t="n">
        <v>38620</v>
      </c>
      <c r="E6" s="48">
        <f>"RNCP"&amp;D6</f>
        <v/>
      </c>
      <c r="F6" s="48" t="inlineStr">
        <is>
          <t>CQP Concepteur modélisateur numérique de produits ou de systèmes mécaniques</t>
        </is>
      </c>
      <c r="G6" s="49">
        <f>E6&amp;" - "&amp;F6</f>
        <v/>
      </c>
      <c r="H6" s="36" t="inlineStr">
        <is>
          <t>RAS</t>
        </is>
      </c>
      <c r="I6" s="45" t="inlineStr"/>
      <c r="J6" s="45" t="inlineStr">
        <is>
          <t>RNCP38620</t>
        </is>
      </c>
      <c r="K6" s="45" t="inlineStr">
        <is>
          <t>CQP Concepteur modélisateur numérique de produits ou de systèmes mécaniques</t>
        </is>
      </c>
      <c r="L6" s="45" t="inlineStr">
        <is>
          <t>09/02/2027</t>
        </is>
      </c>
      <c r="M6" s="45" t="inlineStr">
        <is>
          <t>11020 (Modèle simulation)</t>
        </is>
      </c>
      <c r="N6" s="50" t="inlineStr">
        <is>
          <t>NON</t>
        </is>
      </c>
      <c r="O6" s="45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32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32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32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32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33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33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154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51" t="n"/>
      <c r="B92" s="52" t="inlineStr">
        <is>
          <t>12534</t>
        </is>
      </c>
      <c r="C92" s="52">
        <f>LEFT(Tableau1[[#This Row],[Formacode]],3)</f>
        <v/>
      </c>
      <c r="D92" s="53" t="n">
        <v>35706</v>
      </c>
      <c r="E92" s="54">
        <f>"RNCP"&amp;D92</f>
        <v/>
      </c>
      <c r="F92" s="54" t="inlineStr">
        <is>
          <t>TP - Responsable de développement touristique territorial</t>
        </is>
      </c>
      <c r="G92" s="55">
        <f>E92&amp;" - "&amp;F92</f>
        <v/>
      </c>
      <c r="H92" s="37" t="inlineStr">
        <is>
          <t>À vérifier</t>
        </is>
      </c>
      <c r="I92" s="51" t="inlineStr">
        <is>
          <t>Successeur déjà publié : RNCP42430 (Chargé de développement touristique territorial) — préparer la bascule de l'offre CPF | Échéance le 02/08/2026 (dans 3 j)</t>
        </is>
      </c>
      <c r="J92" s="51" t="inlineStr">
        <is>
          <t>RNCP42430</t>
        </is>
      </c>
      <c r="K92" s="51" t="inlineStr">
        <is>
          <t>Chargé de développement touristique territorial</t>
        </is>
      </c>
      <c r="L92" s="51" t="inlineStr">
        <is>
          <t>02/08/2026</t>
        </is>
      </c>
      <c r="M92" s="51" t="inlineStr">
        <is>
          <t>12516 (Aménagement touristique) ; 42638 (Développement touristique)</t>
        </is>
      </c>
      <c r="N92" s="62" t="inlineStr">
        <is>
          <t>NON</t>
        </is>
      </c>
      <c r="O92" s="51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33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45" t="n"/>
      <c r="B113" s="46" t="inlineStr">
        <is>
          <t>12562</t>
        </is>
      </c>
      <c r="C113" s="46">
        <f>LEFT(Tableau1[[#This Row],[Formacode]],3)</f>
        <v/>
      </c>
      <c r="D113" s="47" t="n">
        <v>35234</v>
      </c>
      <c r="E113" s="48">
        <f>"RNCP"&amp;D113</f>
        <v/>
      </c>
      <c r="F113" s="48" t="inlineStr">
        <is>
          <t>TP - Agent technique de réception et de valorisation de déchets</t>
        </is>
      </c>
      <c r="G113" s="49">
        <f>E113&amp;" - "&amp;F113</f>
        <v/>
      </c>
      <c r="H113" s="36" t="inlineStr">
        <is>
          <t>RAS</t>
        </is>
      </c>
      <c r="I113" s="45" t="inlineStr"/>
      <c r="J113" s="45" t="inlineStr">
        <is>
          <t>RNCP35234</t>
        </is>
      </c>
      <c r="K113" s="45" t="inlineStr">
        <is>
          <t>Agent technique de réception et de valorisation de déchets</t>
        </is>
      </c>
      <c r="L113" s="45" t="inlineStr">
        <is>
          <t>08/02/2027</t>
        </is>
      </c>
      <c r="M113" s="45" t="inlineStr">
        <is>
          <t>12582 (Gestion déchet)</t>
        </is>
      </c>
      <c r="N113" s="50" t="inlineStr">
        <is>
          <t>NON</t>
        </is>
      </c>
      <c r="O113" s="45" t="inlineStr"/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45" t="n"/>
      <c r="B116" s="46" t="inlineStr">
        <is>
          <t>12562</t>
        </is>
      </c>
      <c r="C116" s="46">
        <f>LEFT(Tableau1[[#This Row],[Formacode]],3)</f>
        <v/>
      </c>
      <c r="D116" s="47" t="n">
        <v>36170</v>
      </c>
      <c r="E116" s="48">
        <f>"RNCP"&amp;D116</f>
        <v/>
      </c>
      <c r="F116" s="48" t="inlineStr">
        <is>
          <t>TP - Agent de refabrication et de recyclage de batteries d'accumulateurs</t>
        </is>
      </c>
      <c r="G116" s="49">
        <f>E116&amp;" - "&amp;F116</f>
        <v/>
      </c>
      <c r="H116" s="36" t="inlineStr">
        <is>
          <t>RAS</t>
        </is>
      </c>
      <c r="I116" s="45" t="inlineStr"/>
      <c r="J116" s="45" t="inlineStr">
        <is>
          <t>RNCP36170</t>
        </is>
      </c>
      <c r="K116" s="45" t="inlineStr">
        <is>
          <t>Agent de refabrication et de recyclage de batteries d'accumulateurs</t>
        </is>
      </c>
      <c r="L116" s="45" t="inlineStr">
        <is>
          <t>30/01/2027</t>
        </is>
      </c>
      <c r="M116" s="45" t="inlineStr">
        <is>
          <t>12592 (Gestion déchet industriel)</t>
        </is>
      </c>
      <c r="N116" s="50" t="inlineStr">
        <is>
          <t>NON</t>
        </is>
      </c>
      <c r="O116" s="45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47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63" t="n"/>
      <c r="B196" s="64" t="inlineStr">
        <is>
          <t>13166</t>
        </is>
      </c>
      <c r="C196" s="64">
        <f>LEFT(Tableau1[[#This Row],[Formacode]],3)</f>
        <v/>
      </c>
      <c r="D196" s="65" t="n">
        <v>37824</v>
      </c>
      <c r="E196" s="66">
        <f>"RNCP"&amp;D196</f>
        <v/>
      </c>
      <c r="F196" s="66" t="inlineStr">
        <is>
          <t>Expert-conseil en stratégie des filières agricoles et agroalimentaires</t>
        </is>
      </c>
      <c r="G196" s="67">
        <f>E196&amp;" - "&amp;F196</f>
        <v/>
      </c>
      <c r="H196" s="38" t="inlineStr">
        <is>
          <t>Expiré / remplacé</t>
        </is>
      </c>
      <c r="I196" s="63" t="inlineStr">
        <is>
          <t>Fiche inactive — remplacée par RNCP42476 (Expert-conseil en stratégie des filières agricoles et agroalimentaires)</t>
        </is>
      </c>
      <c r="J196" s="63" t="inlineStr">
        <is>
          <t>RNCP42476</t>
        </is>
      </c>
      <c r="K196" s="63" t="inlineStr">
        <is>
          <t>Expert-conseil en stratégie des filières agricoles et agroalimentaires</t>
        </is>
      </c>
      <c r="L196" s="63" t="inlineStr">
        <is>
          <t>19/07/2026</t>
        </is>
      </c>
      <c r="M196" s="63" t="inlineStr">
        <is>
          <t>13158 (Économie agricole) ; 21052 (Gestion exploitation agricole) ; 21084 (Commercialisation agricole) ; 21554 (Agroalimentaire)</t>
        </is>
      </c>
      <c r="N196" s="68" t="inlineStr">
        <is>
          <t>NON</t>
        </is>
      </c>
      <c r="O196" s="63" t="inlineStr"/>
    </row>
    <row r="197" customFormat="1" s="4">
      <c r="A197" s="45" t="n"/>
      <c r="B197" s="46" t="inlineStr">
        <is>
          <t>13166</t>
        </is>
      </c>
      <c r="C197" s="46">
        <f>LEFT(Tableau1[[#This Row],[Formacode]],3)</f>
        <v/>
      </c>
      <c r="D197" s="47" t="n">
        <v>38609</v>
      </c>
      <c r="E197" s="48">
        <f>"RNCP"&amp;D197</f>
        <v/>
      </c>
      <c r="F197" s="48" t="inlineStr">
        <is>
          <t>Conseiller en droit rural et économie agricole</t>
        </is>
      </c>
      <c r="G197" s="49">
        <f>E197&amp;" - "&amp;F197</f>
        <v/>
      </c>
      <c r="H197" s="36" t="inlineStr">
        <is>
          <t>RAS</t>
        </is>
      </c>
      <c r="I197" s="45" t="inlineStr"/>
      <c r="J197" s="45" t="inlineStr">
        <is>
          <t>RNCP38609</t>
        </is>
      </c>
      <c r="K197" s="45" t="inlineStr">
        <is>
          <t>Conseiller en droit rural et économie agricole</t>
        </is>
      </c>
      <c r="L197" s="45" t="inlineStr">
        <is>
          <t>09/02/2027</t>
        </is>
      </c>
      <c r="M197" s="45" t="inlineStr">
        <is>
          <t>13158 (Économie agricole) ; 21081 (Droit rural) ; 21060 (Installation agriculteur) ; 32043 (Conseil entreprise)</t>
        </is>
      </c>
      <c r="N197" s="50" t="inlineStr">
        <is>
          <t>NON</t>
        </is>
      </c>
      <c r="O197" s="45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45" t="n"/>
      <c r="B218" s="46" t="inlineStr">
        <is>
          <t>13274</t>
        </is>
      </c>
      <c r="C218" s="46">
        <f>LEFT(Tableau1[[#This Row],[Formacode]],3)</f>
        <v/>
      </c>
      <c r="D218" s="47" t="n">
        <v>38585</v>
      </c>
      <c r="E218" s="48">
        <f>"RNCP"&amp;D218</f>
        <v/>
      </c>
      <c r="F218" s="48" t="inlineStr">
        <is>
          <t>Délégué à la protection des données (MS)</t>
        </is>
      </c>
      <c r="G218" s="49">
        <f>E218&amp;" - "&amp;F218</f>
        <v/>
      </c>
      <c r="H218" s="36" t="inlineStr">
        <is>
          <t>RAS</t>
        </is>
      </c>
      <c r="I218" s="45" t="inlineStr"/>
      <c r="J218" s="45" t="inlineStr">
        <is>
          <t>RNCP38585</t>
        </is>
      </c>
      <c r="K218" s="45" t="inlineStr">
        <is>
          <t>Délégué à la protection des données (MS)</t>
        </is>
      </c>
      <c r="L218" s="45" t="inlineStr">
        <is>
          <t>09/02/2027</t>
        </is>
      </c>
      <c r="M218" s="45" t="inlineStr">
        <is>
          <t>13238 (Règlement général protection données) ; 31006 (Sécurité informatique)</t>
        </is>
      </c>
      <c r="N218" s="50" t="inlineStr">
        <is>
          <t>NON</t>
        </is>
      </c>
      <c r="O218" s="45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63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51" t="n"/>
      <c r="B251" s="52" t="inlineStr">
        <is>
          <t>14456</t>
        </is>
      </c>
      <c r="C251" s="52">
        <f>LEFT(Tableau1[[#This Row],[Formacode]],3)</f>
        <v/>
      </c>
      <c r="D251" s="53" t="n">
        <v>38497</v>
      </c>
      <c r="E251" s="54">
        <f>"RNCP"&amp;D251</f>
        <v/>
      </c>
      <c r="F251" s="54" t="inlineStr">
        <is>
          <t>Art-thérapeute</t>
        </is>
      </c>
      <c r="G251" s="55">
        <f>E251&amp;" - "&amp;F251</f>
        <v/>
      </c>
      <c r="H251" s="37" t="inlineStr">
        <is>
          <t>À vérifier</t>
        </is>
      </c>
      <c r="I251" s="51" t="inlineStr">
        <is>
          <t>Échéance le 21/12/2026 (dans 144 j)</t>
        </is>
      </c>
      <c r="J251" s="51" t="inlineStr">
        <is>
          <t>RNCP38497</t>
        </is>
      </c>
      <c r="K251" s="51" t="inlineStr">
        <is>
          <t>Art-thérapeute</t>
        </is>
      </c>
      <c r="L251" s="51" t="inlineStr">
        <is>
          <t>21/12/2026</t>
        </is>
      </c>
      <c r="M251" s="51" t="inlineStr">
        <is>
          <t>14426 (Art thérapie)</t>
        </is>
      </c>
      <c r="N251" s="62" t="inlineStr">
        <is>
          <t>NON</t>
        </is>
      </c>
      <c r="O251" s="51" t="inlineStr"/>
    </row>
    <row r="252" customFormat="1" s="3">
      <c r="A252" s="63" t="n"/>
      <c r="B252" s="64" t="inlineStr">
        <is>
          <t>15031</t>
        </is>
      </c>
      <c r="C252" s="64">
        <f>LEFT(Tableau1[[#This Row],[Formacode]],3)</f>
        <v/>
      </c>
      <c r="D252" s="65" t="n">
        <v>37779</v>
      </c>
      <c r="E252" s="66">
        <f>"RNCP"&amp;D252</f>
        <v/>
      </c>
      <c r="F252" s="66" t="inlineStr">
        <is>
          <t>Conseiller en emploi accompagné</t>
        </is>
      </c>
      <c r="G252" s="67">
        <f>E252&amp;" - "&amp;F252</f>
        <v/>
      </c>
      <c r="H252" s="38" t="inlineStr">
        <is>
          <t>Expiré / remplacé</t>
        </is>
      </c>
      <c r="I252" s="63" t="inlineStr">
        <is>
          <t>Fiche inactive — remplacée par RNCP42656 (Conseiller en emploi accompagné)</t>
        </is>
      </c>
      <c r="J252" s="63" t="inlineStr">
        <is>
          <t>RNCP42656</t>
        </is>
      </c>
      <c r="K252" s="63" t="inlineStr">
        <is>
          <t>Conseiller en emploi accompagné</t>
        </is>
      </c>
      <c r="L252" s="63" t="inlineStr">
        <is>
          <t>19/07/2026</t>
        </is>
      </c>
      <c r="M252" s="63" t="inlineStr">
        <is>
          <t>15061 (Accompagnement vers emploi) ; 15031 (Adaptation sociale)</t>
        </is>
      </c>
      <c r="N252" s="68" t="inlineStr">
        <is>
          <t>NON</t>
        </is>
      </c>
      <c r="O252" s="63" t="inlineStr"/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32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63" t="n"/>
      <c r="B260" s="64" t="inlineStr">
        <is>
          <t>15061</t>
        </is>
      </c>
      <c r="C260" s="64">
        <f>LEFT(Tableau1[[#This Row],[Formacode]],3)</f>
        <v/>
      </c>
      <c r="D260" s="65" t="n">
        <v>37779</v>
      </c>
      <c r="E260" s="66">
        <f>"RNCP"&amp;D260</f>
        <v/>
      </c>
      <c r="F260" s="66" t="inlineStr">
        <is>
          <t>Conseiller en emploi accompagné</t>
        </is>
      </c>
      <c r="G260" s="67">
        <f>E260&amp;" - "&amp;F260</f>
        <v/>
      </c>
      <c r="H260" s="38" t="inlineStr">
        <is>
          <t>Expiré / remplacé</t>
        </is>
      </c>
      <c r="I260" s="63" t="inlineStr">
        <is>
          <t>Fiche inactive — remplacée par RNCP42656 (Conseiller en emploi accompagné)</t>
        </is>
      </c>
      <c r="J260" s="63" t="inlineStr">
        <is>
          <t>RNCP42656</t>
        </is>
      </c>
      <c r="K260" s="63" t="inlineStr">
        <is>
          <t>Conseiller en emploi accompagné</t>
        </is>
      </c>
      <c r="L260" s="63" t="inlineStr">
        <is>
          <t>19/07/2026</t>
        </is>
      </c>
      <c r="M260" s="63" t="inlineStr">
        <is>
          <t>15061 (Accompagnement vers emploi) ; 15031 (Adaptation sociale)</t>
        </is>
      </c>
      <c r="N260" s="68" t="inlineStr">
        <is>
          <t>NON</t>
        </is>
      </c>
      <c r="O260" s="63" t="inlineStr"/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52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108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108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108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45" t="n"/>
      <c r="B280" s="46" t="inlineStr">
        <is>
          <t>15422</t>
        </is>
      </c>
      <c r="C280" s="46">
        <f>LEFT(Tableau1[[#This Row],[Formacode]],3)</f>
        <v/>
      </c>
      <c r="D280" s="47" t="n">
        <v>38630</v>
      </c>
      <c r="E280" s="48">
        <f>"RNCP"&amp;D280</f>
        <v/>
      </c>
      <c r="F280" s="48" t="inlineStr">
        <is>
          <t>CQP Initiateur char à voile</t>
        </is>
      </c>
      <c r="G280" s="49">
        <f>E280&amp;" - "&amp;F280</f>
        <v/>
      </c>
      <c r="H280" s="36" t="inlineStr">
        <is>
          <t>RAS</t>
        </is>
      </c>
      <c r="I280" s="45" t="inlineStr"/>
      <c r="J280" s="45" t="inlineStr">
        <is>
          <t>RNCP38630</t>
        </is>
      </c>
      <c r="K280" s="45" t="inlineStr">
        <is>
          <t>CQP Initiateur char à voile</t>
        </is>
      </c>
      <c r="L280" s="45" t="inlineStr">
        <is>
          <t>09/02/2027</t>
        </is>
      </c>
      <c r="M280" s="45" t="inlineStr">
        <is>
          <t>15436 (Éducation sportive) ; 15422 (Char voile)</t>
        </is>
      </c>
      <c r="N280" s="50" t="inlineStr">
        <is>
          <t>NON</t>
        </is>
      </c>
      <c r="O280" s="45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63" t="n"/>
      <c r="B288" s="64" t="inlineStr">
        <is>
          <t>15436</t>
        </is>
      </c>
      <c r="C288" s="64">
        <f>LEFT(Tableau1[[#This Row],[Formacode]],3)</f>
        <v/>
      </c>
      <c r="D288" s="65" t="n">
        <v>37758</v>
      </c>
      <c r="E288" s="66">
        <f>"RNCP"&amp;D288</f>
        <v/>
      </c>
      <c r="F288" s="66" t="inlineStr">
        <is>
          <t>Entraineur de football</t>
        </is>
      </c>
      <c r="G288" s="67">
        <f>E288&amp;" - "&amp;F288</f>
        <v/>
      </c>
      <c r="H288" s="38" t="inlineStr">
        <is>
          <t>Expiré / remplacé</t>
        </is>
      </c>
      <c r="I288" s="63" t="inlineStr">
        <is>
          <t>Fiche inactive (échéance 19/07/2026) — aucun successeur publié</t>
        </is>
      </c>
      <c r="J288" s="63" t="inlineStr">
        <is>
          <t>RNCP37758</t>
        </is>
      </c>
      <c r="K288" s="63" t="inlineStr">
        <is>
          <t>Entraineur de football</t>
        </is>
      </c>
      <c r="L288" s="63" t="inlineStr">
        <is>
          <t>19/07/2026</t>
        </is>
      </c>
      <c r="M288" s="63" t="inlineStr">
        <is>
          <t>15426 (Football) ; 15436 (Éducation sportive)</t>
        </is>
      </c>
      <c r="N288" s="68" t="inlineStr">
        <is>
          <t>NON</t>
        </is>
      </c>
      <c r="O288" s="63" t="inlineStr"/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52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108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108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108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108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108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45" t="n"/>
      <c r="B296" s="46" t="inlineStr">
        <is>
          <t>15436</t>
        </is>
      </c>
      <c r="C296" s="46">
        <f>LEFT(Tableau1[[#This Row],[Formacode]],3)</f>
        <v/>
      </c>
      <c r="D296" s="47" t="n">
        <v>38629</v>
      </c>
      <c r="E296" s="48">
        <f>"RNCP"&amp;D296</f>
        <v/>
      </c>
      <c r="F296" s="48" t="inlineStr">
        <is>
          <t>CQP Animateur tir à l'arc</t>
        </is>
      </c>
      <c r="G296" s="49">
        <f>E296&amp;" - "&amp;F296</f>
        <v/>
      </c>
      <c r="H296" s="36" t="inlineStr">
        <is>
          <t>RAS</t>
        </is>
      </c>
      <c r="I296" s="45" t="inlineStr"/>
      <c r="J296" s="45" t="inlineStr">
        <is>
          <t>RNCP38629</t>
        </is>
      </c>
      <c r="K296" s="45" t="inlineStr">
        <is>
          <t>CQP Animateur tir à l'arc</t>
        </is>
      </c>
      <c r="L296" s="45" t="inlineStr">
        <is>
          <t>09/02/2027</t>
        </is>
      </c>
      <c r="M296" s="45" t="inlineStr">
        <is>
          <t>15436 (Éducation sportive) ; 15495 (Tir arc)</t>
        </is>
      </c>
      <c r="N296" s="50" t="inlineStr">
        <is>
          <t>NON</t>
        </is>
      </c>
      <c r="O296" s="45" t="inlineStr"/>
    </row>
    <row r="297" customFormat="1" s="3">
      <c r="A297" s="45" t="n"/>
      <c r="B297" s="46" t="inlineStr">
        <is>
          <t>15436</t>
        </is>
      </c>
      <c r="C297" s="46">
        <f>LEFT(Tableau1[[#This Row],[Formacode]],3)</f>
        <v/>
      </c>
      <c r="D297" s="47" t="n">
        <v>38630</v>
      </c>
      <c r="E297" s="48">
        <f>"RNCP"&amp;D297</f>
        <v/>
      </c>
      <c r="F297" s="48" t="inlineStr">
        <is>
          <t>CQP Initiateur char à voile</t>
        </is>
      </c>
      <c r="G297" s="49">
        <f>E297&amp;" - "&amp;F297</f>
        <v/>
      </c>
      <c r="H297" s="36" t="inlineStr">
        <is>
          <t>RAS</t>
        </is>
      </c>
      <c r="I297" s="45" t="inlineStr"/>
      <c r="J297" s="45" t="inlineStr">
        <is>
          <t>RNCP38630</t>
        </is>
      </c>
      <c r="K297" s="45" t="inlineStr">
        <is>
          <t>CQP Initiateur char à voile</t>
        </is>
      </c>
      <c r="L297" s="45" t="inlineStr">
        <is>
          <t>09/02/2027</t>
        </is>
      </c>
      <c r="M297" s="45" t="inlineStr">
        <is>
          <t>15436 (Éducation sportive) ; 15422 (Char voile)</t>
        </is>
      </c>
      <c r="N297" s="50" t="inlineStr">
        <is>
          <t>NON</t>
        </is>
      </c>
      <c r="O297" s="45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63" t="n"/>
      <c r="B319" s="64" t="inlineStr">
        <is>
          <t>15437</t>
        </is>
      </c>
      <c r="C319" s="64">
        <f>LEFT(Tableau1[[#This Row],[Formacode]],3)</f>
        <v/>
      </c>
      <c r="D319" s="65" t="n">
        <v>37758</v>
      </c>
      <c r="E319" s="66">
        <f>"RNCP"&amp;D319</f>
        <v/>
      </c>
      <c r="F319" s="66" t="inlineStr">
        <is>
          <t>Entraineur de football</t>
        </is>
      </c>
      <c r="G319" s="67">
        <f>E319&amp;" - "&amp;F319</f>
        <v/>
      </c>
      <c r="H319" s="38" t="inlineStr">
        <is>
          <t>Expiré / remplacé</t>
        </is>
      </c>
      <c r="I319" s="63" t="inlineStr">
        <is>
          <t>Fiche inactive (échéance 19/07/2026) — aucun successeur publié</t>
        </is>
      </c>
      <c r="J319" s="63" t="inlineStr">
        <is>
          <t>RNCP37758</t>
        </is>
      </c>
      <c r="K319" s="63" t="inlineStr">
        <is>
          <t>Entraineur de football</t>
        </is>
      </c>
      <c r="L319" s="63" t="inlineStr">
        <is>
          <t>19/07/2026</t>
        </is>
      </c>
      <c r="M319" s="63" t="inlineStr">
        <is>
          <t>15426 (Football) ; 15436 (Éducation sportive)</t>
        </is>
      </c>
      <c r="N319" s="68" t="inlineStr">
        <is>
          <t>NON</t>
        </is>
      </c>
      <c r="O319" s="63" t="inlineStr"/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108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75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Successeur déjà publié : RNCP42635 (Chargé de développement de structure sportive) — préparer la bascule de l'offre CPF | Échéance le 18/10/2026 (dans 80 j)</t>
        </is>
      </c>
      <c r="J329" s="51" t="inlineStr">
        <is>
          <t>RNCP42635</t>
        </is>
      </c>
      <c r="K329" s="51" t="inlineStr">
        <is>
          <t>Chargé de développement de structure sportive</t>
        </is>
      </c>
      <c r="L329" s="51" t="inlineStr">
        <is>
          <t>18/10/2026</t>
        </is>
      </c>
      <c r="M329" s="51" t="inlineStr">
        <is>
          <t>15457 (Gestion sport) ; 15476 (Organisation événement sportif)</t>
        </is>
      </c>
      <c r="N329" s="62" t="inlineStr">
        <is>
          <t>NON</t>
        </is>
      </c>
      <c r="O329" s="51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32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108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45" t="n"/>
      <c r="B350" s="46" t="inlineStr">
        <is>
          <t>15495</t>
        </is>
      </c>
      <c r="C350" s="46">
        <f>LEFT(Tableau1[[#This Row],[Formacode]],3)</f>
        <v/>
      </c>
      <c r="D350" s="47" t="n">
        <v>38629</v>
      </c>
      <c r="E350" s="48">
        <f>"RNCP"&amp;D350</f>
        <v/>
      </c>
      <c r="F350" s="48" t="inlineStr">
        <is>
          <t>CQP Animateur tir à l'arc</t>
        </is>
      </c>
      <c r="G350" s="49">
        <f>E350&amp;" - "&amp;F350</f>
        <v/>
      </c>
      <c r="H350" s="36" t="inlineStr">
        <is>
          <t>RAS</t>
        </is>
      </c>
      <c r="I350" s="45" t="inlineStr"/>
      <c r="J350" s="45" t="inlineStr">
        <is>
          <t>RNCP38629</t>
        </is>
      </c>
      <c r="K350" s="45" t="inlineStr">
        <is>
          <t>CQP Animateur tir à l'arc</t>
        </is>
      </c>
      <c r="L350" s="45" t="inlineStr">
        <is>
          <t>09/02/2027</t>
        </is>
      </c>
      <c r="M350" s="45" t="inlineStr">
        <is>
          <t>15436 (Éducation sportive) ; 15495 (Tir arc)</t>
        </is>
      </c>
      <c r="N350" s="50" t="inlineStr">
        <is>
          <t>NON</t>
        </is>
      </c>
      <c r="O350" s="45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63" t="n"/>
      <c r="B407" s="64" t="inlineStr">
        <is>
          <t>21052</t>
        </is>
      </c>
      <c r="C407" s="64">
        <f>LEFT(Tableau1[[#This Row],[Formacode]],3)</f>
        <v/>
      </c>
      <c r="D407" s="65" t="n">
        <v>37824</v>
      </c>
      <c r="E407" s="66">
        <f>"RNCP"&amp;D407</f>
        <v/>
      </c>
      <c r="F407" s="66" t="inlineStr">
        <is>
          <t>Expert-conseil en stratégie des filières agricoles et agroalimentaires</t>
        </is>
      </c>
      <c r="G407" s="67">
        <f>E407&amp;" - "&amp;F407</f>
        <v/>
      </c>
      <c r="H407" s="38" t="inlineStr">
        <is>
          <t>Expiré / remplacé</t>
        </is>
      </c>
      <c r="I407" s="63" t="inlineStr">
        <is>
          <t>Fiche inactive — remplacée par RNCP42476 (Expert-conseil en stratégie des filières agricoles et agroalimentaires)</t>
        </is>
      </c>
      <c r="J407" s="63" t="inlineStr">
        <is>
          <t>RNCP42476</t>
        </is>
      </c>
      <c r="K407" s="63" t="inlineStr">
        <is>
          <t>Expert-conseil en stratégie des filières agricoles et agroalimentaires</t>
        </is>
      </c>
      <c r="L407" s="63" t="inlineStr">
        <is>
          <t>19/07/2026</t>
        </is>
      </c>
      <c r="M407" s="63" t="inlineStr">
        <is>
          <t>13158 (Économie agricole) ; 21052 (Gestion exploitation agricole) ; 21084 (Commercialisation agricole) ; 21554 (Agroalimentaire)</t>
        </is>
      </c>
      <c r="N407" s="68" t="inlineStr">
        <is>
          <t>NON</t>
        </is>
      </c>
      <c r="O407" s="63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45" t="n"/>
      <c r="B414" s="46" t="inlineStr">
        <is>
          <t>21052</t>
        </is>
      </c>
      <c r="C414" s="46">
        <f>LEFT(Tableau1[[#This Row],[Formacode]],3)</f>
        <v/>
      </c>
      <c r="D414" s="47" t="n">
        <v>38609</v>
      </c>
      <c r="E414" s="48">
        <f>"RNCP"&amp;D414</f>
        <v/>
      </c>
      <c r="F414" s="48" t="inlineStr">
        <is>
          <t>Conseiller en droit rural et économie agricole</t>
        </is>
      </c>
      <c r="G414" s="49">
        <f>E414&amp;" - "&amp;F414</f>
        <v/>
      </c>
      <c r="H414" s="36" t="inlineStr">
        <is>
          <t>RAS</t>
        </is>
      </c>
      <c r="I414" s="45" t="inlineStr"/>
      <c r="J414" s="45" t="inlineStr">
        <is>
          <t>RNCP38609</t>
        </is>
      </c>
      <c r="K414" s="45" t="inlineStr">
        <is>
          <t>Conseiller en droit rural et économie agricole</t>
        </is>
      </c>
      <c r="L414" s="45" t="inlineStr">
        <is>
          <t>09/02/2027</t>
        </is>
      </c>
      <c r="M414" s="45" t="inlineStr">
        <is>
          <t>13158 (Économie agricole) ; 21081 (Droit rural) ; 21060 (Installation agriculteur) ; 32043 (Conseil entreprise)</t>
        </is>
      </c>
      <c r="N414" s="50" t="inlineStr">
        <is>
          <t>NON</t>
        </is>
      </c>
      <c r="O414" s="45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149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32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32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32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32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Successeur déjà publié : RNCP42644 (Sommelier conseil caviste) — préparer la bascule de l'offre CPF | Échéance le 15/09/2026 (dans 47 j)</t>
        </is>
      </c>
      <c r="J571" s="51" t="inlineStr">
        <is>
          <t>RNCP42644</t>
        </is>
      </c>
      <c r="K571" s="51" t="inlineStr">
        <is>
          <t>Sommelier conseil caviste</t>
        </is>
      </c>
      <c r="L571" s="51" t="inlineStr">
        <is>
          <t>15/09/2026</t>
        </is>
      </c>
      <c r="M571" s="51" t="inlineStr">
        <is>
          <t>42739 (Sommellerie) ; 34513 (Vente vin spiritueux) ; 21540 (Commercialisation vin spiritueux) ; 21511 (Dégustation vin)</t>
        </is>
      </c>
      <c r="N571" s="62" t="inlineStr">
        <is>
          <t>NON</t>
        </is>
      </c>
      <c r="O571" s="51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32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32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32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Successeur déjà publié : RNCP42644 (Sommelier conseil caviste) — préparer la bascule de l'offre CPF | Échéance le 15/09/2026 (dans 47 j)</t>
        </is>
      </c>
      <c r="J629" s="51" t="inlineStr">
        <is>
          <t>RNCP42644</t>
        </is>
      </c>
      <c r="K629" s="51" t="inlineStr">
        <is>
          <t>Sommelier conseil caviste</t>
        </is>
      </c>
      <c r="L629" s="51" t="inlineStr">
        <is>
          <t>15/09/2026</t>
        </is>
      </c>
      <c r="M629" s="51" t="inlineStr">
        <is>
          <t>42739 (Sommellerie) ; 34513 (Vente vin spiritueux) ; 21540 (Commercialisation vin spiritueux) ; 21511 (Dégustation vin)</t>
        </is>
      </c>
      <c r="N629" s="62" t="inlineStr">
        <is>
          <t>NON</t>
        </is>
      </c>
      <c r="O629" s="51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32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32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32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32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63" t="n"/>
      <c r="B728" s="64" t="inlineStr">
        <is>
          <t>21627</t>
        </is>
      </c>
      <c r="C728" s="64">
        <f>LEFT(Tableau1[[#This Row],[Formacode]],3)</f>
        <v/>
      </c>
      <c r="D728" s="65" t="n">
        <v>37828</v>
      </c>
      <c r="E728" s="66">
        <f>"RNCP"&amp;D728</f>
        <v/>
      </c>
      <c r="F728" s="66" t="inlineStr">
        <is>
          <t>Designer créateur de produit de mode et textile</t>
        </is>
      </c>
      <c r="G728" s="67">
        <f>E728&amp;" - "&amp;F728</f>
        <v/>
      </c>
      <c r="H728" s="38" t="inlineStr">
        <is>
          <t>Expiré / remplacé</t>
        </is>
      </c>
      <c r="I728" s="63" t="inlineStr">
        <is>
          <t>Fiche inactive (échéance 19/07/2026) — aucun successeur publié</t>
        </is>
      </c>
      <c r="J728" s="63" t="inlineStr">
        <is>
          <t>RNCP37828</t>
        </is>
      </c>
      <c r="K728" s="63" t="inlineStr">
        <is>
          <t>Designer créateur de produit de mode et textile</t>
        </is>
      </c>
      <c r="L728" s="63" t="inlineStr">
        <is>
          <t>19/07/2026</t>
        </is>
      </c>
      <c r="M728" s="63" t="inlineStr">
        <is>
          <t>21775 (Stylisme habillement) ; 21627 (Création textile) ; 21752 (Accessoire mode) ; 45027 (Art appliqué) ; 46081 (Création graphique)</t>
        </is>
      </c>
      <c r="N728" s="68" t="inlineStr">
        <is>
          <t>NON</t>
        </is>
      </c>
      <c r="O728" s="63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32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32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32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32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63" t="n"/>
      <c r="B746" s="64" t="inlineStr">
        <is>
          <t>21742</t>
        </is>
      </c>
      <c r="C746" s="64">
        <f>LEFT(Tableau1[[#This Row],[Formacode]],3)</f>
        <v/>
      </c>
      <c r="D746" s="65" t="n">
        <v>37745</v>
      </c>
      <c r="E746" s="66">
        <f>"RNCP"&amp;D746</f>
        <v/>
      </c>
      <c r="F746" s="66" t="inlineStr">
        <is>
          <t>Modéliste international du vêtement</t>
        </is>
      </c>
      <c r="G746" s="67">
        <f>E746&amp;" - "&amp;F746</f>
        <v/>
      </c>
      <c r="H746" s="38" t="inlineStr">
        <is>
          <t>Expiré / remplacé</t>
        </is>
      </c>
      <c r="I746" s="63" t="inlineStr">
        <is>
          <t>Fiche inactive — remplacée par RNCP42338 (Modéliste international du vêtement)</t>
        </is>
      </c>
      <c r="J746" s="63" t="inlineStr">
        <is>
          <t>RNCP42338</t>
        </is>
      </c>
      <c r="K746" s="63" t="inlineStr">
        <is>
          <t>Modéliste international du vêtement</t>
        </is>
      </c>
      <c r="L746" s="63" t="inlineStr">
        <is>
          <t>19/07/2026</t>
        </is>
      </c>
      <c r="M746" s="63" t="inlineStr">
        <is>
          <t>21783 (Modélisme habillement)</t>
        </is>
      </c>
      <c r="N746" s="68" t="inlineStr">
        <is>
          <t>NON</t>
        </is>
      </c>
      <c r="O746" s="63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32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63" t="n"/>
      <c r="B751" s="64" t="inlineStr">
        <is>
          <t>21752</t>
        </is>
      </c>
      <c r="C751" s="64">
        <f>LEFT(Tableau1[[#This Row],[Formacode]],3)</f>
        <v/>
      </c>
      <c r="D751" s="65" t="n">
        <v>37828</v>
      </c>
      <c r="E751" s="66">
        <f>"RNCP"&amp;D751</f>
        <v/>
      </c>
      <c r="F751" s="66" t="inlineStr">
        <is>
          <t>Designer créateur de produit de mode et textile</t>
        </is>
      </c>
      <c r="G751" s="67">
        <f>E751&amp;" - "&amp;F751</f>
        <v/>
      </c>
      <c r="H751" s="38" t="inlineStr">
        <is>
          <t>Expiré / remplacé</t>
        </is>
      </c>
      <c r="I751" s="63" t="inlineStr">
        <is>
          <t>Fiche inactive (échéance 19/07/2026) — aucun successeur publié</t>
        </is>
      </c>
      <c r="J751" s="63" t="inlineStr">
        <is>
          <t>RNCP37828</t>
        </is>
      </c>
      <c r="K751" s="63" t="inlineStr">
        <is>
          <t>Designer créateur de produit de mode et textile</t>
        </is>
      </c>
      <c r="L751" s="63" t="inlineStr">
        <is>
          <t>19/07/2026</t>
        </is>
      </c>
      <c r="M751" s="63" t="inlineStr">
        <is>
          <t>21775 (Stylisme habillement) ; 21627 (Création textile) ; 21752 (Accessoire mode) ; 45027 (Art appliqué) ; 46081 (Création graphique)</t>
        </is>
      </c>
      <c r="N751" s="68" t="inlineStr">
        <is>
          <t>NON</t>
        </is>
      </c>
      <c r="O751" s="63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32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32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32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32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45" t="n"/>
      <c r="B762" s="46" t="inlineStr">
        <is>
          <t>21775</t>
        </is>
      </c>
      <c r="C762" s="46">
        <f>LEFT(Tableau1[[#This Row],[Formacode]],3)</f>
        <v/>
      </c>
      <c r="D762" s="47" t="n">
        <v>36777</v>
      </c>
      <c r="E762" s="48">
        <f>"RNCP"&amp;D762</f>
        <v/>
      </c>
      <c r="F762" s="48" t="inlineStr">
        <is>
          <t>BTS - Métiers de la mode  – vêtements »</t>
        </is>
      </c>
      <c r="G762" s="49">
        <f>E762&amp;" - "&amp;F762</f>
        <v/>
      </c>
      <c r="H762" s="36" t="inlineStr">
        <is>
          <t>RAS</t>
        </is>
      </c>
      <c r="I762" s="45" t="inlineStr"/>
      <c r="J762" s="45" t="inlineStr">
        <is>
          <t>RNCP36777</t>
        </is>
      </c>
      <c r="K762" s="45" t="inlineStr">
        <is>
          <t>Métiers de la mode – vêtements »</t>
        </is>
      </c>
      <c r="L762" s="45" t="inlineStr">
        <is>
          <t>31/08/2027</t>
        </is>
      </c>
      <c r="M762" s="45" t="inlineStr">
        <is>
          <t>21783 (Modélisme habillement)</t>
        </is>
      </c>
      <c r="N762" s="50" t="inlineStr">
        <is>
          <t>NON</t>
        </is>
      </c>
      <c r="O762" s="45" t="inlineStr"/>
    </row>
    <row r="763" customFormat="1" s="3">
      <c r="A763" s="63" t="n"/>
      <c r="B763" s="64" t="inlineStr">
        <is>
          <t>21775</t>
        </is>
      </c>
      <c r="C763" s="64">
        <f>LEFT(Tableau1[[#This Row],[Formacode]],3)</f>
        <v/>
      </c>
      <c r="D763" s="65" t="n">
        <v>37745</v>
      </c>
      <c r="E763" s="66">
        <f>"RNCP"&amp;D763</f>
        <v/>
      </c>
      <c r="F763" s="66" t="inlineStr">
        <is>
          <t>Modéliste international du vêtement</t>
        </is>
      </c>
      <c r="G763" s="67">
        <f>E763&amp;" - "&amp;F763</f>
        <v/>
      </c>
      <c r="H763" s="38" t="inlineStr">
        <is>
          <t>Expiré / remplacé</t>
        </is>
      </c>
      <c r="I763" s="63" t="inlineStr">
        <is>
          <t>Fiche inactive — remplacée par RNCP42338 (Modéliste international du vêtement)</t>
        </is>
      </c>
      <c r="J763" s="63" t="inlineStr">
        <is>
          <t>RNCP42338</t>
        </is>
      </c>
      <c r="K763" s="63" t="inlineStr">
        <is>
          <t>Modéliste international du vêtement</t>
        </is>
      </c>
      <c r="L763" s="63" t="inlineStr">
        <is>
          <t>19/07/2026</t>
        </is>
      </c>
      <c r="M763" s="63" t="inlineStr">
        <is>
          <t>21783 (Modélisme habillement)</t>
        </is>
      </c>
      <c r="N763" s="68" t="inlineStr">
        <is>
          <t>NON</t>
        </is>
      </c>
      <c r="O763" s="63" t="inlineStr"/>
    </row>
    <row r="764" customFormat="1" s="3">
      <c r="A764" s="63" t="n"/>
      <c r="B764" s="64" t="inlineStr">
        <is>
          <t>21775</t>
        </is>
      </c>
      <c r="C764" s="64">
        <f>LEFT(Tableau1[[#This Row],[Formacode]],3)</f>
        <v/>
      </c>
      <c r="D764" s="65" t="n">
        <v>37828</v>
      </c>
      <c r="E764" s="66">
        <f>"RNCP"&amp;D764</f>
        <v/>
      </c>
      <c r="F764" s="66" t="inlineStr">
        <is>
          <t>Designer créateur de produit de mode et textile</t>
        </is>
      </c>
      <c r="G764" s="67">
        <f>E764&amp;" - "&amp;F764</f>
        <v/>
      </c>
      <c r="H764" s="38" t="inlineStr">
        <is>
          <t>Expiré / remplacé</t>
        </is>
      </c>
      <c r="I764" s="63" t="inlineStr">
        <is>
          <t>Fiche inactive (échéance 19/07/2026) — aucun successeur publié</t>
        </is>
      </c>
      <c r="J764" s="63" t="inlineStr">
        <is>
          <t>RNCP37828</t>
        </is>
      </c>
      <c r="K764" s="63" t="inlineStr">
        <is>
          <t>Designer créateur de produit de mode et textile</t>
        </is>
      </c>
      <c r="L764" s="63" t="inlineStr">
        <is>
          <t>19/07/2026</t>
        </is>
      </c>
      <c r="M764" s="63" t="inlineStr">
        <is>
          <t>21775 (Stylisme habillement) ; 21627 (Création textile) ; 21752 (Accessoire mode) ; 45027 (Art appliqué) ; 46081 (Création graphique)</t>
        </is>
      </c>
      <c r="N764" s="68" t="inlineStr">
        <is>
          <t>NON</t>
        </is>
      </c>
      <c r="O764" s="63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32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32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Échéance le 12/10/2026 (dans 74 j)</t>
        </is>
      </c>
      <c r="J795" s="51" t="inlineStr">
        <is>
          <t>RNCP35827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31717 (Engin chantier) ; 22002 (Terrassement)</t>
        </is>
      </c>
      <c r="N795" s="62" t="inlineStr">
        <is>
          <t>NON</t>
        </is>
      </c>
      <c r="O795" s="51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154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Échéance le 20/10/2026 (dans 82 j)</t>
        </is>
      </c>
      <c r="J799" s="51" t="inlineStr">
        <is>
          <t>RNCP40217</t>
        </is>
      </c>
      <c r="K799" s="51" t="inlineStr">
        <is>
          <t>Conducteur de travaux du bâtiment et du génie civil</t>
        </is>
      </c>
      <c r="L799" s="51" t="inlineStr">
        <is>
          <t>20/10/2026</t>
        </is>
      </c>
      <c r="M799" s="51" t="inlineStr">
        <is>
          <t>22293 (Conduite travaux BTP) ; 22054 (Travaux publics) ; 22354 (Bâtiment gros oeuvre)</t>
        </is>
      </c>
      <c r="N799" s="62" t="inlineStr">
        <is>
          <t>NON</t>
        </is>
      </c>
      <c r="O799" s="51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154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Échéance le 20/10/2026 (dans 82 j)</t>
        </is>
      </c>
      <c r="J804" s="51" t="inlineStr">
        <is>
          <t>RNCP40217</t>
        </is>
      </c>
      <c r="K804" s="51" t="inlineStr">
        <is>
          <t>Conducteur de travaux du bâtiment et du génie civil</t>
        </is>
      </c>
      <c r="L804" s="51" t="inlineStr">
        <is>
          <t>20/10/2026</t>
        </is>
      </c>
      <c r="M804" s="51" t="inlineStr">
        <is>
          <t>22293 (Conduite travaux BTP) ; 22054 (Travaux publics) ; 22354 (Bâtiment gros oeuvre)</t>
        </is>
      </c>
      <c r="N804" s="62" t="inlineStr">
        <is>
          <t>NON</t>
        </is>
      </c>
      <c r="O804" s="51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154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Échéance le 20/10/2026 (dans 82 j)</t>
        </is>
      </c>
      <c r="J810" s="51" t="inlineStr">
        <is>
          <t>RNCP40217</t>
        </is>
      </c>
      <c r="K810" s="51" t="inlineStr">
        <is>
          <t>Conducteur de travaux du bâtiment et du génie civil</t>
        </is>
      </c>
      <c r="L810" s="51" t="inlineStr">
        <is>
          <t>20/10/2026</t>
        </is>
      </c>
      <c r="M810" s="51" t="inlineStr">
        <is>
          <t>22293 (Conduite travaux BTP) ; 22054 (Travaux publics) ; 22354 (Bâtiment gros oeuvre)</t>
        </is>
      </c>
      <c r="N810" s="62" t="inlineStr">
        <is>
          <t>NON</t>
        </is>
      </c>
      <c r="O810" s="51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154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Échéance le 20/10/2026 (dans 82 j)</t>
        </is>
      </c>
      <c r="J816" s="51" t="inlineStr">
        <is>
          <t>RNCP40217</t>
        </is>
      </c>
      <c r="K816" s="51" t="inlineStr">
        <is>
          <t>Conducteur de travaux du bâtiment et du génie civil</t>
        </is>
      </c>
      <c r="L816" s="51" t="inlineStr">
        <is>
          <t>20/10/2026</t>
        </is>
      </c>
      <c r="M816" s="51" t="inlineStr">
        <is>
          <t>22293 (Conduite travaux BTP) ; 22054 (Travaux publics) ; 22354 (Bâtiment gros oeuvre)</t>
        </is>
      </c>
      <c r="N816" s="62" t="inlineStr">
        <is>
          <t>NON</t>
        </is>
      </c>
      <c r="O816" s="51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154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Échéance le 20/10/2026 (dans 82 j)</t>
        </is>
      </c>
      <c r="J821" s="51" t="inlineStr">
        <is>
          <t>RNCP40217</t>
        </is>
      </c>
      <c r="K821" s="51" t="inlineStr">
        <is>
          <t>Conducteur de travaux du bâtiment et du génie civil</t>
        </is>
      </c>
      <c r="L821" s="51" t="inlineStr">
        <is>
          <t>20/10/2026</t>
        </is>
      </c>
      <c r="M821" s="51" t="inlineStr">
        <is>
          <t>22293 (Conduite travaux BTP) ; 22054 (Travaux publics) ; 22354 (Bâtiment gros oeuvre)</t>
        </is>
      </c>
      <c r="N821" s="62" t="inlineStr">
        <is>
          <t>NON</t>
        </is>
      </c>
      <c r="O821" s="51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154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Échéance le 20/10/2026 (dans 82 j)</t>
        </is>
      </c>
      <c r="J826" s="51" t="inlineStr">
        <is>
          <t>RNCP40217</t>
        </is>
      </c>
      <c r="K826" s="51" t="inlineStr">
        <is>
          <t>Conducteur de travaux du bâtiment et du génie civil</t>
        </is>
      </c>
      <c r="L826" s="51" t="inlineStr">
        <is>
          <t>20/10/2026</t>
        </is>
      </c>
      <c r="M826" s="51" t="inlineStr">
        <is>
          <t>22293 (Conduite travaux BTP) ; 22054 (Travaux publics) ; 22354 (Bâtiment gros oeuvre)</t>
        </is>
      </c>
      <c r="N826" s="62" t="inlineStr">
        <is>
          <t>NON</t>
        </is>
      </c>
      <c r="O826" s="51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154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Échéance le 20/10/2026 (dans 82 j)</t>
        </is>
      </c>
      <c r="J832" s="51" t="inlineStr">
        <is>
          <t>RNCP40217</t>
        </is>
      </c>
      <c r="K832" s="51" t="inlineStr">
        <is>
          <t>Conducteur de travaux du bâtiment et du génie civil</t>
        </is>
      </c>
      <c r="L832" s="51" t="inlineStr">
        <is>
          <t>20/10/2026</t>
        </is>
      </c>
      <c r="M832" s="51" t="inlineStr">
        <is>
          <t>22293 (Conduite travaux BTP) ; 22054 (Travaux publics) ; 22354 (Bâtiment gros oeuvre)</t>
        </is>
      </c>
      <c r="N832" s="62" t="inlineStr">
        <is>
          <t>NON</t>
        </is>
      </c>
      <c r="O832" s="51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32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154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Échéance le 20/10/2026 (dans 82 j)</t>
        </is>
      </c>
      <c r="J841" s="51" t="inlineStr">
        <is>
          <t>RNCP40217</t>
        </is>
      </c>
      <c r="K841" s="51" t="inlineStr">
        <is>
          <t>Conducteur de travaux du bâtiment et du génie civil</t>
        </is>
      </c>
      <c r="L841" s="51" t="inlineStr">
        <is>
          <t>20/10/2026</t>
        </is>
      </c>
      <c r="M841" s="51" t="inlineStr">
        <is>
          <t>22293 (Conduite travaux BTP) ; 22054 (Travaux publics) ; 22354 (Bâtiment gros oeuvre)</t>
        </is>
      </c>
      <c r="N841" s="62" t="inlineStr">
        <is>
          <t>NON</t>
        </is>
      </c>
      <c r="O841" s="51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154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Échéance le 20/10/2026 (dans 82 j)</t>
        </is>
      </c>
      <c r="J845" s="51" t="inlineStr">
        <is>
          <t>RNCP40217</t>
        </is>
      </c>
      <c r="K845" s="51" t="inlineStr">
        <is>
          <t>Conducteur de travaux du bâtiment et du génie civil</t>
        </is>
      </c>
      <c r="L845" s="51" t="inlineStr">
        <is>
          <t>20/10/2026</t>
        </is>
      </c>
      <c r="M845" s="51" t="inlineStr">
        <is>
          <t>22293 (Conduite travaux BTP) ; 22054 (Travaux publics) ; 22354 (Bâtiment gros oeuvre)</t>
        </is>
      </c>
      <c r="N845" s="62" t="inlineStr">
        <is>
          <t>NON</t>
        </is>
      </c>
      <c r="O845" s="51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154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Échéance le 20/10/2026 (dans 82 j)</t>
        </is>
      </c>
      <c r="J849" s="51" t="inlineStr">
        <is>
          <t>RNCP40217</t>
        </is>
      </c>
      <c r="K849" s="51" t="inlineStr">
        <is>
          <t>Conducteur de travaux du bâtiment et du génie civil</t>
        </is>
      </c>
      <c r="L849" s="51" t="inlineStr">
        <is>
          <t>20/10/2026</t>
        </is>
      </c>
      <c r="M849" s="51" t="inlineStr">
        <is>
          <t>22293 (Conduite travaux BTP) ; 22054 (Travaux publics) ; 22354 (Bâtiment gros oeuvre)</t>
        </is>
      </c>
      <c r="N849" s="62" t="inlineStr">
        <is>
          <t>NON</t>
        </is>
      </c>
      <c r="O849" s="51" t="inlineStr"/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154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Échéance le 20/10/2026 (dans 82 j)</t>
        </is>
      </c>
      <c r="J856" s="51" t="inlineStr">
        <is>
          <t>RNCP40217</t>
        </is>
      </c>
      <c r="K856" s="51" t="inlineStr">
        <is>
          <t>Conducteur de travaux du bâtiment et du génie civil</t>
        </is>
      </c>
      <c r="L856" s="51" t="inlineStr">
        <is>
          <t>20/10/2026</t>
        </is>
      </c>
      <c r="M856" s="51" t="inlineStr">
        <is>
          <t>22293 (Conduite travaux BTP) ; 22054 (Travaux publics) ; 22354 (Bâtiment gros oeuvre)</t>
        </is>
      </c>
      <c r="N856" s="62" t="inlineStr">
        <is>
          <t>NON</t>
        </is>
      </c>
      <c r="O856" s="51" t="inlineStr"/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52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32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52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32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52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32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154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Échéance le 20/10/2026 (dans 82 j)</t>
        </is>
      </c>
      <c r="J1018" s="51" t="inlineStr">
        <is>
          <t>RNCP40217</t>
        </is>
      </c>
      <c r="K1018" s="51" t="inlineStr">
        <is>
          <t>Conducteur de travaux du bâtiment et du génie civil</t>
        </is>
      </c>
      <c r="L1018" s="51" t="inlineStr">
        <is>
          <t>20/10/2026</t>
        </is>
      </c>
      <c r="M1018" s="51" t="inlineStr">
        <is>
          <t>22293 (Conduite travaux BTP) ; 22054 (Travaux publics) ; 22354 (Bâtiment gros oeuvre)</t>
        </is>
      </c>
      <c r="N1018" s="62" t="inlineStr">
        <is>
          <t>NON</t>
        </is>
      </c>
      <c r="O1018" s="51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32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52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Échéance le 20/10/2026 (dans 82 j)</t>
        </is>
      </c>
      <c r="J1059" s="51" t="inlineStr">
        <is>
          <t>RNCP40217</t>
        </is>
      </c>
      <c r="K1059" s="51" t="inlineStr">
        <is>
          <t>Conducteur de travaux du bâtiment et du génie civil</t>
        </is>
      </c>
      <c r="L1059" s="51" t="inlineStr">
        <is>
          <t>20/10/2026</t>
        </is>
      </c>
      <c r="M1059" s="51" t="inlineStr">
        <is>
          <t>22293 (Conduite travaux BTP) ; 22054 (Travaux publics) ; 22354 (Bâtiment gros oeuvre)</t>
        </is>
      </c>
      <c r="N1059" s="62" t="inlineStr">
        <is>
          <t>NON</t>
        </is>
      </c>
      <c r="O1059" s="51" t="inlineStr"/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32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Échéance le 20/10/2026 (dans 82 j)</t>
        </is>
      </c>
      <c r="J1068" s="51" t="inlineStr">
        <is>
          <t>RNCP40217</t>
        </is>
      </c>
      <c r="K1068" s="51" t="inlineStr">
        <is>
          <t>Conducteur de travaux du bâtiment et du génie civil</t>
        </is>
      </c>
      <c r="L1068" s="51" t="inlineStr">
        <is>
          <t>20/10/2026</t>
        </is>
      </c>
      <c r="M1068" s="51" t="inlineStr">
        <is>
          <t>22293 (Conduite travaux BTP) ; 22054 (Travaux publics) ; 22354 (Bâtiment gros oeuvre)</t>
        </is>
      </c>
      <c r="N1068" s="62" t="inlineStr">
        <is>
          <t>NON</t>
        </is>
      </c>
      <c r="O1068" s="51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Échéance le 20/10/2026 (dans 82 j)</t>
        </is>
      </c>
      <c r="J1077" s="51" t="inlineStr">
        <is>
          <t>RNCP40217</t>
        </is>
      </c>
      <c r="K1077" s="51" t="inlineStr">
        <is>
          <t>Conducteur de travaux du bâtiment et du génie civil</t>
        </is>
      </c>
      <c r="L1077" s="51" t="inlineStr">
        <is>
          <t>20/10/2026</t>
        </is>
      </c>
      <c r="M1077" s="51" t="inlineStr">
        <is>
          <t>22293 (Conduite travaux BTP) ; 22054 (Travaux publics) ; 22354 (Bâtiment gros oeuvre)</t>
        </is>
      </c>
      <c r="N1077" s="62" t="inlineStr">
        <is>
          <t>NON</t>
        </is>
      </c>
      <c r="O1077" s="51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32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154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Échéance le 20/10/2026 (dans 82 j)</t>
        </is>
      </c>
      <c r="J1093" s="51" t="inlineStr">
        <is>
          <t>RNCP40217</t>
        </is>
      </c>
      <c r="K1093" s="51" t="inlineStr">
        <is>
          <t>Conducteur de travaux du bâtiment et du génie civil</t>
        </is>
      </c>
      <c r="L1093" s="51" t="inlineStr">
        <is>
          <t>20/10/2026</t>
        </is>
      </c>
      <c r="M1093" s="51" t="inlineStr">
        <is>
          <t>22293 (Conduite travaux BTP) ; 22054 (Travaux publics) ; 22354 (Bâtiment gros oeuvre)</t>
        </is>
      </c>
      <c r="N1093" s="62" t="inlineStr">
        <is>
          <t>NON</t>
        </is>
      </c>
      <c r="O1093" s="51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Échéance le 20/10/2026 (dans 82 j)</t>
        </is>
      </c>
      <c r="J1099" s="51" t="inlineStr">
        <is>
          <t>RNCP40217</t>
        </is>
      </c>
      <c r="K1099" s="51" t="inlineStr">
        <is>
          <t>Conducteur de travaux du bâtiment et du génie civil</t>
        </is>
      </c>
      <c r="L1099" s="51" t="inlineStr">
        <is>
          <t>20/10/2026</t>
        </is>
      </c>
      <c r="M1099" s="51" t="inlineStr">
        <is>
          <t>22293 (Conduite travaux BTP) ; 22054 (Travaux publics) ; 22354 (Bâtiment gros oeuvre)</t>
        </is>
      </c>
      <c r="N1099" s="62" t="inlineStr">
        <is>
          <t>NON</t>
        </is>
      </c>
      <c r="O1099" s="51" t="inlineStr"/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Échéance le 20/10/2026 (dans 82 j)</t>
        </is>
      </c>
      <c r="J1104" s="51" t="inlineStr">
        <is>
          <t>RNCP40217</t>
        </is>
      </c>
      <c r="K1104" s="51" t="inlineStr">
        <is>
          <t>Conducteur de travaux du bâtiment et du génie civil</t>
        </is>
      </c>
      <c r="L1104" s="51" t="inlineStr">
        <is>
          <t>20/10/2026</t>
        </is>
      </c>
      <c r="M1104" s="51" t="inlineStr">
        <is>
          <t>22293 (Conduite travaux BTP) ; 22054 (Travaux publics) ; 22354 (Bâtiment gros oeuvre)</t>
        </is>
      </c>
      <c r="N1104" s="62" t="inlineStr">
        <is>
          <t>NON</t>
        </is>
      </c>
      <c r="O1104" s="51" t="inlineStr"/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Échéance le 20/10/2026 (dans 82 j)</t>
        </is>
      </c>
      <c r="J1111" s="51" t="inlineStr">
        <is>
          <t>RNCP40217</t>
        </is>
      </c>
      <c r="K1111" s="51" t="inlineStr">
        <is>
          <t>Conducteur de travaux du bâtiment et du génie civil</t>
        </is>
      </c>
      <c r="L1111" s="51" t="inlineStr">
        <is>
          <t>20/10/2026</t>
        </is>
      </c>
      <c r="M1111" s="51" t="inlineStr">
        <is>
          <t>22293 (Conduite travaux BTP) ; 22054 (Travaux publics) ; 22354 (Bâtiment gros oeuvre)</t>
        </is>
      </c>
      <c r="N1111" s="62" t="inlineStr">
        <is>
          <t>NON</t>
        </is>
      </c>
      <c r="O1111" s="51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Échéance le 20/10/2026 (dans 82 j)</t>
        </is>
      </c>
      <c r="J1118" s="51" t="inlineStr">
        <is>
          <t>RNCP40217</t>
        </is>
      </c>
      <c r="K1118" s="51" t="inlineStr">
        <is>
          <t>Conducteur de travaux du bâtiment et du génie civil</t>
        </is>
      </c>
      <c r="L1118" s="51" t="inlineStr">
        <is>
          <t>20/10/2026</t>
        </is>
      </c>
      <c r="M1118" s="51" t="inlineStr">
        <is>
          <t>22293 (Conduite travaux BTP) ; 22054 (Travaux publics) ; 22354 (Bâtiment gros oeuvre)</t>
        </is>
      </c>
      <c r="N1118" s="62" t="inlineStr">
        <is>
          <t>NON</t>
        </is>
      </c>
      <c r="O1118" s="51" t="inlineStr"/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Échéance le 20/10/2026 (dans 82 j)</t>
        </is>
      </c>
      <c r="J1123" s="51" t="inlineStr">
        <is>
          <t>RNCP40217</t>
        </is>
      </c>
      <c r="K1123" s="51" t="inlineStr">
        <is>
          <t>Conducteur de travaux du bâtiment et du génie civil</t>
        </is>
      </c>
      <c r="L1123" s="51" t="inlineStr">
        <is>
          <t>20/10/2026</t>
        </is>
      </c>
      <c r="M1123" s="51" t="inlineStr">
        <is>
          <t>22293 (Conduite travaux BTP) ; 22054 (Travaux publics) ; 22354 (Bâtiment gros oeuvre)</t>
        </is>
      </c>
      <c r="N1123" s="62" t="inlineStr">
        <is>
          <t>NON</t>
        </is>
      </c>
      <c r="O1123" s="51" t="inlineStr"/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32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32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70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32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Échéance le 20/10/2026 (dans 82 j)</t>
        </is>
      </c>
      <c r="J1145" s="51" t="inlineStr">
        <is>
          <t>RNCP40217</t>
        </is>
      </c>
      <c r="K1145" s="51" t="inlineStr">
        <is>
          <t>Conducteur de travaux du bâtiment et du génie civil</t>
        </is>
      </c>
      <c r="L1145" s="51" t="inlineStr">
        <is>
          <t>20/10/2026</t>
        </is>
      </c>
      <c r="M1145" s="51" t="inlineStr">
        <is>
          <t>22293 (Conduite travaux BTP) ; 22054 (Travaux publics) ; 22354 (Bâtiment gros oeuvre)</t>
        </is>
      </c>
      <c r="N1145" s="62" t="inlineStr">
        <is>
          <t>NON</t>
        </is>
      </c>
      <c r="O1145" s="51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32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32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154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32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Échéance le 24/10/2026 (dans 86 j)</t>
        </is>
      </c>
      <c r="J1178" s="51" t="inlineStr">
        <is>
          <t>RNCP35823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62" t="inlineStr">
        <is>
          <t>NON</t>
        </is>
      </c>
      <c r="O1178" s="51" t="inlineStr"/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32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32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32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32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141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32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32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154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32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32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32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52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32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32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32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154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32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32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32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Échéance le 31/08/2026 (dans 32 j)</t>
        </is>
      </c>
      <c r="J1301" s="51" t="inlineStr">
        <is>
          <t>RNCP35844</t>
        </is>
      </c>
      <c r="K1301" s="51" t="inlineStr">
        <is>
          <t>Maintenance et Efficacité Energétique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62" t="inlineStr">
        <is>
          <t>NON</t>
        </is>
      </c>
      <c r="O1301" s="51" t="inlineStr"/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32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Échéance le 31/08/2026 (dans 32 j)</t>
        </is>
      </c>
      <c r="J1314" s="51" t="inlineStr">
        <is>
          <t>RNCP35844</t>
        </is>
      </c>
      <c r="K1314" s="51" t="inlineStr">
        <is>
          <t>Maintenance et Efficacité Energétique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62" t="inlineStr">
        <is>
          <t>NON</t>
        </is>
      </c>
      <c r="O1314" s="51" t="inlineStr"/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32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32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32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154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141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154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45" t="n"/>
      <c r="B1410" s="46" t="inlineStr">
        <is>
          <t>22884</t>
        </is>
      </c>
      <c r="C1410" s="46">
        <f>LEFT(Tableau1[[#This Row],[Formacode]],3)</f>
        <v/>
      </c>
      <c r="D1410" s="47" t="n">
        <v>38619</v>
      </c>
      <c r="E1410" s="48">
        <f>"RNCP"&amp;D1410</f>
        <v/>
      </c>
      <c r="F1410" s="48" t="inlineStr">
        <is>
          <t>CQP Conducteur référent de machine à papier</t>
        </is>
      </c>
      <c r="G1410" s="49">
        <f>E1410&amp;" - "&amp;F1410</f>
        <v/>
      </c>
      <c r="H1410" s="36" t="inlineStr">
        <is>
          <t>RAS</t>
        </is>
      </c>
      <c r="I1410" s="45" t="inlineStr"/>
      <c r="J1410" s="45" t="inlineStr">
        <is>
          <t>RNCP38619</t>
        </is>
      </c>
      <c r="K1410" s="45" t="inlineStr">
        <is>
          <t>CQP Conducteur référent de machine à papier</t>
        </is>
      </c>
      <c r="L1410" s="45" t="inlineStr">
        <is>
          <t>09/02/2027</t>
        </is>
      </c>
      <c r="M1410" s="45" t="inlineStr">
        <is>
          <t>31620 (Conduite installation industrielle) ; 22884 (Papier carton)</t>
        </is>
      </c>
      <c r="N1410" s="50" t="inlineStr">
        <is>
          <t>NON</t>
        </is>
      </c>
      <c r="O1410" s="45" t="inlineStr"/>
    </row>
    <row r="1411" customFormat="1" s="3">
      <c r="A1411" s="45" t="n"/>
      <c r="B1411" s="46" t="inlineStr">
        <is>
          <t>22884</t>
        </is>
      </c>
      <c r="C1411" s="46">
        <f>LEFT(Tableau1[[#This Row],[Formacode]],3)</f>
        <v/>
      </c>
      <c r="D1411" s="47" t="n">
        <v>38621</v>
      </c>
      <c r="E1411" s="48">
        <f>"RNCP"&amp;D1411</f>
        <v/>
      </c>
      <c r="F1411" s="48" t="inlineStr">
        <is>
          <t>CQP Conducteur en transformation</t>
        </is>
      </c>
      <c r="G1411" s="49">
        <f>E1411&amp;" - "&amp;F1411</f>
        <v/>
      </c>
      <c r="H1411" s="36" t="inlineStr">
        <is>
          <t>RAS</t>
        </is>
      </c>
      <c r="I1411" s="45" t="inlineStr"/>
      <c r="J1411" s="45" t="inlineStr">
        <is>
          <t>RNCP38621</t>
        </is>
      </c>
      <c r="K1411" s="45" t="inlineStr">
        <is>
          <t>CQP Conducteur en transformation</t>
        </is>
      </c>
      <c r="L1411" s="45" t="inlineStr">
        <is>
          <t>09/02/2027</t>
        </is>
      </c>
      <c r="M1411" s="45" t="inlineStr">
        <is>
          <t>31620 (Conduite installation industrielle) ; 22884 (Papier carton)</t>
        </is>
      </c>
      <c r="N1411" s="50" t="inlineStr">
        <is>
          <t>NON</t>
        </is>
      </c>
      <c r="O1411" s="45" t="inlineStr"/>
    </row>
    <row r="1412" customFormat="1" s="3">
      <c r="A1412" s="45" t="n"/>
      <c r="B1412" s="46" t="inlineStr">
        <is>
          <t>22884</t>
        </is>
      </c>
      <c r="C1412" s="46">
        <f>LEFT(Tableau1[[#This Row],[Formacode]],3)</f>
        <v/>
      </c>
      <c r="D1412" s="47" t="n">
        <v>38626</v>
      </c>
      <c r="E1412" s="48">
        <f>"RNCP"&amp;D1412</f>
        <v/>
      </c>
      <c r="F1412" s="48" t="inlineStr">
        <is>
          <t>CQP Aide-conducteur de machine à papier</t>
        </is>
      </c>
      <c r="G1412" s="49">
        <f>E1412&amp;" - "&amp;F1412</f>
        <v/>
      </c>
      <c r="H1412" s="36" t="inlineStr">
        <is>
          <t>RAS</t>
        </is>
      </c>
      <c r="I1412" s="45" t="inlineStr"/>
      <c r="J1412" s="45" t="inlineStr">
        <is>
          <t>RNCP38626</t>
        </is>
      </c>
      <c r="K1412" s="45" t="inlineStr">
        <is>
          <t>CQP Aide-conducteur de machine à papier</t>
        </is>
      </c>
      <c r="L1412" s="45" t="inlineStr">
        <is>
          <t>09/02/2027</t>
        </is>
      </c>
      <c r="M1412" s="45" t="inlineStr">
        <is>
          <t>31620 (Conduite installation industrielle) ; 22884 (Papier carton)</t>
        </is>
      </c>
      <c r="N1412" s="50" t="inlineStr">
        <is>
          <t>NON</t>
        </is>
      </c>
      <c r="O1412" s="45" t="inlineStr"/>
    </row>
    <row r="1413" customFormat="1" s="3">
      <c r="A1413" s="45" t="n"/>
      <c r="B1413" s="46" t="inlineStr">
        <is>
          <t>22884</t>
        </is>
      </c>
      <c r="C1413" s="46">
        <f>LEFT(Tableau1[[#This Row],[Formacode]],3)</f>
        <v/>
      </c>
      <c r="D1413" s="47" t="n">
        <v>38627</v>
      </c>
      <c r="E1413" s="48">
        <f>"RNCP"&amp;D1413</f>
        <v/>
      </c>
      <c r="F1413" s="48" t="inlineStr">
        <is>
          <t>CQP Aide-conducteur en transformation</t>
        </is>
      </c>
      <c r="G1413" s="49">
        <f>E1413&amp;" - "&amp;F1413</f>
        <v/>
      </c>
      <c r="H1413" s="36" t="inlineStr">
        <is>
          <t>RAS</t>
        </is>
      </c>
      <c r="I1413" s="45" t="inlineStr"/>
      <c r="J1413" s="45" t="inlineStr">
        <is>
          <t>RNCP38627</t>
        </is>
      </c>
      <c r="K1413" s="45" t="inlineStr">
        <is>
          <t>CQP Aide-conducteur en transformation</t>
        </is>
      </c>
      <c r="L1413" s="45" t="inlineStr">
        <is>
          <t>09/02/2027</t>
        </is>
      </c>
      <c r="M1413" s="45" t="inlineStr">
        <is>
          <t>31620 (Conduite installation industrielle) ; 22884 (Papier carton)</t>
        </is>
      </c>
      <c r="N1413" s="50" t="inlineStr">
        <is>
          <t>NON</t>
        </is>
      </c>
      <c r="O1413" s="45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144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70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Successeur déjà publié : RNCP42657 (CQP Ajusteur assembleur de structures aéronefs) — préparer la bascule de l'offre CPF | Échéance le 15/12/2026 (dans 138 j)</t>
        </is>
      </c>
      <c r="J1431" s="51" t="inlineStr">
        <is>
          <t>RNCP42657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45" t="n"/>
      <c r="B1432" s="46" t="inlineStr">
        <is>
          <t>23035</t>
        </is>
      </c>
      <c r="C1432" s="46">
        <f>LEFT(Tableau1[[#This Row],[Formacode]],3)</f>
        <v/>
      </c>
      <c r="D1432" s="47" t="n">
        <v>36169</v>
      </c>
      <c r="E1432" s="48">
        <f>"RNCP"&amp;D1432</f>
        <v/>
      </c>
      <c r="F1432" s="48" t="inlineStr">
        <is>
          <t>TP - Soudeur programmeur de cellules robotisées</t>
        </is>
      </c>
      <c r="G1432" s="49">
        <f>E1432&amp;" - "&amp;F1432</f>
        <v/>
      </c>
      <c r="H1432" s="36" t="inlineStr">
        <is>
          <t>RAS</t>
        </is>
      </c>
      <c r="I1432" s="45" t="inlineStr"/>
      <c r="J1432" s="45" t="inlineStr">
        <is>
          <t>RNCP36169</t>
        </is>
      </c>
      <c r="K1432" s="45" t="inlineStr">
        <is>
          <t>Soudeur programmeur de cellules robotisées</t>
        </is>
      </c>
      <c r="L1432" s="45" t="inlineStr">
        <is>
          <t>31/01/2027</t>
        </is>
      </c>
      <c r="M1432" s="45" t="inlineStr">
        <is>
          <t>23026 (Soudage)</t>
        </is>
      </c>
      <c r="N1432" s="50" t="inlineStr">
        <is>
          <t>NON</t>
        </is>
      </c>
      <c r="O1432" s="45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144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144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154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144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45" t="n"/>
      <c r="B1460" s="46" t="inlineStr">
        <is>
          <t>23048</t>
        </is>
      </c>
      <c r="C1460" s="46">
        <f>LEFT(Tableau1[[#This Row],[Formacode]],3)</f>
        <v/>
      </c>
      <c r="D1460" s="47" t="n">
        <v>37378</v>
      </c>
      <c r="E1460" s="48">
        <f>"RNCP"&amp;D1460</f>
        <v/>
      </c>
      <c r="F1460" s="48" t="inlineStr">
        <is>
          <t>BTS - Conception des processus de découpe et d’emboutissage</t>
        </is>
      </c>
      <c r="G1460" s="49">
        <f>E1460&amp;" - "&amp;F1460</f>
        <v/>
      </c>
      <c r="H1460" s="36" t="inlineStr">
        <is>
          <t>RAS</t>
        </is>
      </c>
      <c r="I1460" s="45" t="inlineStr"/>
      <c r="J1460" s="45" t="inlineStr">
        <is>
          <t>RNCP37378</t>
        </is>
      </c>
      <c r="K1460" s="45" t="inlineStr">
        <is>
          <t>Conception des processus de découpe et d’emboutissage</t>
        </is>
      </c>
      <c r="L1460" s="45" t="inlineStr">
        <is>
          <t>31/08/2027</t>
        </is>
      </c>
      <c r="M1460" s="45" t="inlineStr">
        <is>
          <t>23059 (Emboutissage)</t>
        </is>
      </c>
      <c r="N1460" s="50" t="inlineStr">
        <is>
          <t>NON</t>
        </is>
      </c>
      <c r="O1460" s="45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144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32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144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32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144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45" t="n"/>
      <c r="B1487" s="46" t="inlineStr">
        <is>
          <t>23076</t>
        </is>
      </c>
      <c r="C1487" s="46">
        <f>LEFT(Tableau1[[#This Row],[Formacode]],3)</f>
        <v/>
      </c>
      <c r="D1487" s="47" t="n">
        <v>36238</v>
      </c>
      <c r="E1487" s="48">
        <f>"RNCP"&amp;D1487</f>
        <v/>
      </c>
      <c r="F1487" s="48" t="inlineStr">
        <is>
          <t>TP - Fraiseur en réalisation de pièces mécaniques</t>
        </is>
      </c>
      <c r="G1487" s="49">
        <f>E1487&amp;" - "&amp;F1487</f>
        <v/>
      </c>
      <c r="H1487" s="36" t="inlineStr">
        <is>
          <t>RAS</t>
        </is>
      </c>
      <c r="I1487" s="45" t="inlineStr"/>
      <c r="J1487" s="45" t="inlineStr">
        <is>
          <t>RNCP36238</t>
        </is>
      </c>
      <c r="K1487" s="45" t="inlineStr">
        <is>
          <t>Fraiseur en réalisation de pièces mécaniques</t>
        </is>
      </c>
      <c r="L1487" s="45" t="inlineStr">
        <is>
          <t>15/02/2027</t>
        </is>
      </c>
      <c r="M1487" s="45" t="inlineStr">
        <is>
          <t>24404 (Commande numérique fraisage) ; 23067 (Fraisage)</t>
        </is>
      </c>
      <c r="N1487" s="50" t="inlineStr">
        <is>
          <t>NON</t>
        </is>
      </c>
      <c r="O1487" s="45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63" t="n"/>
      <c r="B1490" s="64" t="inlineStr">
        <is>
          <t>23076</t>
        </is>
      </c>
      <c r="C1490" s="64">
        <f>LEFT(Tableau1[[#This Row],[Formacode]],3)</f>
        <v/>
      </c>
      <c r="D1490" s="65" t="n">
        <v>37734</v>
      </c>
      <c r="E1490" s="66">
        <f>"RNCP"&amp;D1490</f>
        <v/>
      </c>
      <c r="F1490" s="66" t="inlineStr">
        <is>
          <t>CQP Rectifieur sur machine conventionnelle et/ou numérique</t>
        </is>
      </c>
      <c r="G1490" s="67">
        <f>E1490&amp;" - "&amp;F1490</f>
        <v/>
      </c>
      <c r="H1490" s="38" t="inlineStr">
        <is>
          <t>Expiré / remplacé</t>
        </is>
      </c>
      <c r="I1490" s="63" t="inlineStr">
        <is>
          <t>Fiche inactive (échéance 19/07/2026) — aucun successeur publié</t>
        </is>
      </c>
      <c r="J1490" s="63" t="inlineStr">
        <is>
          <t>RNCP37734</t>
        </is>
      </c>
      <c r="K1490" s="63" t="inlineStr">
        <is>
          <t>CQP Rectifieur sur machine conventionnelle et/ou numérique</t>
        </is>
      </c>
      <c r="L1490" s="63" t="inlineStr">
        <is>
          <t>19/07/2026</t>
        </is>
      </c>
      <c r="M1490" s="63" t="inlineStr">
        <is>
          <t>23098 (Rectification usinage)</t>
        </is>
      </c>
      <c r="N1490" s="68" t="inlineStr">
        <is>
          <t>NON</t>
        </is>
      </c>
      <c r="O1490" s="63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144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45" t="n"/>
      <c r="B1493" s="46" t="inlineStr">
        <is>
          <t>23076</t>
        </is>
      </c>
      <c r="C1493" s="46">
        <f>LEFT(Tableau1[[#This Row],[Formacode]],3)</f>
        <v/>
      </c>
      <c r="D1493" s="47" t="n">
        <v>38622</v>
      </c>
      <c r="E1493" s="48">
        <f>"RNCP"&amp;D1493</f>
        <v/>
      </c>
      <c r="F1493" s="48" t="inlineStr">
        <is>
          <t>Technicien d’usinage sur machines-outils à commande numérique (MOCN)</t>
        </is>
      </c>
      <c r="G1493" s="49">
        <f>E1493&amp;" - "&amp;F1493</f>
        <v/>
      </c>
      <c r="H1493" s="36" t="inlineStr">
        <is>
          <t>RAS</t>
        </is>
      </c>
      <c r="I1493" s="45" t="inlineStr"/>
      <c r="J1493" s="45" t="inlineStr">
        <is>
          <t>RNCP38622</t>
        </is>
      </c>
      <c r="K1493" s="45" t="inlineStr">
        <is>
          <t>Technicien d’usinage sur machines-outils à commande numérique (MOCN)</t>
        </is>
      </c>
      <c r="L1493" s="45" t="inlineStr">
        <is>
          <t>09/02/2027</t>
        </is>
      </c>
      <c r="M1493" s="45" t="inlineStr">
        <is>
          <t>23076 (Usinage) ; 24425 (MOCN)</t>
        </is>
      </c>
      <c r="N1493" s="50" t="inlineStr">
        <is>
          <t>NON</t>
        </is>
      </c>
      <c r="O1493" s="45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32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70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144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32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144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32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32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154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63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32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32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154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32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32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103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32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154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63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121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32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32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32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32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32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32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32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32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45" t="n"/>
      <c r="B1657" s="46" t="inlineStr">
        <is>
          <t>24016</t>
        </is>
      </c>
      <c r="C1657" s="46">
        <f>LEFT(Tableau1[[#This Row],[Formacode]],3)</f>
        <v/>
      </c>
      <c r="D1657" s="47" t="n">
        <v>36171</v>
      </c>
      <c r="E1657" s="48">
        <f>"RNCP"&amp;D1657</f>
        <v/>
      </c>
      <c r="F1657" s="48" t="inlineStr">
        <is>
          <t>TP - Agent d'assemblage et de maintenance de batteries d'accumulateurs</t>
        </is>
      </c>
      <c r="G1657" s="49">
        <f>E1657&amp;" - "&amp;F1657</f>
        <v/>
      </c>
      <c r="H1657" s="36" t="inlineStr">
        <is>
          <t>RAS</t>
        </is>
      </c>
      <c r="I1657" s="45" t="inlineStr"/>
      <c r="J1657" s="45" t="inlineStr">
        <is>
          <t>RNCP36171</t>
        </is>
      </c>
      <c r="K1657" s="45" t="inlineStr">
        <is>
          <t>Agent d'assemblage et de maintenance de batteries d'accumulateurs</t>
        </is>
      </c>
      <c r="L1657" s="45" t="inlineStr">
        <is>
          <t>30/01/2027</t>
        </is>
      </c>
      <c r="M1657" s="45" t="inlineStr">
        <is>
          <t>24322 (Montage câblage électronique) ; 24069 (Maintenance installation électrique) ; 24016 (Montage câblage électrique)</t>
        </is>
      </c>
      <c r="N1657" s="50" t="inlineStr">
        <is>
          <t>NON</t>
        </is>
      </c>
      <c r="O1657" s="45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154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154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154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154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154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Échéance le 20/11/2026 (dans 113 j)</t>
        </is>
      </c>
      <c r="J1688" s="51" t="inlineStr">
        <is>
          <t>RNCP35825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24086 (Distribution électricité) ; 24089 (Éclairage public)</t>
        </is>
      </c>
      <c r="N1688" s="62" t="inlineStr">
        <is>
          <t>NON</t>
        </is>
      </c>
      <c r="O1688" s="51" t="inlineStr"/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Échéance le 31/08/2026 (dans 32 j)</t>
        </is>
      </c>
      <c r="J1689" s="51" t="inlineStr">
        <is>
          <t>RNCP35828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</t>
        </is>
      </c>
      <c r="N1689" s="62" t="inlineStr">
        <is>
          <t>NON</t>
        </is>
      </c>
      <c r="O1689" s="51" t="inlineStr"/>
    </row>
    <row r="1690" customFormat="1" s="3">
      <c r="A1690" s="45" t="n"/>
      <c r="B1690" s="46" t="inlineStr">
        <is>
          <t>24066</t>
        </is>
      </c>
      <c r="C1690" s="46">
        <f>LEFT(Tableau1[[#This Row],[Formacode]],3)</f>
        <v/>
      </c>
      <c r="D1690" s="47" t="n">
        <v>36171</v>
      </c>
      <c r="E1690" s="48">
        <f>"RNCP"&amp;D1690</f>
        <v/>
      </c>
      <c r="F1690" s="48" t="inlineStr">
        <is>
          <t>TP - Agent d'assemblage et de maintenance de batteries d'accumulateurs</t>
        </is>
      </c>
      <c r="G1690" s="49">
        <f>E1690&amp;" - "&amp;F1690</f>
        <v/>
      </c>
      <c r="H1690" s="36" t="inlineStr">
        <is>
          <t>RAS</t>
        </is>
      </c>
      <c r="I1690" s="45" t="inlineStr"/>
      <c r="J1690" s="45" t="inlineStr">
        <is>
          <t>RNCP36171</t>
        </is>
      </c>
      <c r="K1690" s="45" t="inlineStr">
        <is>
          <t>Agent d'assemblage et de maintenance de batteries d'accumulateurs</t>
        </is>
      </c>
      <c r="L1690" s="45" t="inlineStr">
        <is>
          <t>30/01/2027</t>
        </is>
      </c>
      <c r="M1690" s="45" t="inlineStr">
        <is>
          <t>24322 (Montage câblage électronique) ; 24069 (Maintenance installation électrique) ; 24016 (Montage câblage électrique)</t>
        </is>
      </c>
      <c r="N1690" s="50" t="inlineStr">
        <is>
          <t>NON</t>
        </is>
      </c>
      <c r="O1690" s="45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154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154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32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52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Échéance le 20/11/2026 (dans 113 j)</t>
        </is>
      </c>
      <c r="J1731" s="51" t="inlineStr">
        <is>
          <t>RNCP35825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24086 (Distribution électricité) ; 24089 (Éclairage public)</t>
        </is>
      </c>
      <c r="N1731" s="62" t="inlineStr">
        <is>
          <t>NON</t>
        </is>
      </c>
      <c r="O1731" s="51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Échéance le 31/08/2026 (dans 32 j)</t>
        </is>
      </c>
      <c r="J1734" s="51" t="inlineStr">
        <is>
          <t>RNCP35844</t>
        </is>
      </c>
      <c r="K1734" s="51" t="inlineStr">
        <is>
          <t>Maintenance et Efficacité Energétique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62" t="inlineStr">
        <is>
          <t>NON</t>
        </is>
      </c>
      <c r="O1734" s="51" t="inlineStr"/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32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32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45" t="n"/>
      <c r="B1753" s="46" t="inlineStr">
        <is>
          <t>24252</t>
        </is>
      </c>
      <c r="C1753" s="46">
        <f>LEFT(Tableau1[[#This Row],[Formacode]],3)</f>
        <v/>
      </c>
      <c r="D1753" s="47" t="n">
        <v>36163</v>
      </c>
      <c r="E1753" s="48">
        <f>"RNCP"&amp;D1753</f>
        <v/>
      </c>
      <c r="F1753" s="48" t="inlineStr">
        <is>
          <t>TP - Administrateur réseau NetOps</t>
        </is>
      </c>
      <c r="G1753" s="49">
        <f>E1753&amp;" - "&amp;F1753</f>
        <v/>
      </c>
      <c r="H1753" s="36" t="inlineStr">
        <is>
          <t>RAS</t>
        </is>
      </c>
      <c r="I1753" s="45" t="inlineStr"/>
      <c r="J1753" s="45" t="inlineStr">
        <is>
          <t>RNCP36163</t>
        </is>
      </c>
      <c r="K1753" s="45" t="inlineStr">
        <is>
          <t>Administrateur réseau NetOps</t>
        </is>
      </c>
      <c r="L1753" s="45" t="inlineStr">
        <is>
          <t>31/01/2027</t>
        </is>
      </c>
      <c r="M1753" s="45" t="inlineStr">
        <is>
          <t>24220 (Gestion réseau informatique)</t>
        </is>
      </c>
      <c r="N1753" s="50" t="inlineStr">
        <is>
          <t>NON</t>
        </is>
      </c>
      <c r="O1753" s="45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32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33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63" t="n"/>
      <c r="B1762" s="64" t="inlineStr">
        <is>
          <t>24252</t>
        </is>
      </c>
      <c r="C1762" s="64">
        <f>LEFT(Tableau1[[#This Row],[Formacode]],3)</f>
        <v/>
      </c>
      <c r="D1762" s="65" t="n">
        <v>37796</v>
      </c>
      <c r="E1762" s="66">
        <f>"RNCP"&amp;D1762</f>
        <v/>
      </c>
      <c r="F1762" s="66" t="inlineStr">
        <is>
          <t>Gestionnaire de la sécurité des données, des réseaux et des systèmes</t>
        </is>
      </c>
      <c r="G1762" s="67">
        <f>E1762&amp;" - "&amp;F1762</f>
        <v/>
      </c>
      <c r="H1762" s="38" t="inlineStr">
        <is>
          <t>Expiré / remplacé</t>
        </is>
      </c>
      <c r="I1762" s="63" t="inlineStr">
        <is>
          <t>Fiche inactive — remplacée par RNCP42345 (Expert cybersécurité)</t>
        </is>
      </c>
      <c r="J1762" s="63" t="inlineStr">
        <is>
          <t>RNCP42345</t>
        </is>
      </c>
      <c r="K1762" s="63" t="inlineStr">
        <is>
          <t>Expert cybersécurité</t>
        </is>
      </c>
      <c r="L1762" s="63" t="inlineStr">
        <is>
          <t>19/07/2026</t>
        </is>
      </c>
      <c r="M1762" s="63" t="inlineStr">
        <is>
          <t>31045 (Cybersécurité) ; 31038 (Audit informatique) ; 24231 (Réseau informatique) ; 31094 (Gestion projet informatique)</t>
        </is>
      </c>
      <c r="N1762" s="68" t="inlineStr">
        <is>
          <t>NON</t>
        </is>
      </c>
      <c r="O1762" s="63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32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32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32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32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32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32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32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45" t="n"/>
      <c r="B1788" s="46" t="inlineStr">
        <is>
          <t>24335</t>
        </is>
      </c>
      <c r="C1788" s="46">
        <f>LEFT(Tableau1[[#This Row],[Formacode]],3)</f>
        <v/>
      </c>
      <c r="D1788" s="47" t="n">
        <v>36171</v>
      </c>
      <c r="E1788" s="48">
        <f>"RNCP"&amp;D1788</f>
        <v/>
      </c>
      <c r="F1788" s="48" t="inlineStr">
        <is>
          <t>TP - Agent d'assemblage et de maintenance de batteries d'accumulateurs</t>
        </is>
      </c>
      <c r="G1788" s="49">
        <f>E1788&amp;" - "&amp;F1788</f>
        <v/>
      </c>
      <c r="H1788" s="36" t="inlineStr">
        <is>
          <t>RAS</t>
        </is>
      </c>
      <c r="I1788" s="45" t="inlineStr"/>
      <c r="J1788" s="45" t="inlineStr">
        <is>
          <t>RNCP36171</t>
        </is>
      </c>
      <c r="K1788" s="45" t="inlineStr">
        <is>
          <t>Agent d'assemblage et de maintenance de batteries d'accumulateurs</t>
        </is>
      </c>
      <c r="L1788" s="45" t="inlineStr">
        <is>
          <t>30/01/2027</t>
        </is>
      </c>
      <c r="M1788" s="45" t="inlineStr">
        <is>
          <t>24322 (Montage câblage électronique) ; 24069 (Maintenance installation électrique) ; 24016 (Montage câblage électrique)</t>
        </is>
      </c>
      <c r="N1788" s="50" t="inlineStr">
        <is>
          <t>NON</t>
        </is>
      </c>
      <c r="O1788" s="45" t="inlineStr"/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32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32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32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32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32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32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32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32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32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32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32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32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32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32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32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45" t="n"/>
      <c r="B1865" s="46" t="inlineStr">
        <is>
          <t>24425</t>
        </is>
      </c>
      <c r="C1865" s="46">
        <f>LEFT(Tableau1[[#This Row],[Formacode]],3)</f>
        <v/>
      </c>
      <c r="D1865" s="47" t="n">
        <v>36238</v>
      </c>
      <c r="E1865" s="48">
        <f>"RNCP"&amp;D1865</f>
        <v/>
      </c>
      <c r="F1865" s="48" t="inlineStr">
        <is>
          <t>TP - Fraiseur en réalisation de pièces mécaniques</t>
        </is>
      </c>
      <c r="G1865" s="49">
        <f>E1865&amp;" - "&amp;F1865</f>
        <v/>
      </c>
      <c r="H1865" s="36" t="inlineStr">
        <is>
          <t>RAS</t>
        </is>
      </c>
      <c r="I1865" s="45" t="inlineStr"/>
      <c r="J1865" s="45" t="inlineStr">
        <is>
          <t>RNCP36238</t>
        </is>
      </c>
      <c r="K1865" s="45" t="inlineStr">
        <is>
          <t>Fraiseur en réalisation de pièces mécaniques</t>
        </is>
      </c>
      <c r="L1865" s="45" t="inlineStr">
        <is>
          <t>15/02/2027</t>
        </is>
      </c>
      <c r="M1865" s="45" t="inlineStr">
        <is>
          <t>24404 (Commande numérique fraisage) ; 23067 (Fraisage)</t>
        </is>
      </c>
      <c r="N1865" s="50" t="inlineStr">
        <is>
          <t>NON</t>
        </is>
      </c>
      <c r="O1865" s="45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32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45" t="n"/>
      <c r="B1868" s="46" t="inlineStr">
        <is>
          <t>24425</t>
        </is>
      </c>
      <c r="C1868" s="46">
        <f>LEFT(Tableau1[[#This Row],[Formacode]],3)</f>
        <v/>
      </c>
      <c r="D1868" s="47" t="n">
        <v>38622</v>
      </c>
      <c r="E1868" s="48">
        <f>"RNCP"&amp;D1868</f>
        <v/>
      </c>
      <c r="F1868" s="48" t="inlineStr">
        <is>
          <t>Technicien d’usinage sur machines-outils à commande numérique (MOCN)</t>
        </is>
      </c>
      <c r="G1868" s="49">
        <f>E1868&amp;" - "&amp;F1868</f>
        <v/>
      </c>
      <c r="H1868" s="36" t="inlineStr">
        <is>
          <t>RAS</t>
        </is>
      </c>
      <c r="I1868" s="45" t="inlineStr"/>
      <c r="J1868" s="45" t="inlineStr">
        <is>
          <t>RNCP38622</t>
        </is>
      </c>
      <c r="K1868" s="45" t="inlineStr">
        <is>
          <t>Technicien d’usinage sur machines-outils à commande numérique (MOCN)</t>
        </is>
      </c>
      <c r="L1868" s="45" t="inlineStr">
        <is>
          <t>09/02/2027</t>
        </is>
      </c>
      <c r="M1868" s="45" t="inlineStr">
        <is>
          <t>23076 (Usinage) ; 24425 (MOCN)</t>
        </is>
      </c>
      <c r="N1868" s="50" t="inlineStr">
        <is>
          <t>NON</t>
        </is>
      </c>
      <c r="O1868" s="45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32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32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45" t="n"/>
      <c r="B1881" s="46" t="inlineStr">
        <is>
          <t>24431</t>
        </is>
      </c>
      <c r="C1881" s="46">
        <f>LEFT(Tableau1[[#This Row],[Formacode]],3)</f>
        <v/>
      </c>
      <c r="D1881" s="47" t="n">
        <v>36968</v>
      </c>
      <c r="E1881" s="48">
        <f>"RNCP"&amp;D1881</f>
        <v/>
      </c>
      <c r="F1881" s="48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49">
        <f>E1881&amp;" - "&amp;F1881</f>
        <v/>
      </c>
      <c r="H1881" s="36" t="inlineStr">
        <is>
          <t>RAS</t>
        </is>
      </c>
      <c r="I1881" s="45" t="inlineStr"/>
      <c r="J1881" s="45" t="inlineStr">
        <is>
          <t>RNCP36968</t>
        </is>
      </c>
      <c r="K1881" s="45" t="inlineStr">
        <is>
          <t>Maintenance des systèmes (option A : systèmes de production, option B : systèmes énergétiques et fluidiques, option C : systèmes éoliens, option D : systèmes ascenseurs et élévateurs)</t>
        </is>
      </c>
      <c r="L1881" s="45" t="inlineStr">
        <is>
          <t>31/08/2027</t>
        </is>
      </c>
      <c r="M1881" s="45" t="inlineStr">
        <is>
          <t>24431 (Maintenance système automatisé)</t>
        </is>
      </c>
      <c r="N1881" s="50" t="inlineStr">
        <is>
          <t>NON</t>
        </is>
      </c>
      <c r="O1881" s="45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45" t="n"/>
      <c r="B1883" s="46" t="inlineStr">
        <is>
          <t>24431</t>
        </is>
      </c>
      <c r="C1883" s="46">
        <f>LEFT(Tableau1[[#This Row],[Formacode]],3)</f>
        <v/>
      </c>
      <c r="D1883" s="47" t="n">
        <v>37239</v>
      </c>
      <c r="E1883" s="48">
        <f>"RNCP"&amp;D1883</f>
        <v/>
      </c>
      <c r="F1883" s="48" t="inlineStr">
        <is>
          <t>Brevet professionnel - Pilote d'installations de production par procédés</t>
        </is>
      </c>
      <c r="G1883" s="49">
        <f>E1883&amp;" - "&amp;F1883</f>
        <v/>
      </c>
      <c r="H1883" s="36" t="inlineStr">
        <is>
          <t>RAS</t>
        </is>
      </c>
      <c r="I1883" s="45" t="inlineStr"/>
      <c r="J1883" s="45" t="inlineStr">
        <is>
          <t>RNCP37239</t>
        </is>
      </c>
      <c r="K1883" s="45" t="inlineStr">
        <is>
          <t>Pilote d'installations de production par procédés</t>
        </is>
      </c>
      <c r="L1883" s="45" t="inlineStr">
        <is>
          <t>31/08/2027</t>
        </is>
      </c>
      <c r="M1883" s="45" t="inlineStr">
        <is>
          <t>31620 (Conduite installation industrielle) ; 24431 (Maintenance système automatisé) ; 24472 (Automatisation)</t>
        </is>
      </c>
      <c r="N1883" s="50" t="inlineStr">
        <is>
          <t>NON</t>
        </is>
      </c>
      <c r="O1883" s="45" t="inlineStr"/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32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32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32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32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32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32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32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45" t="n"/>
      <c r="B1903" s="46" t="inlineStr">
        <is>
          <t>24472</t>
        </is>
      </c>
      <c r="C1903" s="46">
        <f>LEFT(Tableau1[[#This Row],[Formacode]],3)</f>
        <v/>
      </c>
      <c r="D1903" s="47" t="n">
        <v>37239</v>
      </c>
      <c r="E1903" s="48">
        <f>"RNCP"&amp;D1903</f>
        <v/>
      </c>
      <c r="F1903" s="48" t="inlineStr">
        <is>
          <t>Brevet professionnel - Pilote d'installations de production par procédés</t>
        </is>
      </c>
      <c r="G1903" s="49">
        <f>E1903&amp;" - "&amp;F1903</f>
        <v/>
      </c>
      <c r="H1903" s="36" t="inlineStr">
        <is>
          <t>RAS</t>
        </is>
      </c>
      <c r="I1903" s="45" t="inlineStr"/>
      <c r="J1903" s="45" t="inlineStr">
        <is>
          <t>RNCP37239</t>
        </is>
      </c>
      <c r="K1903" s="45" t="inlineStr">
        <is>
          <t>Pilote d'installations de production par procédés</t>
        </is>
      </c>
      <c r="L1903" s="45" t="inlineStr">
        <is>
          <t>31/08/2027</t>
        </is>
      </c>
      <c r="M1903" s="45" t="inlineStr">
        <is>
          <t>31620 (Conduite installation industrielle) ; 24431 (Maintenance système automatisé) ; 24472 (Automatisation)</t>
        </is>
      </c>
      <c r="N1903" s="50" t="inlineStr">
        <is>
          <t>NON</t>
        </is>
      </c>
      <c r="O1903" s="45" t="inlineStr"/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32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32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32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32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32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32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32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32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32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32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77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32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32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32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32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32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32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32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123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32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32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32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32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32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32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32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32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32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32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32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32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32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32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32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32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32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32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32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32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32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52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52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52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52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32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63" t="n"/>
      <c r="B2070" s="64" t="inlineStr">
        <is>
          <t>31006</t>
        </is>
      </c>
      <c r="C2070" s="64">
        <f>LEFT(Tableau1[[#This Row],[Formacode]],3)</f>
        <v/>
      </c>
      <c r="D2070" s="65" t="n">
        <v>37778</v>
      </c>
      <c r="E2070" s="66">
        <f>"RNCP"&amp;D2070</f>
        <v/>
      </c>
      <c r="F2070" s="66" t="inlineStr">
        <is>
          <t>Développeur de solutions numériques sécurisées</t>
        </is>
      </c>
      <c r="G2070" s="67">
        <f>E2070&amp;" - "&amp;F2070</f>
        <v/>
      </c>
      <c r="H2070" s="38" t="inlineStr">
        <is>
          <t>Expiré / remplacé</t>
        </is>
      </c>
      <c r="I2070" s="63" t="inlineStr">
        <is>
          <t>Fiche inactive — remplacée par RNCP42620 (Développeur de solutions numériques sécurisées)</t>
        </is>
      </c>
      <c r="J2070" s="63" t="inlineStr">
        <is>
          <t>RNCP42620</t>
        </is>
      </c>
      <c r="K2070" s="63" t="inlineStr">
        <is>
          <t>Développeur de solutions numériques sécurisées</t>
        </is>
      </c>
      <c r="L2070" s="63" t="inlineStr">
        <is>
          <t>19/07/2026</t>
        </is>
      </c>
      <c r="M2070" s="63" t="inlineStr">
        <is>
          <t>31067 (Développement informatique) ; 31006 (Sécurité informatique)</t>
        </is>
      </c>
      <c r="N2070" s="68" t="inlineStr">
        <is>
          <t>NON</t>
        </is>
      </c>
      <c r="O2070" s="63" t="inlineStr"/>
    </row>
    <row r="2071" customFormat="1" s="3">
      <c r="A2071" s="63" t="n"/>
      <c r="B2071" s="64" t="inlineStr">
        <is>
          <t>31006</t>
        </is>
      </c>
      <c r="C2071" s="64">
        <f>LEFT(Tableau1[[#This Row],[Formacode]],3)</f>
        <v/>
      </c>
      <c r="D2071" s="65" t="n">
        <v>37796</v>
      </c>
      <c r="E2071" s="66">
        <f>"RNCP"&amp;D2071</f>
        <v/>
      </c>
      <c r="F2071" s="66" t="inlineStr">
        <is>
          <t>Gestionnaire de la sécurité des données, des réseaux et des systèmes</t>
        </is>
      </c>
      <c r="G2071" s="67">
        <f>E2071&amp;" - "&amp;F2071</f>
        <v/>
      </c>
      <c r="H2071" s="38" t="inlineStr">
        <is>
          <t>Expiré / remplacé</t>
        </is>
      </c>
      <c r="I2071" s="63" t="inlineStr">
        <is>
          <t>Fiche inactive — remplacée par RNCP42345 (Expert cybersécurité)</t>
        </is>
      </c>
      <c r="J2071" s="63" t="inlineStr">
        <is>
          <t>RNCP42345</t>
        </is>
      </c>
      <c r="K2071" s="63" t="inlineStr">
        <is>
          <t>Expert cybersécurité</t>
        </is>
      </c>
      <c r="L2071" s="63" t="inlineStr">
        <is>
          <t>19/07/2026</t>
        </is>
      </c>
      <c r="M2071" s="63" t="inlineStr">
        <is>
          <t>31045 (Cybersécurité) ; 31038 (Audit informatique) ; 24231 (Réseau informatique) ; 31094 (Gestion projet informatique)</t>
        </is>
      </c>
      <c r="N2071" s="68" t="inlineStr">
        <is>
          <t>NON</t>
        </is>
      </c>
      <c r="O2071" s="63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52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52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52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144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45" t="n"/>
      <c r="B2079" s="46" t="inlineStr">
        <is>
          <t>31006</t>
        </is>
      </c>
      <c r="C2079" s="46">
        <f>LEFT(Tableau1[[#This Row],[Formacode]],3)</f>
        <v/>
      </c>
      <c r="D2079" s="47" t="n">
        <v>38585</v>
      </c>
      <c r="E2079" s="48">
        <f>"RNCP"&amp;D2079</f>
        <v/>
      </c>
      <c r="F2079" s="48" t="inlineStr">
        <is>
          <t>Délégué à la protection des données (MS)</t>
        </is>
      </c>
      <c r="G2079" s="49">
        <f>E2079&amp;" - "&amp;F2079</f>
        <v/>
      </c>
      <c r="H2079" s="36" t="inlineStr">
        <is>
          <t>RAS</t>
        </is>
      </c>
      <c r="I2079" s="45" t="inlineStr"/>
      <c r="J2079" s="45" t="inlineStr">
        <is>
          <t>RNCP38585</t>
        </is>
      </c>
      <c r="K2079" s="45" t="inlineStr">
        <is>
          <t>Délégué à la protection des données (MS)</t>
        </is>
      </c>
      <c r="L2079" s="45" t="inlineStr">
        <is>
          <t>09/02/2027</t>
        </is>
      </c>
      <c r="M2079" s="45" t="inlineStr">
        <is>
          <t>13238 (Règlement général protection données) ; 31006 (Sécurité informatique)</t>
        </is>
      </c>
      <c r="N2079" s="50" t="inlineStr">
        <is>
          <t>NON</t>
        </is>
      </c>
      <c r="O2079" s="45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123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33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63" t="n"/>
      <c r="B2106" s="64" t="inlineStr">
        <is>
          <t>31008</t>
        </is>
      </c>
      <c r="C2106" s="64">
        <f>LEFT(Tableau1[[#This Row],[Formacode]],3)</f>
        <v/>
      </c>
      <c r="D2106" s="65" t="n">
        <v>37785</v>
      </c>
      <c r="E2106" s="66">
        <f>"RNCP"&amp;D2106</f>
        <v/>
      </c>
      <c r="F2106" s="66" t="inlineStr">
        <is>
          <t>Expert en numérisation des systèmes et processus de production industriels</t>
        </is>
      </c>
      <c r="G2106" s="67">
        <f>E2106&amp;" - "&amp;F2106</f>
        <v/>
      </c>
      <c r="H2106" s="38" t="inlineStr">
        <is>
          <t>Expiré / remplacé</t>
        </is>
      </c>
      <c r="I2106" s="63" t="inlineStr">
        <is>
          <t>Fiche inactive (échéance 19/07/2026) — aucun successeur publié</t>
        </is>
      </c>
      <c r="J2106" s="63" t="inlineStr">
        <is>
          <t>RNCP37785</t>
        </is>
      </c>
      <c r="K2106" s="63" t="inlineStr">
        <is>
          <t>Expert en numérisation des systèmes et processus de production industriels</t>
        </is>
      </c>
      <c r="L2106" s="63" t="inlineStr">
        <is>
          <t>19/07/2026</t>
        </is>
      </c>
      <c r="M2106" s="63" t="inlineStr">
        <is>
          <t>31085 (Informatisation des processus) ; 31049 (Qualité informatique) ; 31008 (Système information)</t>
        </is>
      </c>
      <c r="N2106" s="68" t="inlineStr">
        <is>
          <t>NON</t>
        </is>
      </c>
      <c r="O2106" s="63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52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52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45" t="n"/>
      <c r="B2113" s="46" t="inlineStr">
        <is>
          <t>31008</t>
        </is>
      </c>
      <c r="C2113" s="46">
        <f>LEFT(Tableau1[[#This Row],[Formacode]],3)</f>
        <v/>
      </c>
      <c r="D2113" s="47" t="n">
        <v>38599</v>
      </c>
      <c r="E2113" s="48">
        <f>"RNCP"&amp;D2113</f>
        <v/>
      </c>
      <c r="F2113" s="48" t="inlineStr">
        <is>
          <t>Manager de programmes et projets SI</t>
        </is>
      </c>
      <c r="G2113" s="49">
        <f>E2113&amp;" - "&amp;F2113</f>
        <v/>
      </c>
      <c r="H2113" s="36" t="inlineStr">
        <is>
          <t>RAS</t>
        </is>
      </c>
      <c r="I2113" s="45" t="inlineStr"/>
      <c r="J2113" s="45" t="inlineStr">
        <is>
          <t>RNCP38599</t>
        </is>
      </c>
      <c r="K2113" s="45" t="inlineStr">
        <is>
          <t>Manager de programmes et projets SI</t>
        </is>
      </c>
      <c r="L2113" s="45" t="inlineStr">
        <is>
          <t>09/02/2027</t>
        </is>
      </c>
      <c r="M2113" s="45" t="inlineStr">
        <is>
          <t>31094 (Gestion projet informatique) ; 31095 (Schéma directeur informatique) ; 31008 (Système information)</t>
        </is>
      </c>
      <c r="N2113" s="50" t="inlineStr">
        <is>
          <t>NON</t>
        </is>
      </c>
      <c r="O2113" s="45" t="inlineStr"/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52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— remplacée par RNCP42655 (Data engineer)</t>
        </is>
      </c>
      <c r="J2148" s="63" t="inlineStr">
        <is>
          <t>RNCP42655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52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— remplacée par RNCP42655 (Data engineer)</t>
        </is>
      </c>
      <c r="J2165" s="63" t="inlineStr">
        <is>
          <t>RNCP42655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123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52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123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52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52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63" t="n"/>
      <c r="B2220" s="64" t="inlineStr">
        <is>
          <t>31038</t>
        </is>
      </c>
      <c r="C2220" s="64">
        <f>LEFT(Tableau1[[#This Row],[Formacode]],3)</f>
        <v/>
      </c>
      <c r="D2220" s="65" t="n">
        <v>37796</v>
      </c>
      <c r="E2220" s="66">
        <f>"RNCP"&amp;D2220</f>
        <v/>
      </c>
      <c r="F2220" s="66" t="inlineStr">
        <is>
          <t>Gestionnaire de la sécurité des données, des réseaux et des systèmes</t>
        </is>
      </c>
      <c r="G2220" s="67">
        <f>E2220&amp;" - "&amp;F2220</f>
        <v/>
      </c>
      <c r="H2220" s="38" t="inlineStr">
        <is>
          <t>Expiré / remplacé</t>
        </is>
      </c>
      <c r="I2220" s="63" t="inlineStr">
        <is>
          <t>Fiche inactive — remplacée par RNCP42345 (Expert cybersécurité)</t>
        </is>
      </c>
      <c r="J2220" s="63" t="inlineStr">
        <is>
          <t>RNCP42345</t>
        </is>
      </c>
      <c r="K2220" s="63" t="inlineStr">
        <is>
          <t>Expert cybersécurité</t>
        </is>
      </c>
      <c r="L2220" s="63" t="inlineStr">
        <is>
          <t>19/07/2026</t>
        </is>
      </c>
      <c r="M2220" s="63" t="inlineStr">
        <is>
          <t>31045 (Cybersécurité) ; 31038 (Audit informatique) ; 24231 (Réseau informatique) ; 31094 (Gestion projet informatique)</t>
        </is>
      </c>
      <c r="N2220" s="68" t="inlineStr">
        <is>
          <t>NON</t>
        </is>
      </c>
      <c r="O2220" s="63" t="inlineStr"/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52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63" t="n"/>
      <c r="B2231" s="64" t="inlineStr">
        <is>
          <t>31049</t>
        </is>
      </c>
      <c r="C2231" s="64">
        <f>LEFT(Tableau1[[#This Row],[Formacode]],3)</f>
        <v/>
      </c>
      <c r="D2231" s="65" t="n">
        <v>37785</v>
      </c>
      <c r="E2231" s="66">
        <f>"RNCP"&amp;D2231</f>
        <v/>
      </c>
      <c r="F2231" s="66" t="inlineStr">
        <is>
          <t>Expert en numérisation des systèmes et processus de production industriels</t>
        </is>
      </c>
      <c r="G2231" s="67">
        <f>E2231&amp;" - "&amp;F2231</f>
        <v/>
      </c>
      <c r="H2231" s="38" t="inlineStr">
        <is>
          <t>Expiré / remplacé</t>
        </is>
      </c>
      <c r="I2231" s="63" t="inlineStr">
        <is>
          <t>Fiche inactive (échéance 19/07/2026) — aucun successeur publié</t>
        </is>
      </c>
      <c r="J2231" s="63" t="inlineStr">
        <is>
          <t>RNCP37785</t>
        </is>
      </c>
      <c r="K2231" s="63" t="inlineStr">
        <is>
          <t>Expert en numérisation des systèmes et processus de production industriels</t>
        </is>
      </c>
      <c r="L2231" s="63" t="inlineStr">
        <is>
          <t>19/07/2026</t>
        </is>
      </c>
      <c r="M2231" s="63" t="inlineStr">
        <is>
          <t>31085 (Informatisation des processus) ; 31049 (Qualité informatique) ; 31008 (Système information)</t>
        </is>
      </c>
      <c r="N2231" s="68" t="inlineStr">
        <is>
          <t>NON</t>
        </is>
      </c>
      <c r="O2231" s="63" t="inlineStr"/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52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52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52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52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52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Successeur déjà publié : RNCP42641 (Développeur full stack) — préparer la bascule de l'offre CPF | Échéance le 20/09/2026 (dans 52 j)</t>
        </is>
      </c>
      <c r="J2261" s="51" t="inlineStr">
        <is>
          <t>RNCP42641</t>
        </is>
      </c>
      <c r="K2261" s="51" t="inlineStr">
        <is>
          <t>Développeur full stack</t>
        </is>
      </c>
      <c r="L2261" s="51" t="inlineStr">
        <is>
          <t>20/09/2026</t>
        </is>
      </c>
      <c r="M2261" s="51" t="inlineStr">
        <is>
          <t>31067 (Développement informatique) ; 31057 (Génie logiciel)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52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68" t="inlineStr">
        <is>
          <t>NON</t>
        </is>
      </c>
      <c r="O2283" s="63" t="inlineStr"/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77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63" t="n"/>
      <c r="B2289" s="64" t="inlineStr">
        <is>
          <t>31067</t>
        </is>
      </c>
      <c r="C2289" s="64">
        <f>LEFT(Tableau1[[#This Row],[Formacode]],3)</f>
        <v/>
      </c>
      <c r="D2289" s="65" t="n">
        <v>37778</v>
      </c>
      <c r="E2289" s="66">
        <f>"RNCP"&amp;D2289</f>
        <v/>
      </c>
      <c r="F2289" s="66" t="inlineStr">
        <is>
          <t>Développeur de solutions numériques sécurisées</t>
        </is>
      </c>
      <c r="G2289" s="67">
        <f>E2289&amp;" - "&amp;F2289</f>
        <v/>
      </c>
      <c r="H2289" s="38" t="inlineStr">
        <is>
          <t>Expiré / remplacé</t>
        </is>
      </c>
      <c r="I2289" s="63" t="inlineStr">
        <is>
          <t>Fiche inactive — remplacée par RNCP42620 (Développeur de solutions numériques sécurisées)</t>
        </is>
      </c>
      <c r="J2289" s="63" t="inlineStr">
        <is>
          <t>RNCP42620</t>
        </is>
      </c>
      <c r="K2289" s="63" t="inlineStr">
        <is>
          <t>Développeur de solutions numériques sécurisées</t>
        </is>
      </c>
      <c r="L2289" s="63" t="inlineStr">
        <is>
          <t>19/07/2026</t>
        </is>
      </c>
      <c r="M2289" s="63" t="inlineStr">
        <is>
          <t>31067 (Développement informatique) ; 31006 (Sécurité informatique)</t>
        </is>
      </c>
      <c r="N2289" s="68" t="inlineStr">
        <is>
          <t>NON</t>
        </is>
      </c>
      <c r="O2289" s="63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52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52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Successeur déjà publié : RNCP42641 (Développeur full stack) — préparer la bascule de l'offre CPF | Échéance le 20/09/2026 (dans 52 j)</t>
        </is>
      </c>
      <c r="J2293" s="51" t="inlineStr">
        <is>
          <t>RNCP42641</t>
        </is>
      </c>
      <c r="K2293" s="51" t="inlineStr">
        <is>
          <t>Développeur full stack</t>
        </is>
      </c>
      <c r="L2293" s="51" t="inlineStr">
        <is>
          <t>20/09/2026</t>
        </is>
      </c>
      <c r="M2293" s="51" t="inlineStr">
        <is>
          <t>31067 (Développement informatique) ; 31057 (Génie logiciel)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80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52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52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52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63" t="n"/>
      <c r="B2352" s="64" t="inlineStr">
        <is>
          <t>31085</t>
        </is>
      </c>
      <c r="C2352" s="64">
        <f>LEFT(Tableau1[[#This Row],[Formacode]],3)</f>
        <v/>
      </c>
      <c r="D2352" s="65" t="n">
        <v>37785</v>
      </c>
      <c r="E2352" s="66">
        <f>"RNCP"&amp;D2352</f>
        <v/>
      </c>
      <c r="F2352" s="66" t="inlineStr">
        <is>
          <t>Expert en numérisation des systèmes et processus de production industriels</t>
        </is>
      </c>
      <c r="G2352" s="67">
        <f>E2352&amp;" - "&amp;F2352</f>
        <v/>
      </c>
      <c r="H2352" s="38" t="inlineStr">
        <is>
          <t>Expiré / remplacé</t>
        </is>
      </c>
      <c r="I2352" s="63" t="inlineStr">
        <is>
          <t>Fiche inactive (échéance 19/07/2026) — aucun successeur publié</t>
        </is>
      </c>
      <c r="J2352" s="63" t="inlineStr">
        <is>
          <t>RNCP37785</t>
        </is>
      </c>
      <c r="K2352" s="63" t="inlineStr">
        <is>
          <t>Expert en numérisation des systèmes et processus de production industriels</t>
        </is>
      </c>
      <c r="L2352" s="63" t="inlineStr">
        <is>
          <t>19/07/2026</t>
        </is>
      </c>
      <c r="M2352" s="63" t="inlineStr">
        <is>
          <t>31085 (Informatisation des processus) ; 31049 (Qualité informatique) ; 31008 (Système information)</t>
        </is>
      </c>
      <c r="N2352" s="68" t="inlineStr">
        <is>
          <t>NON</t>
        </is>
      </c>
      <c r="O2352" s="63" t="inlineStr"/>
    </row>
    <row r="2353" customFormat="1" s="3">
      <c r="A2353" s="63" t="n"/>
      <c r="B2353" s="64" t="inlineStr">
        <is>
          <t>31085</t>
        </is>
      </c>
      <c r="C2353" s="64">
        <f>LEFT(Tableau1[[#This Row],[Formacode]],3)</f>
        <v/>
      </c>
      <c r="D2353" s="65" t="n">
        <v>37796</v>
      </c>
      <c r="E2353" s="66">
        <f>"RNCP"&amp;D2353</f>
        <v/>
      </c>
      <c r="F2353" s="66" t="inlineStr">
        <is>
          <t>Gestionnaire de la sécurité des données, des réseaux et des systèmes</t>
        </is>
      </c>
      <c r="G2353" s="67">
        <f>E2353&amp;" - "&amp;F2353</f>
        <v/>
      </c>
      <c r="H2353" s="38" t="inlineStr">
        <is>
          <t>Expiré / remplacé</t>
        </is>
      </c>
      <c r="I2353" s="63" t="inlineStr">
        <is>
          <t>Fiche inactive — remplacée par RNCP42345 (Expert cybersécurité)</t>
        </is>
      </c>
      <c r="J2353" s="63" t="inlineStr">
        <is>
          <t>RNCP42345</t>
        </is>
      </c>
      <c r="K2353" s="63" t="inlineStr">
        <is>
          <t>Expert cybersécurité</t>
        </is>
      </c>
      <c r="L2353" s="63" t="inlineStr">
        <is>
          <t>19/07/2026</t>
        </is>
      </c>
      <c r="M2353" s="63" t="inlineStr">
        <is>
          <t>31045 (Cybersécurité) ; 31038 (Audit informatique) ; 24231 (Réseau informatique) ; 31094 (Gestion projet informatique)</t>
        </is>
      </c>
      <c r="N2353" s="68" t="inlineStr">
        <is>
          <t>NON</t>
        </is>
      </c>
      <c r="O2353" s="63" t="inlineStr"/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52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45" t="n"/>
      <c r="B2357" s="46" t="inlineStr">
        <is>
          <t>31085</t>
        </is>
      </c>
      <c r="C2357" s="46">
        <f>LEFT(Tableau1[[#This Row],[Formacode]],3)</f>
        <v/>
      </c>
      <c r="D2357" s="47" t="n">
        <v>38599</v>
      </c>
      <c r="E2357" s="48">
        <f>"RNCP"&amp;D2357</f>
        <v/>
      </c>
      <c r="F2357" s="48" t="inlineStr">
        <is>
          <t>Manager de programmes et projets SI</t>
        </is>
      </c>
      <c r="G2357" s="49">
        <f>E2357&amp;" - "&amp;F2357</f>
        <v/>
      </c>
      <c r="H2357" s="36" t="inlineStr">
        <is>
          <t>RAS</t>
        </is>
      </c>
      <c r="I2357" s="45" t="inlineStr"/>
      <c r="J2357" s="45" t="inlineStr">
        <is>
          <t>RNCP38599</t>
        </is>
      </c>
      <c r="K2357" s="45" t="inlineStr">
        <is>
          <t>Manager de programmes et projets SI</t>
        </is>
      </c>
      <c r="L2357" s="45" t="inlineStr">
        <is>
          <t>09/02/2027</t>
        </is>
      </c>
      <c r="M2357" s="45" t="inlineStr">
        <is>
          <t>31094 (Gestion projet informatique) ; 31095 (Schéma directeur informatique) ; 31008 (Système information)</t>
        </is>
      </c>
      <c r="N2357" s="50" t="inlineStr">
        <is>
          <t>NON</t>
        </is>
      </c>
      <c r="O2357" s="45" t="inlineStr"/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— remplacée par RNCP42655 (Data engineer)</t>
        </is>
      </c>
      <c r="J2360" s="63" t="inlineStr">
        <is>
          <t>RNCP42655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47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32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45" t="n"/>
      <c r="B2470" s="46" t="inlineStr">
        <is>
          <t>31624</t>
        </is>
      </c>
      <c r="C2470" s="46">
        <f>LEFT(Tableau1[[#This Row],[Formacode]],3)</f>
        <v/>
      </c>
      <c r="D2470" s="47" t="n">
        <v>36247</v>
      </c>
      <c r="E2470" s="48">
        <f>"RNCP"&amp;D2470</f>
        <v/>
      </c>
      <c r="F2470" s="48" t="inlineStr">
        <is>
          <t>TP - Technicien supérieur de maintenance industrielle</t>
        </is>
      </c>
      <c r="G2470" s="49">
        <f>E2470&amp;" - "&amp;F2470</f>
        <v/>
      </c>
      <c r="H2470" s="36" t="inlineStr">
        <is>
          <t>RAS</t>
        </is>
      </c>
      <c r="I2470" s="45" t="inlineStr"/>
      <c r="J2470" s="45" t="inlineStr">
        <is>
          <t>RNCP36247</t>
        </is>
      </c>
      <c r="K2470" s="45" t="inlineStr">
        <is>
          <t>Technicien supérieur de maintenance industrielle</t>
        </is>
      </c>
      <c r="L2470" s="45" t="inlineStr">
        <is>
          <t>15/02/2027</t>
        </is>
      </c>
      <c r="M2470" s="45" t="inlineStr">
        <is>
          <t>31624 (Maintenance industrielle)</t>
        </is>
      </c>
      <c r="N2470" s="50" t="inlineStr">
        <is>
          <t>NON</t>
        </is>
      </c>
      <c r="O2470" s="45" t="inlineStr"/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144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32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138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45" t="n"/>
      <c r="B2500" s="46" t="inlineStr">
        <is>
          <t>31652</t>
        </is>
      </c>
      <c r="C2500" s="46">
        <f>LEFT(Tableau1[[#This Row],[Formacode]],3)</f>
        <v/>
      </c>
      <c r="D2500" s="47" t="n">
        <v>36168</v>
      </c>
      <c r="E2500" s="48">
        <f>"RNCP"&amp;D2500</f>
        <v/>
      </c>
      <c r="F2500" s="48" t="inlineStr">
        <is>
          <t>TP - Technicien supérieur en fabrication additive</t>
        </is>
      </c>
      <c r="G2500" s="49">
        <f>E2500&amp;" - "&amp;F2500</f>
        <v/>
      </c>
      <c r="H2500" s="36" t="inlineStr">
        <is>
          <t>RAS</t>
        </is>
      </c>
      <c r="I2500" s="45" t="inlineStr"/>
      <c r="J2500" s="45" t="inlineStr">
        <is>
          <t>RNCP36168</t>
        </is>
      </c>
      <c r="K2500" s="45" t="inlineStr">
        <is>
          <t>Technicien supérieur en fabrication additive</t>
        </is>
      </c>
      <c r="L2500" s="45" t="inlineStr">
        <is>
          <t>01/02/2027</t>
        </is>
      </c>
      <c r="M2500" s="45" t="inlineStr">
        <is>
          <t>31634 (Fabrication additive)</t>
        </is>
      </c>
      <c r="N2500" s="50" t="inlineStr">
        <is>
          <t>NON</t>
        </is>
      </c>
      <c r="O2500" s="45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45" t="n"/>
      <c r="B2504" s="46" t="inlineStr">
        <is>
          <t>31652</t>
        </is>
      </c>
      <c r="C2504" s="46">
        <f>LEFT(Tableau1[[#This Row],[Formacode]],3)</f>
        <v/>
      </c>
      <c r="D2504" s="47" t="n">
        <v>37239</v>
      </c>
      <c r="E2504" s="48">
        <f>"RNCP"&amp;D2504</f>
        <v/>
      </c>
      <c r="F2504" s="48" t="inlineStr">
        <is>
          <t>Brevet professionnel - Pilote d'installations de production par procédés</t>
        </is>
      </c>
      <c r="G2504" s="49">
        <f>E2504&amp;" - "&amp;F2504</f>
        <v/>
      </c>
      <c r="H2504" s="36" t="inlineStr">
        <is>
          <t>RAS</t>
        </is>
      </c>
      <c r="I2504" s="45" t="inlineStr"/>
      <c r="J2504" s="45" t="inlineStr">
        <is>
          <t>RNCP37239</t>
        </is>
      </c>
      <c r="K2504" s="45" t="inlineStr">
        <is>
          <t>Pilote d'installations de production par procédés</t>
        </is>
      </c>
      <c r="L2504" s="45" t="inlineStr">
        <is>
          <t>31/08/2027</t>
        </is>
      </c>
      <c r="M2504" s="45" t="inlineStr">
        <is>
          <t>31620 (Conduite installation industrielle) ; 24431 (Maintenance système automatisé) ; 24472 (Automatisation)</t>
        </is>
      </c>
      <c r="N2504" s="50" t="inlineStr">
        <is>
          <t>NON</t>
        </is>
      </c>
      <c r="O2504" s="45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32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144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45" t="n"/>
      <c r="B2517" s="46" t="inlineStr">
        <is>
          <t>31652</t>
        </is>
      </c>
      <c r="C2517" s="46">
        <f>LEFT(Tableau1[[#This Row],[Formacode]],3)</f>
        <v/>
      </c>
      <c r="D2517" s="47" t="n">
        <v>38619</v>
      </c>
      <c r="E2517" s="48">
        <f>"RNCP"&amp;D2517</f>
        <v/>
      </c>
      <c r="F2517" s="48" t="inlineStr">
        <is>
          <t>CQP Conducteur référent de machine à papier</t>
        </is>
      </c>
      <c r="G2517" s="49">
        <f>E2517&amp;" - "&amp;F2517</f>
        <v/>
      </c>
      <c r="H2517" s="36" t="inlineStr">
        <is>
          <t>RAS</t>
        </is>
      </c>
      <c r="I2517" s="45" t="inlineStr"/>
      <c r="J2517" s="45" t="inlineStr">
        <is>
          <t>RNCP38619</t>
        </is>
      </c>
      <c r="K2517" s="45" t="inlineStr">
        <is>
          <t>CQP Conducteur référent de machine à papier</t>
        </is>
      </c>
      <c r="L2517" s="45" t="inlineStr">
        <is>
          <t>09/02/2027</t>
        </is>
      </c>
      <c r="M2517" s="45" t="inlineStr">
        <is>
          <t>31620 (Conduite installation industrielle) ; 22884 (Papier carton)</t>
        </is>
      </c>
      <c r="N2517" s="50" t="inlineStr">
        <is>
          <t>NON</t>
        </is>
      </c>
      <c r="O2517" s="45" t="inlineStr"/>
    </row>
    <row r="2518" customFormat="1" s="3">
      <c r="A2518" s="45" t="n"/>
      <c r="B2518" s="46" t="inlineStr">
        <is>
          <t>31652</t>
        </is>
      </c>
      <c r="C2518" s="46">
        <f>LEFT(Tableau1[[#This Row],[Formacode]],3)</f>
        <v/>
      </c>
      <c r="D2518" s="47" t="n">
        <v>38621</v>
      </c>
      <c r="E2518" s="48">
        <f>"RNCP"&amp;D2518</f>
        <v/>
      </c>
      <c r="F2518" s="48" t="inlineStr">
        <is>
          <t>CQP Conducteur en transformation</t>
        </is>
      </c>
      <c r="G2518" s="49">
        <f>E2518&amp;" - "&amp;F2518</f>
        <v/>
      </c>
      <c r="H2518" s="36" t="inlineStr">
        <is>
          <t>RAS</t>
        </is>
      </c>
      <c r="I2518" s="45" t="inlineStr"/>
      <c r="J2518" s="45" t="inlineStr">
        <is>
          <t>RNCP38621</t>
        </is>
      </c>
      <c r="K2518" s="45" t="inlineStr">
        <is>
          <t>CQP Conducteur en transformation</t>
        </is>
      </c>
      <c r="L2518" s="45" t="inlineStr">
        <is>
          <t>09/02/2027</t>
        </is>
      </c>
      <c r="M2518" s="45" t="inlineStr">
        <is>
          <t>31620 (Conduite installation industrielle) ; 22884 (Papier carton)</t>
        </is>
      </c>
      <c r="N2518" s="50" t="inlineStr">
        <is>
          <t>NON</t>
        </is>
      </c>
      <c r="O2518" s="45" t="inlineStr"/>
    </row>
    <row r="2519" customFormat="1" s="3">
      <c r="A2519" s="45" t="n"/>
      <c r="B2519" s="46" t="inlineStr">
        <is>
          <t>31652</t>
        </is>
      </c>
      <c r="C2519" s="46">
        <f>LEFT(Tableau1[[#This Row],[Formacode]],3)</f>
        <v/>
      </c>
      <c r="D2519" s="47" t="n">
        <v>38626</v>
      </c>
      <c r="E2519" s="48">
        <f>"RNCP"&amp;D2519</f>
        <v/>
      </c>
      <c r="F2519" s="48" t="inlineStr">
        <is>
          <t>CQP Aide-conducteur de machine à papier</t>
        </is>
      </c>
      <c r="G2519" s="49">
        <f>E2519&amp;" - "&amp;F2519</f>
        <v/>
      </c>
      <c r="H2519" s="36" t="inlineStr">
        <is>
          <t>RAS</t>
        </is>
      </c>
      <c r="I2519" s="45" t="inlineStr"/>
      <c r="J2519" s="45" t="inlineStr">
        <is>
          <t>RNCP38626</t>
        </is>
      </c>
      <c r="K2519" s="45" t="inlineStr">
        <is>
          <t>CQP Aide-conducteur de machine à papier</t>
        </is>
      </c>
      <c r="L2519" s="45" t="inlineStr">
        <is>
          <t>09/02/2027</t>
        </is>
      </c>
      <c r="M2519" s="45" t="inlineStr">
        <is>
          <t>31620 (Conduite installation industrielle) ; 22884 (Papier carton)</t>
        </is>
      </c>
      <c r="N2519" s="50" t="inlineStr">
        <is>
          <t>NON</t>
        </is>
      </c>
      <c r="O2519" s="45" t="inlineStr"/>
    </row>
    <row r="2520" customFormat="1" s="3">
      <c r="A2520" s="45" t="n"/>
      <c r="B2520" s="46" t="inlineStr">
        <is>
          <t>31652</t>
        </is>
      </c>
      <c r="C2520" s="46">
        <f>LEFT(Tableau1[[#This Row],[Formacode]],3)</f>
        <v/>
      </c>
      <c r="D2520" s="47" t="n">
        <v>38627</v>
      </c>
      <c r="E2520" s="48">
        <f>"RNCP"&amp;D2520</f>
        <v/>
      </c>
      <c r="F2520" s="48" t="inlineStr">
        <is>
          <t>CQP Aide-conducteur en transformation</t>
        </is>
      </c>
      <c r="G2520" s="49">
        <f>E2520&amp;" - "&amp;F2520</f>
        <v/>
      </c>
      <c r="H2520" s="36" t="inlineStr">
        <is>
          <t>RAS</t>
        </is>
      </c>
      <c r="I2520" s="45" t="inlineStr"/>
      <c r="J2520" s="45" t="inlineStr">
        <is>
          <t>RNCP38627</t>
        </is>
      </c>
      <c r="K2520" s="45" t="inlineStr">
        <is>
          <t>CQP Aide-conducteur en transformation</t>
        </is>
      </c>
      <c r="L2520" s="45" t="inlineStr">
        <is>
          <t>09/02/2027</t>
        </is>
      </c>
      <c r="M2520" s="45" t="inlineStr">
        <is>
          <t>31620 (Conduite installation industrielle) ; 22884 (Papier carton)</t>
        </is>
      </c>
      <c r="N2520" s="50" t="inlineStr">
        <is>
          <t>NON</t>
        </is>
      </c>
      <c r="O2520" s="45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154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141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144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logistique) ; RNCP42586 (Opérateur logistique) — préparer la bascule de l'offre CPF | Échéance le 31/08/2026 (dans 32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32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74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Échéance le 15/09/2026 (dans 47 j)</t>
        </is>
      </c>
      <c r="J2590" s="51" t="inlineStr">
        <is>
          <t>RNCP35826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31708 (Grue)</t>
        </is>
      </c>
      <c r="N2590" s="62" t="inlineStr">
        <is>
          <t>NON</t>
        </is>
      </c>
      <c r="O2590" s="51" t="inlineStr"/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Échéance le 12/10/2026 (dans 74 j)</t>
        </is>
      </c>
      <c r="J2591" s="51" t="inlineStr">
        <is>
          <t>RNCP35827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31717 (Engin chantier) ; 22002 (Terrassement)</t>
        </is>
      </c>
      <c r="N2591" s="62" t="inlineStr">
        <is>
          <t>NON</t>
        </is>
      </c>
      <c r="O2591" s="51" t="inlineStr"/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77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logistique) ; RNCP42586 (Opérateur logistique) — préparer la bascule de l'offre CPF | Échéance le 31/08/2026 (dans 32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154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32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32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32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32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32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32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32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32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32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logistique) ; RNCP42586 (Opérateur logistique) — préparer la bascule de l'offre CPF | Échéance le 31/08/2026 (dans 32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32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32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32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32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32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63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32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32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32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32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32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63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32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32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32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33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32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32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734" s="51" t="inlineStr">
        <is>
          <t>RNCP42709</t>
        </is>
      </c>
      <c r="K2734" s="51" t="inlineStr">
        <is>
          <t>Diplôme en management international de l'hôtellerie, de la restauration et des vins et boissons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62" t="inlineStr">
        <is>
          <t>NON</t>
        </is>
      </c>
      <c r="O2734" s="51" t="inlineStr"/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(Diplôme en management international des arts culinaires) — préparer la bascule de l'offre CPF | Échéance le 31/08/2026 (dans 32 j)</t>
        </is>
      </c>
      <c r="J2735" s="51" t="inlineStr">
        <is>
          <t>RNCP42267</t>
        </is>
      </c>
      <c r="K2735" s="51" t="inlineStr">
        <is>
          <t>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32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745" s="51" t="inlineStr">
        <is>
          <t>RNCP42709</t>
        </is>
      </c>
      <c r="K2745" s="51" t="inlineStr">
        <is>
          <t>Diplôme en management international de l'hôtellerie, de la restauration et des vins et boissons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62" t="inlineStr">
        <is>
          <t>NON</t>
        </is>
      </c>
      <c r="O2745" s="51" t="inlineStr"/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(Diplôme en management international des arts culinaires) — préparer la bascule de l'offre CPF | Échéance le 31/08/2026 (dans 32 j)</t>
        </is>
      </c>
      <c r="J2746" s="51" t="inlineStr">
        <is>
          <t>RNCP42267</t>
        </is>
      </c>
      <c r="K2746" s="51" t="inlineStr">
        <is>
          <t>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32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47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761" s="51" t="inlineStr">
        <is>
          <t>RNCP42709</t>
        </is>
      </c>
      <c r="K2761" s="51" t="inlineStr">
        <is>
          <t>Diplôme en management international de l'hôtellerie, de la restauration et des vins et boissons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62" t="inlineStr">
        <is>
          <t>NON</t>
        </is>
      </c>
      <c r="O2761" s="51" t="inlineStr"/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(Diplôme en management international des arts culinaires) — préparer la bascule de l'offre CPF | Échéance le 31/08/2026 (dans 32 j)</t>
        </is>
      </c>
      <c r="J2762" s="51" t="inlineStr">
        <is>
          <t>RNCP42267</t>
        </is>
      </c>
      <c r="K2762" s="51" t="inlineStr">
        <is>
          <t>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32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Successeur déjà publié : RNCP42673 (Diplôme supérieur en management) — préparer la bascule de l'offre CPF | Échéance le 31/08/2026 (dans 32 j)</t>
        </is>
      </c>
      <c r="J2767" s="51" t="inlineStr">
        <is>
          <t>RNCP42673</t>
        </is>
      </c>
      <c r="K2767" s="51" t="inlineStr">
        <is>
          <t>Diplôme supérieur en management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62" t="inlineStr">
        <is>
          <t>NON</t>
        </is>
      </c>
      <c r="O2767" s="51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781" s="51" t="inlineStr">
        <is>
          <t>RNCP42709</t>
        </is>
      </c>
      <c r="K2781" s="51" t="inlineStr">
        <is>
          <t>Diplôme en management international de l'hôtellerie, de la restauration et des vins et boissons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62" t="inlineStr">
        <is>
          <t>NON</t>
        </is>
      </c>
      <c r="O2781" s="51" t="inlineStr"/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(Diplôme en management international des arts culinaires) — préparer la bascule de l'offre CPF | Échéance le 31/08/2026 (dans 32 j)</t>
        </is>
      </c>
      <c r="J2782" s="51" t="inlineStr">
        <is>
          <t>RNCP42267</t>
        </is>
      </c>
      <c r="K2782" s="51" t="inlineStr">
        <is>
          <t>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32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796" s="51" t="inlineStr">
        <is>
          <t>RNCP42709</t>
        </is>
      </c>
      <c r="K2796" s="51" t="inlineStr">
        <is>
          <t>Diplôme en management international de l'hôtellerie, de la restauration et des vins et boissons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62" t="inlineStr">
        <is>
          <t>NON</t>
        </is>
      </c>
      <c r="O2796" s="51" t="inlineStr"/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(Diplôme en management international des arts culinaires) — préparer la bascule de l'offre CPF | Échéance le 31/08/2026 (dans 32 j)</t>
        </is>
      </c>
      <c r="J2797" s="51" t="inlineStr">
        <is>
          <t>RNCP42267</t>
        </is>
      </c>
      <c r="K2797" s="51" t="inlineStr">
        <is>
          <t>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32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809" s="51" t="inlineStr">
        <is>
          <t>RNCP42709</t>
        </is>
      </c>
      <c r="K2809" s="51" t="inlineStr">
        <is>
          <t>Diplôme en management international de l'hôtellerie, de la restauration et des vins et boissons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62" t="inlineStr">
        <is>
          <t>NON</t>
        </is>
      </c>
      <c r="O2809" s="51" t="inlineStr"/>
    </row>
    <row r="2810" customFormat="1" s="4">
      <c r="A2810" s="63" t="n"/>
      <c r="B2810" s="64" t="inlineStr">
        <is>
          <t>32024</t>
        </is>
      </c>
      <c r="C2810" s="64">
        <f>LEFT(Tableau1[[#This Row],[Formacode]],3)</f>
        <v/>
      </c>
      <c r="D2810" s="65" t="n">
        <v>37865</v>
      </c>
      <c r="E2810" s="66">
        <f>"RNCP"&amp;D2810</f>
        <v/>
      </c>
      <c r="F2810" s="66" t="inlineStr">
        <is>
          <t>Responsable en gestion d'activité opérationnelle</t>
        </is>
      </c>
      <c r="G2810" s="67">
        <f>E2810&amp;" - "&amp;F2810</f>
        <v/>
      </c>
      <c r="H2810" s="38" t="inlineStr">
        <is>
          <t>Expiré / remplacé</t>
        </is>
      </c>
      <c r="I2810" s="63" t="inlineStr">
        <is>
          <t>Fiche inactive — remplacée par RNCP42510 (Responsable en gestion d'activité)</t>
        </is>
      </c>
      <c r="J2810" s="63" t="inlineStr">
        <is>
          <t>RNCP42510</t>
        </is>
      </c>
      <c r="K2810" s="63" t="inlineStr">
        <is>
          <t>Responsable en gestion d'activité</t>
        </is>
      </c>
      <c r="L2810" s="63" t="inlineStr">
        <is>
          <t>19/07/2026</t>
        </is>
      </c>
      <c r="M2810" s="63" t="inlineStr">
        <is>
          <t>32054 (Gestion des organisations) ; 32654 (Gestion financière comptabilité)</t>
        </is>
      </c>
      <c r="N2810" s="68" t="inlineStr">
        <is>
          <t>NON</t>
        </is>
      </c>
      <c r="O2810" s="63" t="inlineStr"/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(Diplôme en management international des arts culinaires) — préparer la bascule de l'offre CPF | Échéance le 31/08/2026 (dans 32 j)</t>
        </is>
      </c>
      <c r="J2811" s="51" t="inlineStr">
        <is>
          <t>RNCP42267</t>
        </is>
      </c>
      <c r="K2811" s="51" t="inlineStr">
        <is>
          <t>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32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833" s="51" t="inlineStr">
        <is>
          <t>RNCP42709</t>
        </is>
      </c>
      <c r="K2833" s="51" t="inlineStr">
        <is>
          <t>Diplôme en management international de l'hôtellerie, de la restauration et des vins et boissons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62" t="inlineStr">
        <is>
          <t>NON</t>
        </is>
      </c>
      <c r="O2833" s="51" t="inlineStr"/>
    </row>
    <row r="2834" customFormat="1" s="4">
      <c r="A2834" s="63" t="n"/>
      <c r="B2834" s="64" t="inlineStr">
        <is>
          <t>32025</t>
        </is>
      </c>
      <c r="C2834" s="64">
        <f>LEFT(Tableau1[[#This Row],[Formacode]],3)</f>
        <v/>
      </c>
      <c r="D2834" s="65" t="n">
        <v>37824</v>
      </c>
      <c r="E2834" s="66">
        <f>"RNCP"&amp;D2834</f>
        <v/>
      </c>
      <c r="F2834" s="66" t="inlineStr">
        <is>
          <t>Expert-conseil en stratégie des filières agricoles et agroalimentaires</t>
        </is>
      </c>
      <c r="G2834" s="67">
        <f>E2834&amp;" - "&amp;F2834</f>
        <v/>
      </c>
      <c r="H2834" s="38" t="inlineStr">
        <is>
          <t>Expiré / remplacé</t>
        </is>
      </c>
      <c r="I2834" s="63" t="inlineStr">
        <is>
          <t>Fiche inactive — remplacée par RNCP42476 (Expert-conseil en stratégie des filières agricoles et agroalimentaires)</t>
        </is>
      </c>
      <c r="J2834" s="63" t="inlineStr">
        <is>
          <t>RNCP42476</t>
        </is>
      </c>
      <c r="K2834" s="63" t="inlineStr">
        <is>
          <t>Expert-conseil en stratégie des filières agricoles et agroalimentaires</t>
        </is>
      </c>
      <c r="L2834" s="63" t="inlineStr">
        <is>
          <t>19/07/2026</t>
        </is>
      </c>
      <c r="M2834" s="63" t="inlineStr">
        <is>
          <t>13158 (Économie agricole) ; 21052 (Gestion exploitation agricole) ; 21084 (Commercialisation agricole) ; 21554 (Agroalimentaire)</t>
        </is>
      </c>
      <c r="N2834" s="68" t="inlineStr">
        <is>
          <t>NON</t>
        </is>
      </c>
      <c r="O2834" s="63" t="inlineStr"/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(Diplôme en management international des arts culinaires) — préparer la bascule de l'offre CPF | Échéance le 31/08/2026 (dans 32 j)</t>
        </is>
      </c>
      <c r="J2835" s="51" t="inlineStr">
        <is>
          <t>RNCP42267</t>
        </is>
      </c>
      <c r="K2835" s="51" t="inlineStr">
        <is>
          <t>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32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Successeur déjà publié : RNCP42673 (Diplôme supérieur en management) — préparer la bascule de l'offre CPF | Échéance le 31/08/2026 (dans 32 j)</t>
        </is>
      </c>
      <c r="J2841" s="51" t="inlineStr">
        <is>
          <t>RNCP42673</t>
        </is>
      </c>
      <c r="K2841" s="51" t="inlineStr">
        <is>
          <t>Diplôme supérieur en management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62" t="inlineStr">
        <is>
          <t>NON</t>
        </is>
      </c>
      <c r="O2841" s="51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865" s="51" t="inlineStr">
        <is>
          <t>RNCP42709</t>
        </is>
      </c>
      <c r="K2865" s="51" t="inlineStr">
        <is>
          <t>Diplôme en management international de l'hôtellerie, de la restauration et des vins et boissons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62" t="inlineStr">
        <is>
          <t>NON</t>
        </is>
      </c>
      <c r="O2865" s="51" t="inlineStr"/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(Diplôme en management international des arts culinaires) — préparer la bascule de l'offre CPF | Échéance le 31/08/2026 (dans 32 j)</t>
        </is>
      </c>
      <c r="J2866" s="51" t="inlineStr">
        <is>
          <t>RNCP42267</t>
        </is>
      </c>
      <c r="K2866" s="51" t="inlineStr">
        <is>
          <t>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32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875" s="51" t="inlineStr">
        <is>
          <t>RNCP42709</t>
        </is>
      </c>
      <c r="K2875" s="51" t="inlineStr">
        <is>
          <t>Diplôme en management international de l'hôtellerie, de la restauration et des vins et boissons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62" t="inlineStr">
        <is>
          <t>NON</t>
        </is>
      </c>
      <c r="O2875" s="51" t="inlineStr"/>
    </row>
    <row r="2876" customFormat="1" s="4">
      <c r="A2876" s="63" t="n"/>
      <c r="B2876" s="64" t="inlineStr">
        <is>
          <t>32043</t>
        </is>
      </c>
      <c r="C2876" s="64">
        <f>LEFT(Tableau1[[#This Row],[Formacode]],3)</f>
        <v/>
      </c>
      <c r="D2876" s="65" t="n">
        <v>37824</v>
      </c>
      <c r="E2876" s="66">
        <f>"RNCP"&amp;D2876</f>
        <v/>
      </c>
      <c r="F2876" s="66" t="inlineStr">
        <is>
          <t>Expert-conseil en stratégie des filières agricoles et agroalimentaires</t>
        </is>
      </c>
      <c r="G2876" s="67">
        <f>E2876&amp;" - "&amp;F2876</f>
        <v/>
      </c>
      <c r="H2876" s="38" t="inlineStr">
        <is>
          <t>Expiré / remplacé</t>
        </is>
      </c>
      <c r="I2876" s="63" t="inlineStr">
        <is>
          <t>Fiche inactive — remplacée par RNCP42476 (Expert-conseil en stratégie des filières agricoles et agroalimentaires)</t>
        </is>
      </c>
      <c r="J2876" s="63" t="inlineStr">
        <is>
          <t>RNCP42476</t>
        </is>
      </c>
      <c r="K2876" s="63" t="inlineStr">
        <is>
          <t>Expert-conseil en stratégie des filières agricoles et agroalimentaires</t>
        </is>
      </c>
      <c r="L2876" s="63" t="inlineStr">
        <is>
          <t>19/07/2026</t>
        </is>
      </c>
      <c r="M2876" s="63" t="inlineStr">
        <is>
          <t>13158 (Économie agricole) ; 21052 (Gestion exploitation agricole) ; 21084 (Commercialisation agricole) ; 21554 (Agroalimentaire)</t>
        </is>
      </c>
      <c r="N2876" s="68" t="inlineStr">
        <is>
          <t>NON</t>
        </is>
      </c>
      <c r="O2876" s="63" t="inlineStr"/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(Diplôme en management international des arts culinaires) — préparer la bascule de l'offre CPF | Échéance le 31/08/2026 (dans 32 j)</t>
        </is>
      </c>
      <c r="J2877" s="51" t="inlineStr">
        <is>
          <t>RNCP42267</t>
        </is>
      </c>
      <c r="K2877" s="51" t="inlineStr">
        <is>
          <t>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32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45" t="n"/>
      <c r="B2880" s="46" t="inlineStr">
        <is>
          <t>32043</t>
        </is>
      </c>
      <c r="C2880" s="46">
        <f>LEFT(Tableau1[[#This Row],[Formacode]],3)</f>
        <v/>
      </c>
      <c r="D2880" s="47" t="n">
        <v>38609</v>
      </c>
      <c r="E2880" s="48">
        <f>"RNCP"&amp;D2880</f>
        <v/>
      </c>
      <c r="F2880" s="48" t="inlineStr">
        <is>
          <t>Conseiller en droit rural et économie agricole</t>
        </is>
      </c>
      <c r="G2880" s="49">
        <f>E2880&amp;" - "&amp;F2880</f>
        <v/>
      </c>
      <c r="H2880" s="36" t="inlineStr">
        <is>
          <t>RAS</t>
        </is>
      </c>
      <c r="I2880" s="45" t="inlineStr"/>
      <c r="J2880" s="45" t="inlineStr">
        <is>
          <t>RNCP38609</t>
        </is>
      </c>
      <c r="K2880" s="45" t="inlineStr">
        <is>
          <t>Conseiller en droit rural et économie agricole</t>
        </is>
      </c>
      <c r="L2880" s="45" t="inlineStr">
        <is>
          <t>09/02/2027</t>
        </is>
      </c>
      <c r="M2880" s="45" t="inlineStr">
        <is>
          <t>13158 (Économie agricole) ; 21081 (Droit rural) ; 21060 (Installation agriculteur) ; 32043 (Conseil entreprise)</t>
        </is>
      </c>
      <c r="N2880" s="50" t="inlineStr">
        <is>
          <t>NON</t>
        </is>
      </c>
      <c r="O2880" s="45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93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890" s="51" t="inlineStr">
        <is>
          <t>RNCP42709</t>
        </is>
      </c>
      <c r="K2890" s="51" t="inlineStr">
        <is>
          <t>Diplôme en management international de l'hôtellerie, de la restauration et des vins et boissons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62" t="inlineStr">
        <is>
          <t>NON</t>
        </is>
      </c>
      <c r="O2890" s="51" t="inlineStr"/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(Diplôme en management international des arts culinaires) — préparer la bascule de l'offre CPF | Échéance le 31/08/2026 (dans 32 j)</t>
        </is>
      </c>
      <c r="J2891" s="51" t="inlineStr">
        <is>
          <t>RNCP42267</t>
        </is>
      </c>
      <c r="K2891" s="51" t="inlineStr">
        <is>
          <t>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32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Successeur déjà publié : RNCP42673 (Diplôme supérieur en management) — préparer la bascule de l'offre CPF | Échéance le 31/08/2026 (dans 32 j)</t>
        </is>
      </c>
      <c r="J2895" s="51" t="inlineStr">
        <is>
          <t>RNCP42673</t>
        </is>
      </c>
      <c r="K2895" s="51" t="inlineStr">
        <is>
          <t>Diplôme supérieur en management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62" t="inlineStr">
        <is>
          <t>NON</t>
        </is>
      </c>
      <c r="O2895" s="51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905" s="51" t="inlineStr">
        <is>
          <t>RNCP42709</t>
        </is>
      </c>
      <c r="K2905" s="51" t="inlineStr">
        <is>
          <t>Diplôme en management international de l'hôtellerie, de la restauration et des vins et boissons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62" t="inlineStr">
        <is>
          <t>NON</t>
        </is>
      </c>
      <c r="O2905" s="51" t="inlineStr"/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(Diplôme en management international des arts culinaires) — préparer la bascule de l'offre CPF | Échéance le 31/08/2026 (dans 32 j)</t>
        </is>
      </c>
      <c r="J2906" s="51" t="inlineStr">
        <is>
          <t>RNCP42267</t>
        </is>
      </c>
      <c r="K2906" s="51" t="inlineStr">
        <is>
          <t>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32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916" s="51" t="inlineStr">
        <is>
          <t>RNCP42709</t>
        </is>
      </c>
      <c r="K2916" s="51" t="inlineStr">
        <is>
          <t>Diplôme en management international de l'hôtellerie, de la restauration et des vins et boissons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62" t="inlineStr">
        <is>
          <t>NON</t>
        </is>
      </c>
      <c r="O2916" s="51" t="inlineStr"/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(Diplôme en management international des arts culinaires) — préparer la bascule de l'offre CPF | Échéance le 31/08/2026 (dans 32 j)</t>
        </is>
      </c>
      <c r="J2917" s="51" t="inlineStr">
        <is>
          <t>RNCP42267</t>
        </is>
      </c>
      <c r="K2917" s="51" t="inlineStr">
        <is>
          <t>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32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936" s="51" t="inlineStr">
        <is>
          <t>RNCP42709</t>
        </is>
      </c>
      <c r="K2936" s="51" t="inlineStr">
        <is>
          <t>Diplôme en management international de l'hôtellerie, de la restauration et des vins et boissons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62" t="inlineStr">
        <is>
          <t>NON</t>
        </is>
      </c>
      <c r="O2936" s="51" t="inlineStr"/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(Diplôme en management international des arts culinaires) — préparer la bascule de l'offre CPF | Échéance le 31/08/2026 (dans 32 j)</t>
        </is>
      </c>
      <c r="J2937" s="51" t="inlineStr">
        <is>
          <t>RNCP42267</t>
        </is>
      </c>
      <c r="K2937" s="51" t="inlineStr">
        <is>
          <t>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32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948" s="51" t="inlineStr">
        <is>
          <t>RNCP42709</t>
        </is>
      </c>
      <c r="K2948" s="51" t="inlineStr">
        <is>
          <t>Diplôme en management international de l'hôtellerie, de la restauration et des vins et boissons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62" t="inlineStr">
        <is>
          <t>NON</t>
        </is>
      </c>
      <c r="O2948" s="51" t="inlineStr"/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(Diplôme en management international des arts culinaires) — préparer la bascule de l'offre CPF | Échéance le 31/08/2026 (dans 32 j)</t>
        </is>
      </c>
      <c r="J2949" s="51" t="inlineStr">
        <is>
          <t>RNCP42267</t>
        </is>
      </c>
      <c r="K2949" s="51" t="inlineStr">
        <is>
          <t>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32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960" s="51" t="inlineStr">
        <is>
          <t>RNCP42709</t>
        </is>
      </c>
      <c r="K2960" s="51" t="inlineStr">
        <is>
          <t>Diplôme en management international de l'hôtellerie, de la restauration et des vins et boissons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62" t="inlineStr">
        <is>
          <t>NON</t>
        </is>
      </c>
      <c r="O2960" s="51" t="inlineStr"/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(Diplôme en management international des arts culinaires) — préparer la bascule de l'offre CPF | Échéance le 31/08/2026 (dans 32 j)</t>
        </is>
      </c>
      <c r="J2961" s="51" t="inlineStr">
        <is>
          <t>RNCP42267</t>
        </is>
      </c>
      <c r="K2961" s="51" t="inlineStr">
        <is>
          <t>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32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970" s="51" t="inlineStr">
        <is>
          <t>RNCP42709</t>
        </is>
      </c>
      <c r="K2970" s="51" t="inlineStr">
        <is>
          <t>Diplôme en management international de l'hôtellerie, de la restauration et des vins et boissons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62" t="inlineStr">
        <is>
          <t>NON</t>
        </is>
      </c>
      <c r="O2970" s="51" t="inlineStr"/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(Diplôme en management international des arts culinaires) — préparer la bascule de l'offre CPF | Échéance le 31/08/2026 (dans 32 j)</t>
        </is>
      </c>
      <c r="J2971" s="51" t="inlineStr">
        <is>
          <t>RNCP42267</t>
        </is>
      </c>
      <c r="K2971" s="51" t="inlineStr">
        <is>
          <t>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32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982" s="51" t="inlineStr">
        <is>
          <t>RNCP42709</t>
        </is>
      </c>
      <c r="K2982" s="51" t="inlineStr">
        <is>
          <t>Diplôme en management international de l'hôtellerie, de la restauration et des vins et boissons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62" t="inlineStr">
        <is>
          <t>NON</t>
        </is>
      </c>
      <c r="O2982" s="51" t="inlineStr"/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(Diplôme en management international des arts culinaires) — préparer la bascule de l'offre CPF | Échéance le 31/08/2026 (dans 32 j)</t>
        </is>
      </c>
      <c r="J2983" s="51" t="inlineStr">
        <is>
          <t>RNCP42267</t>
        </is>
      </c>
      <c r="K2983" s="51" t="inlineStr">
        <is>
          <t>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32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63" t="n"/>
      <c r="B2988" s="64" t="inlineStr">
        <is>
          <t>32079</t>
        </is>
      </c>
      <c r="C2988" s="64">
        <f>LEFT(Tableau1[[#This Row],[Formacode]],3)</f>
        <v/>
      </c>
      <c r="D2988" s="65" t="n">
        <v>39395</v>
      </c>
      <c r="E2988" s="66">
        <f>"RNCP"&amp;D2988</f>
        <v/>
      </c>
      <c r="F2988" s="66" t="inlineStr">
        <is>
          <t>Responsable d'agence et de commerce</t>
        </is>
      </c>
      <c r="G2988" s="67">
        <f>E2988&amp;" - "&amp;F2988</f>
        <v/>
      </c>
      <c r="H2988" s="38" t="inlineStr">
        <is>
          <t>Expiré / remplacé</t>
        </is>
      </c>
      <c r="I2988" s="63" t="inlineStr">
        <is>
          <t>Fiche inactive — remplacée par RNCP42475 (Responsable d'agence et de commerce)</t>
        </is>
      </c>
      <c r="J2988" s="63" t="inlineStr">
        <is>
          <t>RNCP42475</t>
        </is>
      </c>
      <c r="K2988" s="63" t="inlineStr">
        <is>
          <t>Responsable d'agence et de commerce</t>
        </is>
      </c>
      <c r="L2988" s="63" t="inlineStr">
        <is>
          <t>19/07/2026</t>
        </is>
      </c>
      <c r="M2988" s="63" t="inlineStr">
        <is>
          <t>34554 (Commerce) ; 32154 (Encadrement management) ; 32079 (Gestion performance)</t>
        </is>
      </c>
      <c r="N2988" s="68" t="inlineStr">
        <is>
          <t>NON</t>
        </is>
      </c>
      <c r="O2988" s="63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93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2999" s="51" t="inlineStr">
        <is>
          <t>RNCP42709</t>
        </is>
      </c>
      <c r="K2999" s="51" t="inlineStr">
        <is>
          <t>Diplôme en management international de l'hôtellerie, de la restauration et des vins et boissons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62" t="inlineStr">
        <is>
          <t>NON</t>
        </is>
      </c>
      <c r="O2999" s="51" t="inlineStr"/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(Diplôme en management international des arts culinaires) — préparer la bascule de l'offre CPF | Échéance le 31/08/2026 (dans 32 j)</t>
        </is>
      </c>
      <c r="J3000" s="51" t="inlineStr">
        <is>
          <t>RNCP42267</t>
        </is>
      </c>
      <c r="K3000" s="51" t="inlineStr">
        <is>
          <t>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32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3009" s="51" t="inlineStr">
        <is>
          <t>RNCP42709</t>
        </is>
      </c>
      <c r="K3009" s="51" t="inlineStr">
        <is>
          <t>Diplôme en management international de l'hôtellerie, de la restauration et des vins et boissons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62" t="inlineStr">
        <is>
          <t>NON</t>
        </is>
      </c>
      <c r="O3009" s="51" t="inlineStr"/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(Diplôme en management international des arts culinaires) — préparer la bascule de l'offre CPF | Échéance le 31/08/2026 (dans 32 j)</t>
        </is>
      </c>
      <c r="J3010" s="51" t="inlineStr">
        <is>
          <t>RNCP42267</t>
        </is>
      </c>
      <c r="K3010" s="51" t="inlineStr">
        <is>
          <t>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32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3019" s="51" t="inlineStr">
        <is>
          <t>RNCP42709</t>
        </is>
      </c>
      <c r="K3019" s="51" t="inlineStr">
        <is>
          <t>Diplôme en management international de l'hôtellerie, de la restauration et des vins et boissons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62" t="inlineStr">
        <is>
          <t>NON</t>
        </is>
      </c>
      <c r="O3019" s="51" t="inlineStr"/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(Diplôme en management international des arts culinaires) — préparer la bascule de l'offre CPF | Échéance le 31/08/2026 (dans 32 j)</t>
        </is>
      </c>
      <c r="J3020" s="51" t="inlineStr">
        <is>
          <t>RNCP42267</t>
        </is>
      </c>
      <c r="K3020" s="51" t="inlineStr">
        <is>
          <t>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32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3029" s="51" t="inlineStr">
        <is>
          <t>RNCP42709</t>
        </is>
      </c>
      <c r="K3029" s="51" t="inlineStr">
        <is>
          <t>Diplôme en management international de l'hôtellerie, de la restauration et des vins et boissons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62" t="inlineStr">
        <is>
          <t>NON</t>
        </is>
      </c>
      <c r="O3029" s="51" t="inlineStr"/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(Diplôme en management international des arts culinaires) — préparer la bascule de l'offre CPF | Échéance le 31/08/2026 (dans 32 j)</t>
        </is>
      </c>
      <c r="J3030" s="51" t="inlineStr">
        <is>
          <t>RNCP42267</t>
        </is>
      </c>
      <c r="K3030" s="51" t="inlineStr">
        <is>
          <t>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32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3040" s="51" t="inlineStr">
        <is>
          <t>RNCP42709</t>
        </is>
      </c>
      <c r="K3040" s="51" t="inlineStr">
        <is>
          <t>Diplôme en management international de l'hôtellerie, de la restauration et des vins et boissons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62" t="inlineStr">
        <is>
          <t>NON</t>
        </is>
      </c>
      <c r="O3040" s="51" t="inlineStr"/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(Diplôme en management international des arts culinaires) — préparer la bascule de l'offre CPF | Échéance le 31/08/2026 (dans 32 j)</t>
        </is>
      </c>
      <c r="J3041" s="51" t="inlineStr">
        <is>
          <t>RNCP42267</t>
        </is>
      </c>
      <c r="K3041" s="51" t="inlineStr">
        <is>
          <t>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32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63" t="n"/>
      <c r="B3047" s="64" t="inlineStr">
        <is>
          <t>32094</t>
        </is>
      </c>
      <c r="C3047" s="64">
        <f>LEFT(Tableau1[[#This Row],[Formacode]],3)</f>
        <v/>
      </c>
      <c r="D3047" s="65" t="n">
        <v>39395</v>
      </c>
      <c r="E3047" s="66">
        <f>"RNCP"&amp;D3047</f>
        <v/>
      </c>
      <c r="F3047" s="66" t="inlineStr">
        <is>
          <t>Responsable d'agence et de commerce</t>
        </is>
      </c>
      <c r="G3047" s="67">
        <f>E3047&amp;" - "&amp;F3047</f>
        <v/>
      </c>
      <c r="H3047" s="38" t="inlineStr">
        <is>
          <t>Expiré / remplacé</t>
        </is>
      </c>
      <c r="I3047" s="63" t="inlineStr">
        <is>
          <t>Fiche inactive — remplacée par RNCP42475 (Responsable d'agence et de commerce)</t>
        </is>
      </c>
      <c r="J3047" s="63" t="inlineStr">
        <is>
          <t>RNCP42475</t>
        </is>
      </c>
      <c r="K3047" s="63" t="inlineStr">
        <is>
          <t>Responsable d'agence et de commerce</t>
        </is>
      </c>
      <c r="L3047" s="63" t="inlineStr">
        <is>
          <t>19/07/2026</t>
        </is>
      </c>
      <c r="M3047" s="63" t="inlineStr">
        <is>
          <t>34554 (Commerce) ; 32154 (Encadrement management) ; 32079 (Gestion performance)</t>
        </is>
      </c>
      <c r="N3047" s="68" t="inlineStr">
        <is>
          <t>NON</t>
        </is>
      </c>
      <c r="O3047" s="63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3056" s="51" t="inlineStr">
        <is>
          <t>RNCP42709</t>
        </is>
      </c>
      <c r="K3056" s="51" t="inlineStr">
        <is>
          <t>Diplôme en management international de l'hôtellerie, de la restauration et des vins et boissons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62" t="inlineStr">
        <is>
          <t>NON</t>
        </is>
      </c>
      <c r="O3056" s="51" t="inlineStr"/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(Diplôme en management international des arts culinaires) — préparer la bascule de l'offre CPF | Échéance le 31/08/2026 (dans 32 j)</t>
        </is>
      </c>
      <c r="J3057" s="51" t="inlineStr">
        <is>
          <t>RNCP42267</t>
        </is>
      </c>
      <c r="K3057" s="51" t="inlineStr">
        <is>
          <t>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32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3066" s="51" t="inlineStr">
        <is>
          <t>RNCP42709</t>
        </is>
      </c>
      <c r="K3066" s="51" t="inlineStr">
        <is>
          <t>Diplôme en management international de l'hôtellerie, de la restauration et des vins et boissons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62" t="inlineStr">
        <is>
          <t>NON</t>
        </is>
      </c>
      <c r="O3066" s="51" t="inlineStr"/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(Diplôme en management international des arts culinaires) — préparer la bascule de l'offre CPF | Échéance le 31/08/2026 (dans 32 j)</t>
        </is>
      </c>
      <c r="J3067" s="51" t="inlineStr">
        <is>
          <t>RNCP42267</t>
        </is>
      </c>
      <c r="K3067" s="51" t="inlineStr">
        <is>
          <t>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32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3076" s="51" t="inlineStr">
        <is>
          <t>RNCP42709</t>
        </is>
      </c>
      <c r="K3076" s="51" t="inlineStr">
        <is>
          <t>Diplôme en management international de l'hôtellerie, de la restauration et des vins et boissons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62" t="inlineStr">
        <is>
          <t>NON</t>
        </is>
      </c>
      <c r="O3076" s="51" t="inlineStr"/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(Diplôme en management international des arts culinaires) — préparer la bascule de l'offre CPF | Échéance le 31/08/2026 (dans 32 j)</t>
        </is>
      </c>
      <c r="J3077" s="51" t="inlineStr">
        <is>
          <t>RNCP42267</t>
        </is>
      </c>
      <c r="K3077" s="51" t="inlineStr">
        <is>
          <t>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32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3087" s="51" t="inlineStr">
        <is>
          <t>RNCP42709</t>
        </is>
      </c>
      <c r="K3087" s="51" t="inlineStr">
        <is>
          <t>Diplôme en management international de l'hôtellerie, de la restauration et des vins et boissons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62" t="inlineStr">
        <is>
          <t>NON</t>
        </is>
      </c>
      <c r="O3087" s="51" t="inlineStr"/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(Diplôme en management international des arts culinaires) — préparer la bascule de l'offre CPF | Échéance le 31/08/2026 (dans 32 j)</t>
        </is>
      </c>
      <c r="J3088" s="51" t="inlineStr">
        <is>
          <t>RNCP42267</t>
        </is>
      </c>
      <c r="K3088" s="51" t="inlineStr">
        <is>
          <t>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32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93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Successeur déjà publié : RNCP42673 (Diplôme supérieur en management) — préparer la bascule de l'offre CPF | Échéance le 31/08/2026 (dans 32 j)</t>
        </is>
      </c>
      <c r="J3108" s="51" t="inlineStr">
        <is>
          <t>RNCP42673</t>
        </is>
      </c>
      <c r="K3108" s="51" t="inlineStr">
        <is>
          <t>Diplôme supérieur en management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62" t="inlineStr">
        <is>
          <t>NON</t>
        </is>
      </c>
      <c r="O3108" s="51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93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Successeur déjà publié : RNCP42673 (Diplôme supérieur en management) — préparer la bascule de l'offre CPF | Échéance le 31/08/2026 (dans 32 j)</t>
        </is>
      </c>
      <c r="J3133" s="51" t="inlineStr">
        <is>
          <t>RNCP42673</t>
        </is>
      </c>
      <c r="K3133" s="51" t="inlineStr">
        <is>
          <t>Diplôme supérieur en management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62" t="inlineStr">
        <is>
          <t>NON</t>
        </is>
      </c>
      <c r="O3133" s="51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93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Successeur déjà publié : RNCP42673 (Diplôme supérieur en management) — préparer la bascule de l'offre CPF | Échéance le 31/08/2026 (dans 32 j)</t>
        </is>
      </c>
      <c r="J3158" s="51" t="inlineStr">
        <is>
          <t>RNCP42673</t>
        </is>
      </c>
      <c r="K3158" s="51" t="inlineStr">
        <is>
          <t>Diplôme supérieur en management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62" t="inlineStr">
        <is>
          <t>NON</t>
        </is>
      </c>
      <c r="O3158" s="51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93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Successeur déjà publié : RNCP42673 (Diplôme supérieur en management) — préparer la bascule de l'offre CPF | Échéance le 31/08/2026 (dans 32 j)</t>
        </is>
      </c>
      <c r="J3183" s="51" t="inlineStr">
        <is>
          <t>RNCP42673</t>
        </is>
      </c>
      <c r="K3183" s="51" t="inlineStr">
        <is>
          <t>Diplôme supérieur en management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62" t="inlineStr">
        <is>
          <t>NON</t>
        </is>
      </c>
      <c r="O3183" s="51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93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Successeur déjà publié : RNCP42673 (Diplôme supérieur en management) — préparer la bascule de l'offre CPF | Échéance le 31/08/2026 (dans 32 j)</t>
        </is>
      </c>
      <c r="J3208" s="51" t="inlineStr">
        <is>
          <t>RNCP42673</t>
        </is>
      </c>
      <c r="K3208" s="51" t="inlineStr">
        <is>
          <t>Diplôme supérieur en management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62" t="inlineStr">
        <is>
          <t>NON</t>
        </is>
      </c>
      <c r="O3208" s="51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93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Successeur déjà publié : RNCP42673 (Diplôme supérieur en management) — préparer la bascule de l'offre CPF | Échéance le 31/08/2026 (dans 32 j)</t>
        </is>
      </c>
      <c r="J3235" s="51" t="inlineStr">
        <is>
          <t>RNCP42673</t>
        </is>
      </c>
      <c r="K3235" s="51" t="inlineStr">
        <is>
          <t>Diplôme supérieur en management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62" t="inlineStr">
        <is>
          <t>NON</t>
        </is>
      </c>
      <c r="O3235" s="51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93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Successeur déjà publié : RNCP42673 (Diplôme supérieur en management) — préparer la bascule de l'offre CPF | Échéance le 31/08/2026 (dans 32 j)</t>
        </is>
      </c>
      <c r="J3261" s="51" t="inlineStr">
        <is>
          <t>RNCP42673</t>
        </is>
      </c>
      <c r="K3261" s="51" t="inlineStr">
        <is>
          <t>Diplôme supérieur en management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62" t="inlineStr">
        <is>
          <t>NON</t>
        </is>
      </c>
      <c r="O3261" s="51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93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144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Successeur déjà publié : RNCP42673 (Diplôme supérieur en management) — préparer la bascule de l'offre CPF | Échéance le 31/08/2026 (dans 32 j)</t>
        </is>
      </c>
      <c r="J3288" s="51" t="inlineStr">
        <is>
          <t>RNCP42673</t>
        </is>
      </c>
      <c r="K3288" s="51" t="inlineStr">
        <is>
          <t>Diplôme supérieur en management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62" t="inlineStr">
        <is>
          <t>NON</t>
        </is>
      </c>
      <c r="O3288" s="51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93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Successeur déjà publié : RNCP42673 (Diplôme supérieur en management) — préparer la bascule de l'offre CPF | Échéance le 31/08/2026 (dans 32 j)</t>
        </is>
      </c>
      <c r="J3314" s="51" t="inlineStr">
        <is>
          <t>RNCP42673</t>
        </is>
      </c>
      <c r="K3314" s="51" t="inlineStr">
        <is>
          <t>Diplôme supérieur en management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62" t="inlineStr">
        <is>
          <t>NON</t>
        </is>
      </c>
      <c r="O3314" s="51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93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63" t="n"/>
      <c r="B3335" s="64" t="inlineStr">
        <is>
          <t>32135</t>
        </is>
      </c>
      <c r="C3335" s="64">
        <f>LEFT(Tableau1[[#This Row],[Formacode]],3)</f>
        <v/>
      </c>
      <c r="D3335" s="65" t="n">
        <v>37842</v>
      </c>
      <c r="E3335" s="66">
        <f>"RNCP"&amp;D3335</f>
        <v/>
      </c>
      <c r="F3335" s="66" t="inlineStr">
        <is>
          <t>Chef de projet design d'espace et produit</t>
        </is>
      </c>
      <c r="G3335" s="67">
        <f>E3335&amp;" - "&amp;F3335</f>
        <v/>
      </c>
      <c r="H3335" s="38" t="inlineStr">
        <is>
          <t>Expiré / remplacé</t>
        </is>
      </c>
      <c r="I3335" s="63" t="inlineStr">
        <is>
          <t>Fiche inactive — remplacée par RNCP42478 (Designer en aménagement intérieur et scénographie)</t>
        </is>
      </c>
      <c r="J3335" s="63" t="inlineStr">
        <is>
          <t>RNCP42478</t>
        </is>
      </c>
      <c r="K3335" s="63" t="inlineStr">
        <is>
          <t>Designer en aménagement intérieur et scénographie</t>
        </is>
      </c>
      <c r="L3335" s="63" t="inlineStr">
        <is>
          <t>19/07/2026</t>
        </is>
      </c>
      <c r="M3335" s="63" t="inlineStr">
        <is>
          <t>45015 (Architecture intérieure) ; 34597 (Marchandisage)</t>
        </is>
      </c>
      <c r="N3335" s="68" t="inlineStr">
        <is>
          <t>NON</t>
        </is>
      </c>
      <c r="O3335" s="63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Successeur déjà publié : RNCP42673 (Diplôme supérieur en management) — préparer la bascule de l'offre CPF | Échéance le 31/08/2026 (dans 32 j)</t>
        </is>
      </c>
      <c r="J3343" s="51" t="inlineStr">
        <is>
          <t>RNCP42673</t>
        </is>
      </c>
      <c r="K3343" s="51" t="inlineStr">
        <is>
          <t>Diplôme supérieur en management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62" t="inlineStr">
        <is>
          <t>NON</t>
        </is>
      </c>
      <c r="O3343" s="51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93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Successeur déjà publié : RNCP42673 (Diplôme supérieur en management) — préparer la bascule de l'offre CPF | Échéance le 31/08/2026 (dans 32 j)</t>
        </is>
      </c>
      <c r="J3382" s="51" t="inlineStr">
        <is>
          <t>RNCP42673</t>
        </is>
      </c>
      <c r="K3382" s="51" t="inlineStr">
        <is>
          <t>Diplôme supérieur en management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62" t="inlineStr">
        <is>
          <t>NON</t>
        </is>
      </c>
      <c r="O3382" s="51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93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Successeur déjà publié : RNCP42673 (Diplôme supérieur en management) — préparer la bascule de l'offre CPF | Échéance le 31/08/2026 (dans 32 j)</t>
        </is>
      </c>
      <c r="J3408" s="51" t="inlineStr">
        <is>
          <t>RNCP42673</t>
        </is>
      </c>
      <c r="K3408" s="51" t="inlineStr">
        <is>
          <t>Diplôme supérieur en management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62" t="inlineStr">
        <is>
          <t>NON</t>
        </is>
      </c>
      <c r="O3408" s="51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93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Successeur déjà publié : RNCP42673 (Diplôme supérieur en management) — préparer la bascule de l'offre CPF | Échéance le 31/08/2026 (dans 32 j)</t>
        </is>
      </c>
      <c r="J3439" s="51" t="inlineStr">
        <is>
          <t>RNCP42673</t>
        </is>
      </c>
      <c r="K3439" s="51" t="inlineStr">
        <is>
          <t>Diplôme supérieur en management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62" t="inlineStr">
        <is>
          <t>NON</t>
        </is>
      </c>
      <c r="O3439" s="51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93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63" t="n"/>
      <c r="B3461" s="64" t="inlineStr">
        <is>
          <t>32150</t>
        </is>
      </c>
      <c r="C3461" s="64">
        <f>LEFT(Tableau1[[#This Row],[Formacode]],3)</f>
        <v/>
      </c>
      <c r="D3461" s="65" t="n">
        <v>37799</v>
      </c>
      <c r="E3461" s="66">
        <f>"RNCP"&amp;D3461</f>
        <v/>
      </c>
      <c r="F3461" s="66" t="inlineStr">
        <is>
          <t>Coach professionnel</t>
        </is>
      </c>
      <c r="G3461" s="67">
        <f>E3461&amp;" - "&amp;F3461</f>
        <v/>
      </c>
      <c r="H3461" s="38" t="inlineStr">
        <is>
          <t>Expiré / remplacé</t>
        </is>
      </c>
      <c r="I3461" s="63" t="inlineStr">
        <is>
          <t>Fiche inactive — remplacée par RNCP42477 (Coach professionnel)</t>
        </is>
      </c>
      <c r="J3461" s="63" t="inlineStr">
        <is>
          <t>RNCP42477</t>
        </is>
      </c>
      <c r="K3461" s="63" t="inlineStr">
        <is>
          <t>Coach professionnel</t>
        </is>
      </c>
      <c r="L3461" s="63" t="inlineStr">
        <is>
          <t>19/07/2026</t>
        </is>
      </c>
      <c r="M3461" s="63" t="inlineStr">
        <is>
          <t>32150 (Coaching entreprise) ; 44517 (Conception action formation) ; 32043 (Conseil entreprise)</t>
        </is>
      </c>
      <c r="N3461" s="68" t="inlineStr">
        <is>
          <t>NON</t>
        </is>
      </c>
      <c r="O3461" s="63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Successeur déjà publié : RNCP42673 (Diplôme supérieur en management) — préparer la bascule de l'offre CPF | Échéance le 31/08/2026 (dans 32 j)</t>
        </is>
      </c>
      <c r="J3468" s="51" t="inlineStr">
        <is>
          <t>RNCP42673</t>
        </is>
      </c>
      <c r="K3468" s="51" t="inlineStr">
        <is>
          <t>Diplôme supérieur en management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62" t="inlineStr">
        <is>
          <t>NON</t>
        </is>
      </c>
      <c r="O3468" s="51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93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93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Successeur déjà publié : RNCP42673 (Diplôme supérieur en management) — préparer la bascule de l'offre CPF | Échéance le 31/08/2026 (dans 32 j)</t>
        </is>
      </c>
      <c r="J3485" s="51" t="inlineStr">
        <is>
          <t>RNCP42673</t>
        </is>
      </c>
      <c r="K3485" s="51" t="inlineStr">
        <is>
          <t>Diplôme supérieur en management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62" t="inlineStr">
        <is>
          <t>NON</t>
        </is>
      </c>
      <c r="O3485" s="51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Successeur déjà publié : RNCP42673 (Diplôme supérieur en management) — préparer la bascule de l'offre CPF | Échéance le 31/08/2026 (dans 32 j)</t>
        </is>
      </c>
      <c r="J3493" s="51" t="inlineStr">
        <is>
          <t>RNCP42673</t>
        </is>
      </c>
      <c r="K3493" s="51" t="inlineStr">
        <is>
          <t>Diplôme supérieur en management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62" t="inlineStr">
        <is>
          <t>NON</t>
        </is>
      </c>
      <c r="O3493" s="51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141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Successeur déjà publié : RNCP42673 (Diplôme supérieur en management) — préparer la bascule de l'offre CPF | Échéance le 31/08/2026 (dans 32 j)</t>
        </is>
      </c>
      <c r="J3504" s="51" t="inlineStr">
        <is>
          <t>RNCP42673</t>
        </is>
      </c>
      <c r="K3504" s="51" t="inlineStr">
        <is>
          <t>Diplôme supérieur en management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62" t="inlineStr">
        <is>
          <t>NON</t>
        </is>
      </c>
      <c r="O3504" s="51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Successeur déjà publié : RNCP42673 (Diplôme supérieur en management) — préparer la bascule de l'offre CPF | Échéance le 31/08/2026 (dans 32 j)</t>
        </is>
      </c>
      <c r="J3513" s="51" t="inlineStr">
        <is>
          <t>RNCP42673</t>
        </is>
      </c>
      <c r="K3513" s="51" t="inlineStr">
        <is>
          <t>Diplôme supérieur en management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62" t="inlineStr">
        <is>
          <t>NON</t>
        </is>
      </c>
      <c r="O3513" s="51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63" t="n"/>
      <c r="B3522" s="64" t="inlineStr">
        <is>
          <t>32652</t>
        </is>
      </c>
      <c r="C3522" s="64">
        <f>LEFT(Tableau1[[#This Row],[Formacode]],3)</f>
        <v/>
      </c>
      <c r="D3522" s="65" t="n">
        <v>37865</v>
      </c>
      <c r="E3522" s="66">
        <f>"RNCP"&amp;D3522</f>
        <v/>
      </c>
      <c r="F3522" s="66" t="inlineStr">
        <is>
          <t>Responsable en gestion d'activité opérationnelle</t>
        </is>
      </c>
      <c r="G3522" s="67">
        <f>E3522&amp;" - "&amp;F3522</f>
        <v/>
      </c>
      <c r="H3522" s="38" t="inlineStr">
        <is>
          <t>Expiré / remplacé</t>
        </is>
      </c>
      <c r="I3522" s="63" t="inlineStr">
        <is>
          <t>Fiche inactive — remplacée par RNCP42510 (Responsable en gestion d'activité)</t>
        </is>
      </c>
      <c r="J3522" s="63" t="inlineStr">
        <is>
          <t>RNCP42510</t>
        </is>
      </c>
      <c r="K3522" s="63" t="inlineStr">
        <is>
          <t>Responsable en gestion d'activité</t>
        </is>
      </c>
      <c r="L3522" s="63" t="inlineStr">
        <is>
          <t>19/07/2026</t>
        </is>
      </c>
      <c r="M3522" s="63" t="inlineStr">
        <is>
          <t>32054 (Gestion des organisations) ; 32654 (Gestion financière comptabilité)</t>
        </is>
      </c>
      <c r="N3522" s="68" t="inlineStr">
        <is>
          <t>NON</t>
        </is>
      </c>
      <c r="O3522" s="63" t="inlineStr"/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Successeur déjà publié : RNCP42673 (Diplôme supérieur en management) — préparer la bascule de l'offre CPF | Échéance le 31/08/2026 (dans 32 j)</t>
        </is>
      </c>
      <c r="J3523" s="51" t="inlineStr">
        <is>
          <t>RNCP42673</t>
        </is>
      </c>
      <c r="K3523" s="51" t="inlineStr">
        <is>
          <t>Diplôme supérieur en management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62" t="inlineStr">
        <is>
          <t>NON</t>
        </is>
      </c>
      <c r="O3523" s="51" t="inlineStr"/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93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141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144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Successeur déjà publié : RNCP42673 (Diplôme supérieur en management) — préparer la bascule de l'offre CPF | Échéance le 31/08/2026 (dans 32 j)</t>
        </is>
      </c>
      <c r="J3541" s="51" t="inlineStr">
        <is>
          <t>RNCP42673</t>
        </is>
      </c>
      <c r="K3541" s="51" t="inlineStr">
        <is>
          <t>Diplôme supérieur en management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62" t="inlineStr">
        <is>
          <t>NON</t>
        </is>
      </c>
      <c r="O3541" s="51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141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47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51" t="n"/>
      <c r="B3552" s="52" t="inlineStr">
        <is>
          <t>33001</t>
        </is>
      </c>
      <c r="C3552" s="52">
        <f>LEFT(Tableau1[[#This Row],[Formacode]],3)</f>
        <v/>
      </c>
      <c r="D3552" s="53" t="n">
        <v>36143</v>
      </c>
      <c r="E3552" s="54">
        <f>"RNCP"&amp;D3552</f>
        <v/>
      </c>
      <c r="F3552" s="54" t="inlineStr">
        <is>
          <t>Chargé des ressources humaines</t>
        </is>
      </c>
      <c r="G3552" s="55">
        <f>E3552&amp;" - "&amp;F3552</f>
        <v/>
      </c>
      <c r="H3552" s="37" t="inlineStr">
        <is>
          <t>À vérifier</t>
        </is>
      </c>
      <c r="I3552" s="51" t="inlineStr">
        <is>
          <t>Échéance le 26/01/2027 (dans 180 j)</t>
        </is>
      </c>
      <c r="J3552" s="51" t="inlineStr">
        <is>
          <t>RNCP36143</t>
        </is>
      </c>
      <c r="K3552" s="51" t="inlineStr">
        <is>
          <t>Chargé des ressources humaines</t>
        </is>
      </c>
      <c r="L3552" s="51" t="inlineStr">
        <is>
          <t>26/01/2027</t>
        </is>
      </c>
      <c r="M3552" s="51" t="inlineStr">
        <is>
          <t>33054 (Gestion ressources humaines)</t>
        </is>
      </c>
      <c r="N3552" s="56" t="inlineStr">
        <is>
          <t>OUI</t>
        </is>
      </c>
      <c r="O3552" s="41" t="inlineStr">
        <is>
          <t>Changement de statut : RAS → À vérifier</t>
        </is>
      </c>
    </row>
    <row r="3553" customFormat="1" s="3">
      <c r="A3553" s="63" t="n"/>
      <c r="B3553" s="64" t="inlineStr">
        <is>
          <t>33001</t>
        </is>
      </c>
      <c r="C3553" s="64">
        <f>LEFT(Tableau1[[#This Row],[Formacode]],3)</f>
        <v/>
      </c>
      <c r="D3553" s="65" t="n">
        <v>37851</v>
      </c>
      <c r="E3553" s="66">
        <f>"RNCP"&amp;D3553</f>
        <v/>
      </c>
      <c r="F3553" s="66" t="inlineStr">
        <is>
          <t>Manager des ressources humaines</t>
        </is>
      </c>
      <c r="G3553" s="67">
        <f>E3553&amp;" - "&amp;F3553</f>
        <v/>
      </c>
      <c r="H3553" s="38" t="inlineStr">
        <is>
          <t>Expiré / remplacé</t>
        </is>
      </c>
      <c r="I3553" s="63" t="inlineStr">
        <is>
          <t>Fiche inactive — remplacée par RNCP42638 (Manager des ressources humaines)</t>
        </is>
      </c>
      <c r="J3553" s="63" t="inlineStr">
        <is>
          <t>RNCP42638</t>
        </is>
      </c>
      <c r="K3553" s="63" t="inlineStr">
        <is>
          <t>Manager des ressources humaines</t>
        </is>
      </c>
      <c r="L3553" s="63" t="inlineStr">
        <is>
          <t>19/07/2026</t>
        </is>
      </c>
      <c r="M3553" s="63" t="inlineStr">
        <is>
          <t>33054 (Gestion ressources humaines) ; 44508 (Plan développement compétences)</t>
        </is>
      </c>
      <c r="N3553" s="68" t="inlineStr">
        <is>
          <t>NON</t>
        </is>
      </c>
      <c r="O3553" s="63" t="inlineStr"/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108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144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144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47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51" t="n"/>
      <c r="B3567" s="52" t="inlineStr">
        <is>
          <t>33004</t>
        </is>
      </c>
      <c r="C3567" s="52">
        <f>LEFT(Tableau1[[#This Row],[Formacode]],3)</f>
        <v/>
      </c>
      <c r="D3567" s="53" t="n">
        <v>36143</v>
      </c>
      <c r="E3567" s="54">
        <f>"RNCP"&amp;D3567</f>
        <v/>
      </c>
      <c r="F3567" s="54" t="inlineStr">
        <is>
          <t>Chargé des ressources humaines</t>
        </is>
      </c>
      <c r="G3567" s="55">
        <f>E3567&amp;" - "&amp;F3567</f>
        <v/>
      </c>
      <c r="H3567" s="37" t="inlineStr">
        <is>
          <t>À vérifier</t>
        </is>
      </c>
      <c r="I3567" s="51" t="inlineStr">
        <is>
          <t>Échéance le 26/01/2027 (dans 180 j)</t>
        </is>
      </c>
      <c r="J3567" s="51" t="inlineStr">
        <is>
          <t>RNCP36143</t>
        </is>
      </c>
      <c r="K3567" s="51" t="inlineStr">
        <is>
          <t>Chargé des ressources humaines</t>
        </is>
      </c>
      <c r="L3567" s="51" t="inlineStr">
        <is>
          <t>26/01/2027</t>
        </is>
      </c>
      <c r="M3567" s="51" t="inlineStr">
        <is>
          <t>33054 (Gestion ressources humaines)</t>
        </is>
      </c>
      <c r="N3567" s="56" t="inlineStr">
        <is>
          <t>OUI</t>
        </is>
      </c>
      <c r="O3567" s="41" t="inlineStr">
        <is>
          <t>Changement de statut : RAS → À vérifier</t>
        </is>
      </c>
    </row>
    <row r="3568" customFormat="1" s="3">
      <c r="A3568" s="63" t="n"/>
      <c r="B3568" s="64" t="inlineStr">
        <is>
          <t>33004</t>
        </is>
      </c>
      <c r="C3568" s="64">
        <f>LEFT(Tableau1[[#This Row],[Formacode]],3)</f>
        <v/>
      </c>
      <c r="D3568" s="65" t="n">
        <v>37851</v>
      </c>
      <c r="E3568" s="66">
        <f>"RNCP"&amp;D3568</f>
        <v/>
      </c>
      <c r="F3568" s="66" t="inlineStr">
        <is>
          <t>Manager des ressources humaines</t>
        </is>
      </c>
      <c r="G3568" s="67">
        <f>E3568&amp;" - "&amp;F3568</f>
        <v/>
      </c>
      <c r="H3568" s="38" t="inlineStr">
        <is>
          <t>Expiré / remplacé</t>
        </is>
      </c>
      <c r="I3568" s="63" t="inlineStr">
        <is>
          <t>Fiche inactive — remplacée par RNCP42638 (Manager des ressources humaines)</t>
        </is>
      </c>
      <c r="J3568" s="63" t="inlineStr">
        <is>
          <t>RNCP42638</t>
        </is>
      </c>
      <c r="K3568" s="63" t="inlineStr">
        <is>
          <t>Manager des ressources humaines</t>
        </is>
      </c>
      <c r="L3568" s="63" t="inlineStr">
        <is>
          <t>19/07/2026</t>
        </is>
      </c>
      <c r="M3568" s="63" t="inlineStr">
        <is>
          <t>33054 (Gestion ressources humaines) ; 44508 (Plan développement compétences)</t>
        </is>
      </c>
      <c r="N3568" s="68" t="inlineStr">
        <is>
          <t>NON</t>
        </is>
      </c>
      <c r="O3568" s="63" t="inlineStr"/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108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144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144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47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51" t="n"/>
      <c r="B3582" s="52" t="inlineStr">
        <is>
          <t>33012</t>
        </is>
      </c>
      <c r="C3582" s="52">
        <f>LEFT(Tableau1[[#This Row],[Formacode]],3)</f>
        <v/>
      </c>
      <c r="D3582" s="53" t="n">
        <v>36143</v>
      </c>
      <c r="E3582" s="54">
        <f>"RNCP"&amp;D3582</f>
        <v/>
      </c>
      <c r="F3582" s="54" t="inlineStr">
        <is>
          <t>Chargé des ressources humaines</t>
        </is>
      </c>
      <c r="G3582" s="55">
        <f>E3582&amp;" - "&amp;F3582</f>
        <v/>
      </c>
      <c r="H3582" s="37" t="inlineStr">
        <is>
          <t>À vérifier</t>
        </is>
      </c>
      <c r="I3582" s="51" t="inlineStr">
        <is>
          <t>Échéance le 26/01/2027 (dans 180 j)</t>
        </is>
      </c>
      <c r="J3582" s="51" t="inlineStr">
        <is>
          <t>RNCP36143</t>
        </is>
      </c>
      <c r="K3582" s="51" t="inlineStr">
        <is>
          <t>Chargé des ressources humaines</t>
        </is>
      </c>
      <c r="L3582" s="51" t="inlineStr">
        <is>
          <t>26/01/2027</t>
        </is>
      </c>
      <c r="M3582" s="51" t="inlineStr">
        <is>
          <t>33054 (Gestion ressources humaines)</t>
        </is>
      </c>
      <c r="N3582" s="56" t="inlineStr">
        <is>
          <t>OUI</t>
        </is>
      </c>
      <c r="O3582" s="41" t="inlineStr">
        <is>
          <t>Changement de statut : RAS → À vérifier</t>
        </is>
      </c>
    </row>
    <row r="3583" customFormat="1" s="3">
      <c r="A3583" s="63" t="n"/>
      <c r="B3583" s="64" t="inlineStr">
        <is>
          <t>33012</t>
        </is>
      </c>
      <c r="C3583" s="64">
        <f>LEFT(Tableau1[[#This Row],[Formacode]],3)</f>
        <v/>
      </c>
      <c r="D3583" s="65" t="n">
        <v>37851</v>
      </c>
      <c r="E3583" s="66">
        <f>"RNCP"&amp;D3583</f>
        <v/>
      </c>
      <c r="F3583" s="66" t="inlineStr">
        <is>
          <t>Manager des ressources humaines</t>
        </is>
      </c>
      <c r="G3583" s="67">
        <f>E3583&amp;" - "&amp;F3583</f>
        <v/>
      </c>
      <c r="H3583" s="38" t="inlineStr">
        <is>
          <t>Expiré / remplacé</t>
        </is>
      </c>
      <c r="I3583" s="63" t="inlineStr">
        <is>
          <t>Fiche inactive — remplacée par RNCP42638 (Manager des ressources humaines)</t>
        </is>
      </c>
      <c r="J3583" s="63" t="inlineStr">
        <is>
          <t>RNCP42638</t>
        </is>
      </c>
      <c r="K3583" s="63" t="inlineStr">
        <is>
          <t>Manager des ressources humaines</t>
        </is>
      </c>
      <c r="L3583" s="63" t="inlineStr">
        <is>
          <t>19/07/2026</t>
        </is>
      </c>
      <c r="M3583" s="63" t="inlineStr">
        <is>
          <t>33054 (Gestion ressources humaines) ; 44508 (Plan développement compétences)</t>
        </is>
      </c>
      <c r="N3583" s="68" t="inlineStr">
        <is>
          <t>NON</t>
        </is>
      </c>
      <c r="O3583" s="63" t="inlineStr"/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108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144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144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47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51" t="n"/>
      <c r="B3597" s="52" t="inlineStr">
        <is>
          <t>33024</t>
        </is>
      </c>
      <c r="C3597" s="52">
        <f>LEFT(Tableau1[[#This Row],[Formacode]],3)</f>
        <v/>
      </c>
      <c r="D3597" s="53" t="n">
        <v>36143</v>
      </c>
      <c r="E3597" s="54">
        <f>"RNCP"&amp;D3597</f>
        <v/>
      </c>
      <c r="F3597" s="54" t="inlineStr">
        <is>
          <t>Chargé des ressources humaines</t>
        </is>
      </c>
      <c r="G3597" s="55">
        <f>E3597&amp;" - "&amp;F3597</f>
        <v/>
      </c>
      <c r="H3597" s="37" t="inlineStr">
        <is>
          <t>À vérifier</t>
        </is>
      </c>
      <c r="I3597" s="51" t="inlineStr">
        <is>
          <t>Échéance le 26/01/2027 (dans 180 j)</t>
        </is>
      </c>
      <c r="J3597" s="51" t="inlineStr">
        <is>
          <t>RNCP36143</t>
        </is>
      </c>
      <c r="K3597" s="51" t="inlineStr">
        <is>
          <t>Chargé des ressources humaines</t>
        </is>
      </c>
      <c r="L3597" s="51" t="inlineStr">
        <is>
          <t>26/01/2027</t>
        </is>
      </c>
      <c r="M3597" s="51" t="inlineStr">
        <is>
          <t>33054 (Gestion ressources humaines)</t>
        </is>
      </c>
      <c r="N3597" s="56" t="inlineStr">
        <is>
          <t>OUI</t>
        </is>
      </c>
      <c r="O3597" s="41" t="inlineStr">
        <is>
          <t>Changement de statut : RAS → À vérifier</t>
        </is>
      </c>
    </row>
    <row r="3598" customFormat="1" s="3">
      <c r="A3598" s="63" t="n"/>
      <c r="B3598" s="64" t="inlineStr">
        <is>
          <t>33024</t>
        </is>
      </c>
      <c r="C3598" s="64">
        <f>LEFT(Tableau1[[#This Row],[Formacode]],3)</f>
        <v/>
      </c>
      <c r="D3598" s="65" t="n">
        <v>37851</v>
      </c>
      <c r="E3598" s="66">
        <f>"RNCP"&amp;D3598</f>
        <v/>
      </c>
      <c r="F3598" s="66" t="inlineStr">
        <is>
          <t>Manager des ressources humaines</t>
        </is>
      </c>
      <c r="G3598" s="67">
        <f>E3598&amp;" - "&amp;F3598</f>
        <v/>
      </c>
      <c r="H3598" s="38" t="inlineStr">
        <is>
          <t>Expiré / remplacé</t>
        </is>
      </c>
      <c r="I3598" s="63" t="inlineStr">
        <is>
          <t>Fiche inactive — remplacée par RNCP42638 (Manager des ressources humaines)</t>
        </is>
      </c>
      <c r="J3598" s="63" t="inlineStr">
        <is>
          <t>RNCP42638</t>
        </is>
      </c>
      <c r="K3598" s="63" t="inlineStr">
        <is>
          <t>Manager des ressources humaines</t>
        </is>
      </c>
      <c r="L3598" s="63" t="inlineStr">
        <is>
          <t>19/07/2026</t>
        </is>
      </c>
      <c r="M3598" s="63" t="inlineStr">
        <is>
          <t>33054 (Gestion ressources humaines) ; 44508 (Plan développement compétences)</t>
        </is>
      </c>
      <c r="N3598" s="68" t="inlineStr">
        <is>
          <t>NON</t>
        </is>
      </c>
      <c r="O3598" s="63" t="inlineStr"/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108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144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144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47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51" t="n"/>
      <c r="B3612" s="52" t="inlineStr">
        <is>
          <t>33035</t>
        </is>
      </c>
      <c r="C3612" s="52">
        <f>LEFT(Tableau1[[#This Row],[Formacode]],3)</f>
        <v/>
      </c>
      <c r="D3612" s="53" t="n">
        <v>36143</v>
      </c>
      <c r="E3612" s="54">
        <f>"RNCP"&amp;D3612</f>
        <v/>
      </c>
      <c r="F3612" s="54" t="inlineStr">
        <is>
          <t>Chargé des ressources humaines</t>
        </is>
      </c>
      <c r="G3612" s="55">
        <f>E3612&amp;" - "&amp;F3612</f>
        <v/>
      </c>
      <c r="H3612" s="37" t="inlineStr">
        <is>
          <t>À vérifier</t>
        </is>
      </c>
      <c r="I3612" s="51" t="inlineStr">
        <is>
          <t>Échéance le 26/01/2027 (dans 180 j)</t>
        </is>
      </c>
      <c r="J3612" s="51" t="inlineStr">
        <is>
          <t>RNCP36143</t>
        </is>
      </c>
      <c r="K3612" s="51" t="inlineStr">
        <is>
          <t>Chargé des ressources humaines</t>
        </is>
      </c>
      <c r="L3612" s="51" t="inlineStr">
        <is>
          <t>26/01/2027</t>
        </is>
      </c>
      <c r="M3612" s="51" t="inlineStr">
        <is>
          <t>33054 (Gestion ressources humaines)</t>
        </is>
      </c>
      <c r="N3612" s="56" t="inlineStr">
        <is>
          <t>OUI</t>
        </is>
      </c>
      <c r="O3612" s="41" t="inlineStr">
        <is>
          <t>Changement de statut : RAS → À vérifier</t>
        </is>
      </c>
    </row>
    <row r="3613" customFormat="1" s="3">
      <c r="A3613" s="63" t="n"/>
      <c r="B3613" s="64" t="inlineStr">
        <is>
          <t>33035</t>
        </is>
      </c>
      <c r="C3613" s="64">
        <f>LEFT(Tableau1[[#This Row],[Formacode]],3)</f>
        <v/>
      </c>
      <c r="D3613" s="65" t="n">
        <v>37748</v>
      </c>
      <c r="E3613" s="66">
        <f>"RNCP"&amp;D3613</f>
        <v/>
      </c>
      <c r="F3613" s="66" t="inlineStr">
        <is>
          <t>Manager des ressources humaines</t>
        </is>
      </c>
      <c r="G3613" s="67">
        <f>E3613&amp;" - "&amp;F3613</f>
        <v/>
      </c>
      <c r="H3613" s="38" t="inlineStr">
        <is>
          <t>Expiré / remplacé</t>
        </is>
      </c>
      <c r="I3613" s="63" t="inlineStr">
        <is>
          <t>Fiche inactive — remplacée par RNCP41803 (Manager des ressources humaines)</t>
        </is>
      </c>
      <c r="J3613" s="63" t="inlineStr">
        <is>
          <t>RNCP41803</t>
        </is>
      </c>
      <c r="K3613" s="63" t="inlineStr">
        <is>
          <t>Manager des ressources humaines</t>
        </is>
      </c>
      <c r="L3613" s="63" t="inlineStr">
        <is>
          <t>19/07/2026</t>
        </is>
      </c>
      <c r="M3613" s="63" t="inlineStr">
        <is>
          <t>33054 (Gestion ressources humaines)</t>
        </is>
      </c>
      <c r="N3613" s="68" t="inlineStr">
        <is>
          <t>NON</t>
        </is>
      </c>
      <c r="O3613" s="63" t="inlineStr"/>
    </row>
    <row r="3614" customFormat="1" s="3">
      <c r="A3614" s="63" t="n"/>
      <c r="B3614" s="64" t="inlineStr">
        <is>
          <t>33035</t>
        </is>
      </c>
      <c r="C3614" s="64">
        <f>LEFT(Tableau1[[#This Row],[Formacode]],3)</f>
        <v/>
      </c>
      <c r="D3614" s="65" t="n">
        <v>37851</v>
      </c>
      <c r="E3614" s="66">
        <f>"RNCP"&amp;D3614</f>
        <v/>
      </c>
      <c r="F3614" s="66" t="inlineStr">
        <is>
          <t>Manager des ressources humaines</t>
        </is>
      </c>
      <c r="G3614" s="67">
        <f>E3614&amp;" - "&amp;F3614</f>
        <v/>
      </c>
      <c r="H3614" s="38" t="inlineStr">
        <is>
          <t>Expiré / remplacé</t>
        </is>
      </c>
      <c r="I3614" s="63" t="inlineStr">
        <is>
          <t>Fiche inactive — remplacée par RNCP42638 (Manager des ressources humaines)</t>
        </is>
      </c>
      <c r="J3614" s="63" t="inlineStr">
        <is>
          <t>RNCP42638</t>
        </is>
      </c>
      <c r="K3614" s="63" t="inlineStr">
        <is>
          <t>Manager des ressources humaines</t>
        </is>
      </c>
      <c r="L3614" s="63" t="inlineStr">
        <is>
          <t>19/07/2026</t>
        </is>
      </c>
      <c r="M3614" s="63" t="inlineStr">
        <is>
          <t>33054 (Gestion ressources humaines) ; 44508 (Plan développement compétences)</t>
        </is>
      </c>
      <c r="N3614" s="68" t="inlineStr">
        <is>
          <t>NON</t>
        </is>
      </c>
      <c r="O3614" s="63" t="inlineStr"/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108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144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144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144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47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51" t="n"/>
      <c r="B3630" s="52" t="inlineStr">
        <is>
          <t>33036</t>
        </is>
      </c>
      <c r="C3630" s="52">
        <f>LEFT(Tableau1[[#This Row],[Formacode]],3)</f>
        <v/>
      </c>
      <c r="D3630" s="53" t="n">
        <v>36143</v>
      </c>
      <c r="E3630" s="54">
        <f>"RNCP"&amp;D3630</f>
        <v/>
      </c>
      <c r="F3630" s="54" t="inlineStr">
        <is>
          <t>Chargé des ressources humaines</t>
        </is>
      </c>
      <c r="G3630" s="55">
        <f>E3630&amp;" - "&amp;F3630</f>
        <v/>
      </c>
      <c r="H3630" s="37" t="inlineStr">
        <is>
          <t>À vérifier</t>
        </is>
      </c>
      <c r="I3630" s="51" t="inlineStr">
        <is>
          <t>Échéance le 26/01/2027 (dans 180 j)</t>
        </is>
      </c>
      <c r="J3630" s="51" t="inlineStr">
        <is>
          <t>RNCP36143</t>
        </is>
      </c>
      <c r="K3630" s="51" t="inlineStr">
        <is>
          <t>Chargé des ressources humaines</t>
        </is>
      </c>
      <c r="L3630" s="51" t="inlineStr">
        <is>
          <t>26/01/2027</t>
        </is>
      </c>
      <c r="M3630" s="51" t="inlineStr">
        <is>
          <t>33054 (Gestion ressources humaines)</t>
        </is>
      </c>
      <c r="N3630" s="56" t="inlineStr">
        <is>
          <t>OUI</t>
        </is>
      </c>
      <c r="O3630" s="41" t="inlineStr">
        <is>
          <t>Changement de statut : RAS → À vérifier</t>
        </is>
      </c>
    </row>
    <row r="3631" customFormat="1" s="3">
      <c r="A3631" s="63" t="n"/>
      <c r="B3631" s="64" t="inlineStr">
        <is>
          <t>33036</t>
        </is>
      </c>
      <c r="C3631" s="64">
        <f>LEFT(Tableau1[[#This Row],[Formacode]],3)</f>
        <v/>
      </c>
      <c r="D3631" s="65" t="n">
        <v>37851</v>
      </c>
      <c r="E3631" s="66">
        <f>"RNCP"&amp;D3631</f>
        <v/>
      </c>
      <c r="F3631" s="66" t="inlineStr">
        <is>
          <t>Manager des ressources humaines</t>
        </is>
      </c>
      <c r="G3631" s="67">
        <f>E3631&amp;" - "&amp;F3631</f>
        <v/>
      </c>
      <c r="H3631" s="38" t="inlineStr">
        <is>
          <t>Expiré / remplacé</t>
        </is>
      </c>
      <c r="I3631" s="63" t="inlineStr">
        <is>
          <t>Fiche inactive — remplacée par RNCP42638 (Manager des ressources humaines)</t>
        </is>
      </c>
      <c r="J3631" s="63" t="inlineStr">
        <is>
          <t>RNCP42638</t>
        </is>
      </c>
      <c r="K3631" s="63" t="inlineStr">
        <is>
          <t>Manager des ressources humaines</t>
        </is>
      </c>
      <c r="L3631" s="63" t="inlineStr">
        <is>
          <t>19/07/2026</t>
        </is>
      </c>
      <c r="M3631" s="63" t="inlineStr">
        <is>
          <t>33054 (Gestion ressources humaines) ; 44508 (Plan développement compétences)</t>
        </is>
      </c>
      <c r="N3631" s="68" t="inlineStr">
        <is>
          <t>NON</t>
        </is>
      </c>
      <c r="O3631" s="63" t="inlineStr"/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108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144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144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144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47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51" t="n"/>
      <c r="B3648" s="52" t="inlineStr">
        <is>
          <t>33047</t>
        </is>
      </c>
      <c r="C3648" s="52">
        <f>LEFT(Tableau1[[#This Row],[Formacode]],3)</f>
        <v/>
      </c>
      <c r="D3648" s="53" t="n">
        <v>36143</v>
      </c>
      <c r="E3648" s="54">
        <f>"RNCP"&amp;D3648</f>
        <v/>
      </c>
      <c r="F3648" s="54" t="inlineStr">
        <is>
          <t>Chargé des ressources humaines</t>
        </is>
      </c>
      <c r="G3648" s="55">
        <f>E3648&amp;" - "&amp;F3648</f>
        <v/>
      </c>
      <c r="H3648" s="37" t="inlineStr">
        <is>
          <t>À vérifier</t>
        </is>
      </c>
      <c r="I3648" s="51" t="inlineStr">
        <is>
          <t>Échéance le 26/01/2027 (dans 180 j)</t>
        </is>
      </c>
      <c r="J3648" s="51" t="inlineStr">
        <is>
          <t>RNCP36143</t>
        </is>
      </c>
      <c r="K3648" s="51" t="inlineStr">
        <is>
          <t>Chargé des ressources humaines</t>
        </is>
      </c>
      <c r="L3648" s="51" t="inlineStr">
        <is>
          <t>26/01/2027</t>
        </is>
      </c>
      <c r="M3648" s="51" t="inlineStr">
        <is>
          <t>33054 (Gestion ressources humaines)</t>
        </is>
      </c>
      <c r="N3648" s="56" t="inlineStr">
        <is>
          <t>OUI</t>
        </is>
      </c>
      <c r="O3648" s="41" t="inlineStr">
        <is>
          <t>Changement de statut : RAS → À vérifier</t>
        </is>
      </c>
    </row>
    <row r="3649" customFormat="1" s="3">
      <c r="A3649" s="63" t="n"/>
      <c r="B3649" s="64" t="inlineStr">
        <is>
          <t>33047</t>
        </is>
      </c>
      <c r="C3649" s="64">
        <f>LEFT(Tableau1[[#This Row],[Formacode]],3)</f>
        <v/>
      </c>
      <c r="D3649" s="65" t="n">
        <v>37748</v>
      </c>
      <c r="E3649" s="66">
        <f>"RNCP"&amp;D3649</f>
        <v/>
      </c>
      <c r="F3649" s="66" t="inlineStr">
        <is>
          <t>Manager des ressources humaines</t>
        </is>
      </c>
      <c r="G3649" s="67">
        <f>E3649&amp;" - "&amp;F3649</f>
        <v/>
      </c>
      <c r="H3649" s="38" t="inlineStr">
        <is>
          <t>Expiré / remplacé</t>
        </is>
      </c>
      <c r="I3649" s="63" t="inlineStr">
        <is>
          <t>Fiche inactive — remplacée par RNCP41803 (Manager des ressources humaines)</t>
        </is>
      </c>
      <c r="J3649" s="63" t="inlineStr">
        <is>
          <t>RNCP41803</t>
        </is>
      </c>
      <c r="K3649" s="63" t="inlineStr">
        <is>
          <t>Manager des ressources humaines</t>
        </is>
      </c>
      <c r="L3649" s="63" t="inlineStr">
        <is>
          <t>19/07/2026</t>
        </is>
      </c>
      <c r="M3649" s="63" t="inlineStr">
        <is>
          <t>33054 (Gestion ressources humaines)</t>
        </is>
      </c>
      <c r="N3649" s="68" t="inlineStr">
        <is>
          <t>NON</t>
        </is>
      </c>
      <c r="O3649" s="63" t="inlineStr"/>
    </row>
    <row r="3650" customFormat="1" s="3">
      <c r="A3650" s="63" t="n"/>
      <c r="B3650" s="64" t="inlineStr">
        <is>
          <t>33047</t>
        </is>
      </c>
      <c r="C3650" s="64">
        <f>LEFT(Tableau1[[#This Row],[Formacode]],3)</f>
        <v/>
      </c>
      <c r="D3650" s="65" t="n">
        <v>37851</v>
      </c>
      <c r="E3650" s="66">
        <f>"RNCP"&amp;D3650</f>
        <v/>
      </c>
      <c r="F3650" s="66" t="inlineStr">
        <is>
          <t>Manager des ressources humaines</t>
        </is>
      </c>
      <c r="G3650" s="67">
        <f>E3650&amp;" - "&amp;F3650</f>
        <v/>
      </c>
      <c r="H3650" s="38" t="inlineStr">
        <is>
          <t>Expiré / remplacé</t>
        </is>
      </c>
      <c r="I3650" s="63" t="inlineStr">
        <is>
          <t>Fiche inactive — remplacée par RNCP42638 (Manager des ressources humaines)</t>
        </is>
      </c>
      <c r="J3650" s="63" t="inlineStr">
        <is>
          <t>RNCP42638</t>
        </is>
      </c>
      <c r="K3650" s="63" t="inlineStr">
        <is>
          <t>Manager des ressources humaines</t>
        </is>
      </c>
      <c r="L3650" s="63" t="inlineStr">
        <is>
          <t>19/07/2026</t>
        </is>
      </c>
      <c r="M3650" s="63" t="inlineStr">
        <is>
          <t>33054 (Gestion ressources humaines) ; 44508 (Plan développement compétences)</t>
        </is>
      </c>
      <c r="N3650" s="68" t="inlineStr">
        <is>
          <t>NON</t>
        </is>
      </c>
      <c r="O3650" s="63" t="inlineStr"/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108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144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144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47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51" t="n"/>
      <c r="B3669" s="52" t="inlineStr">
        <is>
          <t>33052</t>
        </is>
      </c>
      <c r="C3669" s="52">
        <f>LEFT(Tableau1[[#This Row],[Formacode]],3)</f>
        <v/>
      </c>
      <c r="D3669" s="53" t="n">
        <v>36143</v>
      </c>
      <c r="E3669" s="54">
        <f>"RNCP"&amp;D3669</f>
        <v/>
      </c>
      <c r="F3669" s="54" t="inlineStr">
        <is>
          <t>Chargé des ressources humaines</t>
        </is>
      </c>
      <c r="G3669" s="55">
        <f>E3669&amp;" - "&amp;F3669</f>
        <v/>
      </c>
      <c r="H3669" s="37" t="inlineStr">
        <is>
          <t>À vérifier</t>
        </is>
      </c>
      <c r="I3669" s="51" t="inlineStr">
        <is>
          <t>Échéance le 26/01/2027 (dans 180 j)</t>
        </is>
      </c>
      <c r="J3669" s="51" t="inlineStr">
        <is>
          <t>RNCP36143</t>
        </is>
      </c>
      <c r="K3669" s="51" t="inlineStr">
        <is>
          <t>Chargé des ressources humaines</t>
        </is>
      </c>
      <c r="L3669" s="51" t="inlineStr">
        <is>
          <t>26/01/2027</t>
        </is>
      </c>
      <c r="M3669" s="51" t="inlineStr">
        <is>
          <t>33054 (Gestion ressources humaines)</t>
        </is>
      </c>
      <c r="N3669" s="56" t="inlineStr">
        <is>
          <t>OUI</t>
        </is>
      </c>
      <c r="O3669" s="41" t="inlineStr">
        <is>
          <t>Changement de statut : RAS → À vérifier</t>
        </is>
      </c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63" t="n"/>
      <c r="B3671" s="64" t="inlineStr">
        <is>
          <t>33052</t>
        </is>
      </c>
      <c r="C3671" s="64">
        <f>LEFT(Tableau1[[#This Row],[Formacode]],3)</f>
        <v/>
      </c>
      <c r="D3671" s="65" t="n">
        <v>37748</v>
      </c>
      <c r="E3671" s="66">
        <f>"RNCP"&amp;D3671</f>
        <v/>
      </c>
      <c r="F3671" s="66" t="inlineStr">
        <is>
          <t>Manager des ressources humaines</t>
        </is>
      </c>
      <c r="G3671" s="67">
        <f>E3671&amp;" - "&amp;F3671</f>
        <v/>
      </c>
      <c r="H3671" s="38" t="inlineStr">
        <is>
          <t>Expiré / remplacé</t>
        </is>
      </c>
      <c r="I3671" s="63" t="inlineStr">
        <is>
          <t>Fiche inactive — remplacée par RNCP41803 (Manager des ressources humaines)</t>
        </is>
      </c>
      <c r="J3671" s="63" t="inlineStr">
        <is>
          <t>RNCP41803</t>
        </is>
      </c>
      <c r="K3671" s="63" t="inlineStr">
        <is>
          <t>Manager des ressources humaines</t>
        </is>
      </c>
      <c r="L3671" s="63" t="inlineStr">
        <is>
          <t>19/07/2026</t>
        </is>
      </c>
      <c r="M3671" s="63" t="inlineStr">
        <is>
          <t>33054 (Gestion ressources humaines)</t>
        </is>
      </c>
      <c r="N3671" s="68" t="inlineStr">
        <is>
          <t>NON</t>
        </is>
      </c>
      <c r="O3671" s="63" t="inlineStr"/>
    </row>
    <row r="3672" customFormat="1" s="3">
      <c r="A3672" s="63" t="n"/>
      <c r="B3672" s="64" t="inlineStr">
        <is>
          <t>33052</t>
        </is>
      </c>
      <c r="C3672" s="64">
        <f>LEFT(Tableau1[[#This Row],[Formacode]],3)</f>
        <v/>
      </c>
      <c r="D3672" s="65" t="n">
        <v>37851</v>
      </c>
      <c r="E3672" s="66">
        <f>"RNCP"&amp;D3672</f>
        <v/>
      </c>
      <c r="F3672" s="66" t="inlineStr">
        <is>
          <t>Manager des ressources humaines</t>
        </is>
      </c>
      <c r="G3672" s="67">
        <f>E3672&amp;" - "&amp;F3672</f>
        <v/>
      </c>
      <c r="H3672" s="38" t="inlineStr">
        <is>
          <t>Expiré / remplacé</t>
        </is>
      </c>
      <c r="I3672" s="63" t="inlineStr">
        <is>
          <t>Fiche inactive — remplacée par RNCP42638 (Manager des ressources humaines)</t>
        </is>
      </c>
      <c r="J3672" s="63" t="inlineStr">
        <is>
          <t>RNCP42638</t>
        </is>
      </c>
      <c r="K3672" s="63" t="inlineStr">
        <is>
          <t>Manager des ressources humaines</t>
        </is>
      </c>
      <c r="L3672" s="63" t="inlineStr">
        <is>
          <t>19/07/2026</t>
        </is>
      </c>
      <c r="M3672" s="63" t="inlineStr">
        <is>
          <t>33054 (Gestion ressources humaines) ; 44508 (Plan développement compétences)</t>
        </is>
      </c>
      <c r="N3672" s="68" t="inlineStr">
        <is>
          <t>NON</t>
        </is>
      </c>
      <c r="O3672" s="63" t="inlineStr"/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52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108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144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144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144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144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47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51" t="n"/>
      <c r="B3696" s="52" t="inlineStr">
        <is>
          <t>33053</t>
        </is>
      </c>
      <c r="C3696" s="52">
        <f>LEFT(Tableau1[[#This Row],[Formacode]],3)</f>
        <v/>
      </c>
      <c r="D3696" s="53" t="n">
        <v>36143</v>
      </c>
      <c r="E3696" s="54">
        <f>"RNCP"&amp;D3696</f>
        <v/>
      </c>
      <c r="F3696" s="54" t="inlineStr">
        <is>
          <t>Chargé des ressources humaines</t>
        </is>
      </c>
      <c r="G3696" s="55">
        <f>E3696&amp;" - "&amp;F3696</f>
        <v/>
      </c>
      <c r="H3696" s="37" t="inlineStr">
        <is>
          <t>À vérifier</t>
        </is>
      </c>
      <c r="I3696" s="51" t="inlineStr">
        <is>
          <t>Échéance le 26/01/2027 (dans 180 j)</t>
        </is>
      </c>
      <c r="J3696" s="51" t="inlineStr">
        <is>
          <t>RNCP36143</t>
        </is>
      </c>
      <c r="K3696" s="51" t="inlineStr">
        <is>
          <t>Chargé des ressources humaines</t>
        </is>
      </c>
      <c r="L3696" s="51" t="inlineStr">
        <is>
          <t>26/01/2027</t>
        </is>
      </c>
      <c r="M3696" s="51" t="inlineStr">
        <is>
          <t>33054 (Gestion ressources humaines)</t>
        </is>
      </c>
      <c r="N3696" s="56" t="inlineStr">
        <is>
          <t>OUI</t>
        </is>
      </c>
      <c r="O3696" s="41" t="inlineStr">
        <is>
          <t>Changement de statut : RAS → À vérifier</t>
        </is>
      </c>
    </row>
    <row r="3697" customFormat="1" s="3">
      <c r="A3697" s="63" t="n"/>
      <c r="B3697" s="64" t="inlineStr">
        <is>
          <t>33053</t>
        </is>
      </c>
      <c r="C3697" s="64">
        <f>LEFT(Tableau1[[#This Row],[Formacode]],3)</f>
        <v/>
      </c>
      <c r="D3697" s="65" t="n">
        <v>37851</v>
      </c>
      <c r="E3697" s="66">
        <f>"RNCP"&amp;D3697</f>
        <v/>
      </c>
      <c r="F3697" s="66" t="inlineStr">
        <is>
          <t>Manager des ressources humaines</t>
        </is>
      </c>
      <c r="G3697" s="67">
        <f>E3697&amp;" - "&amp;F3697</f>
        <v/>
      </c>
      <c r="H3697" s="38" t="inlineStr">
        <is>
          <t>Expiré / remplacé</t>
        </is>
      </c>
      <c r="I3697" s="63" t="inlineStr">
        <is>
          <t>Fiche inactive — remplacée par RNCP42638 (Manager des ressources humaines)</t>
        </is>
      </c>
      <c r="J3697" s="63" t="inlineStr">
        <is>
          <t>RNCP42638</t>
        </is>
      </c>
      <c r="K3697" s="63" t="inlineStr">
        <is>
          <t>Manager des ressources humaines</t>
        </is>
      </c>
      <c r="L3697" s="63" t="inlineStr">
        <is>
          <t>19/07/2026</t>
        </is>
      </c>
      <c r="M3697" s="63" t="inlineStr">
        <is>
          <t>33054 (Gestion ressources humaines) ; 44508 (Plan développement compétences)</t>
        </is>
      </c>
      <c r="N3697" s="68" t="inlineStr">
        <is>
          <t>NON</t>
        </is>
      </c>
      <c r="O3697" s="63" t="inlineStr"/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108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144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144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47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51" t="n"/>
      <c r="B3712" s="52" t="inlineStr">
        <is>
          <t>33070</t>
        </is>
      </c>
      <c r="C3712" s="52">
        <f>LEFT(Tableau1[[#This Row],[Formacode]],3)</f>
        <v/>
      </c>
      <c r="D3712" s="53" t="n">
        <v>36143</v>
      </c>
      <c r="E3712" s="54">
        <f>"RNCP"&amp;D3712</f>
        <v/>
      </c>
      <c r="F3712" s="54" t="inlineStr">
        <is>
          <t>Chargé des ressources humaines</t>
        </is>
      </c>
      <c r="G3712" s="55">
        <f>E3712&amp;" - "&amp;F3712</f>
        <v/>
      </c>
      <c r="H3712" s="37" t="inlineStr">
        <is>
          <t>À vérifier</t>
        </is>
      </c>
      <c r="I3712" s="51" t="inlineStr">
        <is>
          <t>Échéance le 26/01/2027 (dans 180 j)</t>
        </is>
      </c>
      <c r="J3712" s="51" t="inlineStr">
        <is>
          <t>RNCP36143</t>
        </is>
      </c>
      <c r="K3712" s="51" t="inlineStr">
        <is>
          <t>Chargé des ressources humaines</t>
        </is>
      </c>
      <c r="L3712" s="51" t="inlineStr">
        <is>
          <t>26/01/2027</t>
        </is>
      </c>
      <c r="M3712" s="51" t="inlineStr">
        <is>
          <t>33054 (Gestion ressources humaines)</t>
        </is>
      </c>
      <c r="N3712" s="56" t="inlineStr">
        <is>
          <t>OUI</t>
        </is>
      </c>
      <c r="O3712" s="41" t="inlineStr">
        <is>
          <t>Changement de statut : RAS → À vérifier</t>
        </is>
      </c>
    </row>
    <row r="3713" customFormat="1" s="3">
      <c r="A3713" s="63" t="n"/>
      <c r="B3713" s="64" t="inlineStr">
        <is>
          <t>33070</t>
        </is>
      </c>
      <c r="C3713" s="64">
        <f>LEFT(Tableau1[[#This Row],[Formacode]],3)</f>
        <v/>
      </c>
      <c r="D3713" s="65" t="n">
        <v>37851</v>
      </c>
      <c r="E3713" s="66">
        <f>"RNCP"&amp;D3713</f>
        <v/>
      </c>
      <c r="F3713" s="66" t="inlineStr">
        <is>
          <t>Manager des ressources humaines</t>
        </is>
      </c>
      <c r="G3713" s="67">
        <f>E3713&amp;" - "&amp;F3713</f>
        <v/>
      </c>
      <c r="H3713" s="38" t="inlineStr">
        <is>
          <t>Expiré / remplacé</t>
        </is>
      </c>
      <c r="I3713" s="63" t="inlineStr">
        <is>
          <t>Fiche inactive — remplacée par RNCP42638 (Manager des ressources humaines)</t>
        </is>
      </c>
      <c r="J3713" s="63" t="inlineStr">
        <is>
          <t>RNCP42638</t>
        </is>
      </c>
      <c r="K3713" s="63" t="inlineStr">
        <is>
          <t>Manager des ressources humaines</t>
        </is>
      </c>
      <c r="L3713" s="63" t="inlineStr">
        <is>
          <t>19/07/2026</t>
        </is>
      </c>
      <c r="M3713" s="63" t="inlineStr">
        <is>
          <t>33054 (Gestion ressources humaines) ; 44508 (Plan développement compétences)</t>
        </is>
      </c>
      <c r="N3713" s="68" t="inlineStr">
        <is>
          <t>NON</t>
        </is>
      </c>
      <c r="O3713" s="63" t="inlineStr"/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108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144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144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47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51" t="n"/>
      <c r="B3728" s="52" t="inlineStr">
        <is>
          <t>33072</t>
        </is>
      </c>
      <c r="C3728" s="52">
        <f>LEFT(Tableau1[[#This Row],[Formacode]],3)</f>
        <v/>
      </c>
      <c r="D3728" s="53" t="n">
        <v>36143</v>
      </c>
      <c r="E3728" s="54">
        <f>"RNCP"&amp;D3728</f>
        <v/>
      </c>
      <c r="F3728" s="54" t="inlineStr">
        <is>
          <t>Chargé des ressources humaines</t>
        </is>
      </c>
      <c r="G3728" s="55">
        <f>E3728&amp;" - "&amp;F3728</f>
        <v/>
      </c>
      <c r="H3728" s="37" t="inlineStr">
        <is>
          <t>À vérifier</t>
        </is>
      </c>
      <c r="I3728" s="51" t="inlineStr">
        <is>
          <t>Échéance le 26/01/2027 (dans 180 j)</t>
        </is>
      </c>
      <c r="J3728" s="51" t="inlineStr">
        <is>
          <t>RNCP36143</t>
        </is>
      </c>
      <c r="K3728" s="51" t="inlineStr">
        <is>
          <t>Chargé des ressources humaines</t>
        </is>
      </c>
      <c r="L3728" s="51" t="inlineStr">
        <is>
          <t>26/01/2027</t>
        </is>
      </c>
      <c r="M3728" s="51" t="inlineStr">
        <is>
          <t>33054 (Gestion ressources humaines)</t>
        </is>
      </c>
      <c r="N3728" s="56" t="inlineStr">
        <is>
          <t>OUI</t>
        </is>
      </c>
      <c r="O3728" s="41" t="inlineStr">
        <is>
          <t>Changement de statut : RAS → À vérifier</t>
        </is>
      </c>
    </row>
    <row r="3729" customFormat="1" s="3">
      <c r="A3729" s="63" t="n"/>
      <c r="B3729" s="64" t="inlineStr">
        <is>
          <t>33072</t>
        </is>
      </c>
      <c r="C3729" s="64">
        <f>LEFT(Tableau1[[#This Row],[Formacode]],3)</f>
        <v/>
      </c>
      <c r="D3729" s="65" t="n">
        <v>37851</v>
      </c>
      <c r="E3729" s="66">
        <f>"RNCP"&amp;D3729</f>
        <v/>
      </c>
      <c r="F3729" s="66" t="inlineStr">
        <is>
          <t>Manager des ressources humaines</t>
        </is>
      </c>
      <c r="G3729" s="67">
        <f>E3729&amp;" - "&amp;F3729</f>
        <v/>
      </c>
      <c r="H3729" s="38" t="inlineStr">
        <is>
          <t>Expiré / remplacé</t>
        </is>
      </c>
      <c r="I3729" s="63" t="inlineStr">
        <is>
          <t>Fiche inactive — remplacée par RNCP42638 (Manager des ressources humaines)</t>
        </is>
      </c>
      <c r="J3729" s="63" t="inlineStr">
        <is>
          <t>RNCP42638</t>
        </is>
      </c>
      <c r="K3729" s="63" t="inlineStr">
        <is>
          <t>Manager des ressources humaines</t>
        </is>
      </c>
      <c r="L3729" s="63" t="inlineStr">
        <is>
          <t>19/07/2026</t>
        </is>
      </c>
      <c r="M3729" s="63" t="inlineStr">
        <is>
          <t>33054 (Gestion ressources humaines) ; 44508 (Plan développement compétences)</t>
        </is>
      </c>
      <c r="N3729" s="68" t="inlineStr">
        <is>
          <t>NON</t>
        </is>
      </c>
      <c r="O3729" s="63" t="inlineStr"/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108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144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144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47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51" t="n"/>
      <c r="B3744" s="52" t="inlineStr">
        <is>
          <t>33086</t>
        </is>
      </c>
      <c r="C3744" s="52">
        <f>LEFT(Tableau1[[#This Row],[Formacode]],3)</f>
        <v/>
      </c>
      <c r="D3744" s="53" t="n">
        <v>36143</v>
      </c>
      <c r="E3744" s="54">
        <f>"RNCP"&amp;D3744</f>
        <v/>
      </c>
      <c r="F3744" s="54" t="inlineStr">
        <is>
          <t>Chargé des ressources humaines</t>
        </is>
      </c>
      <c r="G3744" s="55">
        <f>E3744&amp;" - "&amp;F3744</f>
        <v/>
      </c>
      <c r="H3744" s="37" t="inlineStr">
        <is>
          <t>À vérifier</t>
        </is>
      </c>
      <c r="I3744" s="51" t="inlineStr">
        <is>
          <t>Échéance le 26/01/2027 (dans 180 j)</t>
        </is>
      </c>
      <c r="J3744" s="51" t="inlineStr">
        <is>
          <t>RNCP36143</t>
        </is>
      </c>
      <c r="K3744" s="51" t="inlineStr">
        <is>
          <t>Chargé des ressources humaines</t>
        </is>
      </c>
      <c r="L3744" s="51" t="inlineStr">
        <is>
          <t>26/01/2027</t>
        </is>
      </c>
      <c r="M3744" s="51" t="inlineStr">
        <is>
          <t>33054 (Gestion ressources humaines)</t>
        </is>
      </c>
      <c r="N3744" s="56" t="inlineStr">
        <is>
          <t>OUI</t>
        </is>
      </c>
      <c r="O3744" s="41" t="inlineStr">
        <is>
          <t>Changement de statut : RAS → À vérifier</t>
        </is>
      </c>
    </row>
    <row r="3745" customFormat="1" s="3">
      <c r="A3745" s="63" t="n"/>
      <c r="B3745" s="64" t="inlineStr">
        <is>
          <t>33086</t>
        </is>
      </c>
      <c r="C3745" s="64">
        <f>LEFT(Tableau1[[#This Row],[Formacode]],3)</f>
        <v/>
      </c>
      <c r="D3745" s="65" t="n">
        <v>37851</v>
      </c>
      <c r="E3745" s="66">
        <f>"RNCP"&amp;D3745</f>
        <v/>
      </c>
      <c r="F3745" s="66" t="inlineStr">
        <is>
          <t>Manager des ressources humaines</t>
        </is>
      </c>
      <c r="G3745" s="67">
        <f>E3745&amp;" - "&amp;F3745</f>
        <v/>
      </c>
      <c r="H3745" s="38" t="inlineStr">
        <is>
          <t>Expiré / remplacé</t>
        </is>
      </c>
      <c r="I3745" s="63" t="inlineStr">
        <is>
          <t>Fiche inactive — remplacée par RNCP42638 (Manager des ressources humaines)</t>
        </is>
      </c>
      <c r="J3745" s="63" t="inlineStr">
        <is>
          <t>RNCP42638</t>
        </is>
      </c>
      <c r="K3745" s="63" t="inlineStr">
        <is>
          <t>Manager des ressources humaines</t>
        </is>
      </c>
      <c r="L3745" s="63" t="inlineStr">
        <is>
          <t>19/07/2026</t>
        </is>
      </c>
      <c r="M3745" s="63" t="inlineStr">
        <is>
          <t>33054 (Gestion ressources humaines) ; 44508 (Plan développement compétences)</t>
        </is>
      </c>
      <c r="N3745" s="68" t="inlineStr">
        <is>
          <t>NON</t>
        </is>
      </c>
      <c r="O3745" s="63" t="inlineStr"/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108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144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144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47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51" t="n"/>
      <c r="B3759" s="52" t="inlineStr">
        <is>
          <t>33091</t>
        </is>
      </c>
      <c r="C3759" s="52">
        <f>LEFT(Tableau1[[#This Row],[Formacode]],3)</f>
        <v/>
      </c>
      <c r="D3759" s="53" t="n">
        <v>36143</v>
      </c>
      <c r="E3759" s="54">
        <f>"RNCP"&amp;D3759</f>
        <v/>
      </c>
      <c r="F3759" s="54" t="inlineStr">
        <is>
          <t>Chargé des ressources humaines</t>
        </is>
      </c>
      <c r="G3759" s="55">
        <f>E3759&amp;" - "&amp;F3759</f>
        <v/>
      </c>
      <c r="H3759" s="37" t="inlineStr">
        <is>
          <t>À vérifier</t>
        </is>
      </c>
      <c r="I3759" s="51" t="inlineStr">
        <is>
          <t>Échéance le 26/01/2027 (dans 180 j)</t>
        </is>
      </c>
      <c r="J3759" s="51" t="inlineStr">
        <is>
          <t>RNCP36143</t>
        </is>
      </c>
      <c r="K3759" s="51" t="inlineStr">
        <is>
          <t>Chargé des ressources humaines</t>
        </is>
      </c>
      <c r="L3759" s="51" t="inlineStr">
        <is>
          <t>26/01/2027</t>
        </is>
      </c>
      <c r="M3759" s="51" t="inlineStr">
        <is>
          <t>33054 (Gestion ressources humaines)</t>
        </is>
      </c>
      <c r="N3759" s="56" t="inlineStr">
        <is>
          <t>OUI</t>
        </is>
      </c>
      <c r="O3759" s="41" t="inlineStr">
        <is>
          <t>Changement de statut : RAS → À vérifier</t>
        </is>
      </c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63" t="n"/>
      <c r="B3761" s="64" t="inlineStr">
        <is>
          <t>33091</t>
        </is>
      </c>
      <c r="C3761" s="64">
        <f>LEFT(Tableau1[[#This Row],[Formacode]],3)</f>
        <v/>
      </c>
      <c r="D3761" s="65" t="n">
        <v>37851</v>
      </c>
      <c r="E3761" s="66">
        <f>"RNCP"&amp;D3761</f>
        <v/>
      </c>
      <c r="F3761" s="66" t="inlineStr">
        <is>
          <t>Manager des ressources humaines</t>
        </is>
      </c>
      <c r="G3761" s="67">
        <f>E3761&amp;" - "&amp;F3761</f>
        <v/>
      </c>
      <c r="H3761" s="38" t="inlineStr">
        <is>
          <t>Expiré / remplacé</t>
        </is>
      </c>
      <c r="I3761" s="63" t="inlineStr">
        <is>
          <t>Fiche inactive — remplacée par RNCP42638 (Manager des ressources humaines)</t>
        </is>
      </c>
      <c r="J3761" s="63" t="inlineStr">
        <is>
          <t>RNCP42638</t>
        </is>
      </c>
      <c r="K3761" s="63" t="inlineStr">
        <is>
          <t>Manager des ressources humaines</t>
        </is>
      </c>
      <c r="L3761" s="63" t="inlineStr">
        <is>
          <t>19/07/2026</t>
        </is>
      </c>
      <c r="M3761" s="63" t="inlineStr">
        <is>
          <t>33054 (Gestion ressources humaines) ; 44508 (Plan développement compétences)</t>
        </is>
      </c>
      <c r="N3761" s="68" t="inlineStr">
        <is>
          <t>NON</t>
        </is>
      </c>
      <c r="O3761" s="63" t="inlineStr"/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108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144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144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47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51" t="n"/>
      <c r="B3780" s="52" t="inlineStr">
        <is>
          <t>33092</t>
        </is>
      </c>
      <c r="C3780" s="52">
        <f>LEFT(Tableau1[[#This Row],[Formacode]],3)</f>
        <v/>
      </c>
      <c r="D3780" s="53" t="n">
        <v>36143</v>
      </c>
      <c r="E3780" s="54">
        <f>"RNCP"&amp;D3780</f>
        <v/>
      </c>
      <c r="F3780" s="54" t="inlineStr">
        <is>
          <t>Chargé des ressources humaines</t>
        </is>
      </c>
      <c r="G3780" s="55">
        <f>E3780&amp;" - "&amp;F3780</f>
        <v/>
      </c>
      <c r="H3780" s="37" t="inlineStr">
        <is>
          <t>À vérifier</t>
        </is>
      </c>
      <c r="I3780" s="51" t="inlineStr">
        <is>
          <t>Échéance le 26/01/2027 (dans 180 j)</t>
        </is>
      </c>
      <c r="J3780" s="51" t="inlineStr">
        <is>
          <t>RNCP36143</t>
        </is>
      </c>
      <c r="K3780" s="51" t="inlineStr">
        <is>
          <t>Chargé des ressources humaines</t>
        </is>
      </c>
      <c r="L3780" s="51" t="inlineStr">
        <is>
          <t>26/01/2027</t>
        </is>
      </c>
      <c r="M3780" s="51" t="inlineStr">
        <is>
          <t>33054 (Gestion ressources humaines)</t>
        </is>
      </c>
      <c r="N3780" s="56" t="inlineStr">
        <is>
          <t>OUI</t>
        </is>
      </c>
      <c r="O3780" s="41" t="inlineStr">
        <is>
          <t>Changement de statut : RAS → À vérifier</t>
        </is>
      </c>
    </row>
    <row r="3781" customFormat="1" s="3">
      <c r="A3781" s="63" t="n"/>
      <c r="B3781" s="64" t="inlineStr">
        <is>
          <t>33092</t>
        </is>
      </c>
      <c r="C3781" s="64">
        <f>LEFT(Tableau1[[#This Row],[Formacode]],3)</f>
        <v/>
      </c>
      <c r="D3781" s="65" t="n">
        <v>37851</v>
      </c>
      <c r="E3781" s="66">
        <f>"RNCP"&amp;D3781</f>
        <v/>
      </c>
      <c r="F3781" s="66" t="inlineStr">
        <is>
          <t>Manager des ressources humaines</t>
        </is>
      </c>
      <c r="G3781" s="67">
        <f>E3781&amp;" - "&amp;F3781</f>
        <v/>
      </c>
      <c r="H3781" s="38" t="inlineStr">
        <is>
          <t>Expiré / remplacé</t>
        </is>
      </c>
      <c r="I3781" s="63" t="inlineStr">
        <is>
          <t>Fiche inactive — remplacée par RNCP42638 (Manager des ressources humaines)</t>
        </is>
      </c>
      <c r="J3781" s="63" t="inlineStr">
        <is>
          <t>RNCP42638</t>
        </is>
      </c>
      <c r="K3781" s="63" t="inlineStr">
        <is>
          <t>Manager des ressources humaines</t>
        </is>
      </c>
      <c r="L3781" s="63" t="inlineStr">
        <is>
          <t>19/07/2026</t>
        </is>
      </c>
      <c r="M3781" s="63" t="inlineStr">
        <is>
          <t>33054 (Gestion ressources humaines) ; 44508 (Plan développement compétences)</t>
        </is>
      </c>
      <c r="N3781" s="68" t="inlineStr">
        <is>
          <t>NON</t>
        </is>
      </c>
      <c r="O3781" s="63" t="inlineStr"/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108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144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144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32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63" t="n"/>
      <c r="B3810" s="64" t="inlineStr">
        <is>
          <t>34037</t>
        </is>
      </c>
      <c r="C3810" s="64">
        <f>LEFT(Tableau1[[#This Row],[Formacode]],3)</f>
        <v/>
      </c>
      <c r="D3810" s="65" t="n">
        <v>37849</v>
      </c>
      <c r="E3810" s="66">
        <f>"RNCP"&amp;D3810</f>
        <v/>
      </c>
      <c r="F3810" s="66" t="inlineStr">
        <is>
          <t>Responsable du développement commercial</t>
        </is>
      </c>
      <c r="G3810" s="67">
        <f>E3810&amp;" - "&amp;F3810</f>
        <v/>
      </c>
      <c r="H3810" s="38" t="inlineStr">
        <is>
          <t>Expiré / remplacé</t>
        </is>
      </c>
      <c r="I3810" s="63" t="inlineStr">
        <is>
          <t>Fiche inactive (échéance 19/07/2026) — aucun successeur publié</t>
        </is>
      </c>
      <c r="J3810" s="63" t="inlineStr">
        <is>
          <t>RNCP37849</t>
        </is>
      </c>
      <c r="K3810" s="63" t="inlineStr">
        <is>
          <t>Responsable du développement commercial</t>
        </is>
      </c>
      <c r="L3810" s="63" t="inlineStr">
        <is>
          <t>19/07/2026</t>
        </is>
      </c>
      <c r="M3810" s="63" t="inlineStr">
        <is>
          <t>34026 (Développement sens commercial) ; 34582 (Négociation commerciale)</t>
        </is>
      </c>
      <c r="N3810" s="68" t="inlineStr">
        <is>
          <t>NON</t>
        </is>
      </c>
      <c r="O3810" s="63" t="inlineStr"/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32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45" t="n"/>
      <c r="B3814" s="46" t="inlineStr">
        <is>
          <t>34037</t>
        </is>
      </c>
      <c r="C3814" s="46">
        <f>LEFT(Tableau1[[#This Row],[Formacode]],3)</f>
        <v/>
      </c>
      <c r="D3814" s="47" t="n">
        <v>38604</v>
      </c>
      <c r="E3814" s="48">
        <f>"RNCP"&amp;D3814</f>
        <v/>
      </c>
      <c r="F3814" s="48" t="inlineStr">
        <is>
          <t>Responsable d'activités commerciales</t>
        </is>
      </c>
      <c r="G3814" s="49">
        <f>E3814&amp;" - "&amp;F3814</f>
        <v/>
      </c>
      <c r="H3814" s="36" t="inlineStr">
        <is>
          <t>RAS</t>
        </is>
      </c>
      <c r="I3814" s="45" t="inlineStr"/>
      <c r="J3814" s="45" t="inlineStr">
        <is>
          <t>RNCP38604</t>
        </is>
      </c>
      <c r="K3814" s="45" t="inlineStr">
        <is>
          <t>Responsable d'activités commerciales</t>
        </is>
      </c>
      <c r="L3814" s="45" t="inlineStr">
        <is>
          <t>09/02/2027</t>
        </is>
      </c>
      <c r="M3814" s="45" t="inlineStr">
        <is>
          <t>34593 (Prospection vente) ; 34026 (Développement sens commercial)</t>
        </is>
      </c>
      <c r="N3814" s="50" t="inlineStr">
        <is>
          <t>NON</t>
        </is>
      </c>
      <c r="O3814" s="45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51" t="n"/>
      <c r="B3821" s="52" t="inlineStr">
        <is>
          <t>34052</t>
        </is>
      </c>
      <c r="C3821" s="52">
        <f>LEFT(Tableau1[[#This Row],[Formacode]],3)</f>
        <v/>
      </c>
      <c r="D3821" s="53" t="n">
        <v>36119</v>
      </c>
      <c r="E3821" s="54">
        <f>"RNCP"&amp;D3821</f>
        <v/>
      </c>
      <c r="F3821" s="54" t="inlineStr">
        <is>
          <t>Manager du marketing et de la transformation digitale</t>
        </is>
      </c>
      <c r="G3821" s="55">
        <f>E3821&amp;" - "&amp;F3821</f>
        <v/>
      </c>
      <c r="H3821" s="37" t="inlineStr">
        <is>
          <t>À vérifier</t>
        </is>
      </c>
      <c r="I3821" s="51" t="inlineStr">
        <is>
          <t>Échéance le 26/01/2027 (dans 180 j)</t>
        </is>
      </c>
      <c r="J3821" s="51" t="inlineStr">
        <is>
          <t>RNCP36119</t>
        </is>
      </c>
      <c r="K3821" s="51" t="inlineStr">
        <is>
          <t>Manager du marketing et de la transformation digitale</t>
        </is>
      </c>
      <c r="L3821" s="51" t="inlineStr">
        <is>
          <t>26/01/2027</t>
        </is>
      </c>
      <c r="M3821" s="51" t="inlineStr">
        <is>
          <t>34530 (E-commerce) ; 46347 (Stratégie communication numérique) ; 34093 (Marketing digital)</t>
        </is>
      </c>
      <c r="N3821" s="56" t="inlineStr">
        <is>
          <t>OUI</t>
        </is>
      </c>
      <c r="O3821" s="41" t="inlineStr">
        <is>
          <t>Changement de statut : RAS → À vérifier</t>
        </is>
      </c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63" t="n"/>
      <c r="B3828" s="64" t="inlineStr">
        <is>
          <t>34052</t>
        </is>
      </c>
      <c r="C3828" s="64">
        <f>LEFT(Tableau1[[#This Row],[Formacode]],3)</f>
        <v/>
      </c>
      <c r="D3828" s="65" t="n">
        <v>37776</v>
      </c>
      <c r="E3828" s="66">
        <f>"RNCP"&amp;D3828</f>
        <v/>
      </c>
      <c r="F3828" s="66" t="inlineStr">
        <is>
          <t>Manager du contenu - content manager</t>
        </is>
      </c>
      <c r="G3828" s="67">
        <f>E3828&amp;" - "&amp;F3828</f>
        <v/>
      </c>
      <c r="H3828" s="38" t="inlineStr">
        <is>
          <t>Expiré / remplacé</t>
        </is>
      </c>
      <c r="I3828" s="63" t="inlineStr">
        <is>
          <t>Fiche inactive — remplacée par RNCP41795 (Manager du contenu - Content manager)</t>
        </is>
      </c>
      <c r="J3828" s="63" t="inlineStr">
        <is>
          <t>RNCP41795</t>
        </is>
      </c>
      <c r="K3828" s="63" t="inlineStr">
        <is>
          <t>Manager du contenu - Content manager</t>
        </is>
      </c>
      <c r="L3828" s="63" t="inlineStr">
        <is>
          <t>19/07/2026</t>
        </is>
      </c>
      <c r="M3828" s="63" t="inlineStr">
        <is>
          <t>46301 (Communication entreprise) ; 46347 (Stratégie communication numérique)</t>
        </is>
      </c>
      <c r="N3828" s="68" t="inlineStr">
        <is>
          <t>NON</t>
        </is>
      </c>
      <c r="O3828" s="63" t="inlineStr"/>
    </row>
    <row r="3829" customFormat="1" s="3">
      <c r="A3829" s="63" t="n"/>
      <c r="B3829" s="64" t="inlineStr">
        <is>
          <t>34052</t>
        </is>
      </c>
      <c r="C3829" s="64">
        <f>LEFT(Tableau1[[#This Row],[Formacode]],3)</f>
        <v/>
      </c>
      <c r="D3829" s="65" t="n">
        <v>37786</v>
      </c>
      <c r="E3829" s="66">
        <f>"RNCP"&amp;D3829</f>
        <v/>
      </c>
      <c r="F3829" s="66" t="inlineStr">
        <is>
          <t>Chargé de marketing et communication</t>
        </is>
      </c>
      <c r="G3829" s="67">
        <f>E3829&amp;" - "&amp;F3829</f>
        <v/>
      </c>
      <c r="H3829" s="38" t="inlineStr">
        <is>
          <t>Expiré / remplacé</t>
        </is>
      </c>
      <c r="I3829" s="63" t="inlineStr">
        <is>
          <t>Fiche inactive — remplacée par RNCP41736 (Chargé de marketing et communication)</t>
        </is>
      </c>
      <c r="J3829" s="63" t="inlineStr">
        <is>
          <t>RNCP41736</t>
        </is>
      </c>
      <c r="K3829" s="63" t="inlineStr">
        <is>
          <t>Chargé de marketing et communication</t>
        </is>
      </c>
      <c r="L3829" s="63" t="inlineStr">
        <is>
          <t>19/07/2026</t>
        </is>
      </c>
      <c r="M3829" s="63" t="inlineStr">
        <is>
          <t>34093 (Marketing digital) ; 46301 (Communication entreprise) ; 34085 (Stratégie commerciale) ; 32135 (Conduite projet)</t>
        </is>
      </c>
      <c r="N3829" s="68" t="inlineStr">
        <is>
          <t>NON</t>
        </is>
      </c>
      <c r="O3829" s="63" t="inlineStr"/>
    </row>
    <row r="3830" customFormat="1" s="3">
      <c r="A3830" s="63" t="n"/>
      <c r="B3830" s="64" t="inlineStr">
        <is>
          <t>34052</t>
        </is>
      </c>
      <c r="C3830" s="64">
        <f>LEFT(Tableau1[[#This Row],[Formacode]],3)</f>
        <v/>
      </c>
      <c r="D3830" s="65" t="n">
        <v>37793</v>
      </c>
      <c r="E3830" s="66">
        <f>"RNCP"&amp;D3830</f>
        <v/>
      </c>
      <c r="F3830" s="66" t="inlineStr">
        <is>
          <t>Manager de la stratégie digitale</t>
        </is>
      </c>
      <c r="G3830" s="67">
        <f>E3830&amp;" - "&amp;F3830</f>
        <v/>
      </c>
      <c r="H3830" s="38" t="inlineStr">
        <is>
          <t>Expiré / remplacé</t>
        </is>
      </c>
      <c r="I3830" s="63" t="inlineStr">
        <is>
          <t>Fiche inactive — remplacée par RNCP42488 (Manager de la stratégie digitale)</t>
        </is>
      </c>
      <c r="J3830" s="63" t="inlineStr">
        <is>
          <t>RNCP42488</t>
        </is>
      </c>
      <c r="K3830" s="63" t="inlineStr">
        <is>
          <t>Manager de la stratégie digitale</t>
        </is>
      </c>
      <c r="L3830" s="63" t="inlineStr">
        <is>
          <t>19/07/2026</t>
        </is>
      </c>
      <c r="M3830" s="63" t="inlineStr">
        <is>
          <t>34093 (Marketing digital) ; 32066 (Transition numérique) ; 46347 (Stratégie communication numérique) ; 34057 (Marketing stratégique)</t>
        </is>
      </c>
      <c r="N3830" s="68" t="inlineStr">
        <is>
          <t>NON</t>
        </is>
      </c>
      <c r="O3830" s="63" t="inlineStr"/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32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52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52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80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45" t="n"/>
      <c r="B3837" s="46" t="inlineStr">
        <is>
          <t>34052</t>
        </is>
      </c>
      <c r="C3837" s="46">
        <f>LEFT(Tableau1[[#This Row],[Formacode]],3)</f>
        <v/>
      </c>
      <c r="D3837" s="47" t="n">
        <v>38586</v>
      </c>
      <c r="E3837" s="48">
        <f>"RNCP"&amp;D3837</f>
        <v/>
      </c>
      <c r="F3837" s="48" t="inlineStr">
        <is>
          <t>Manager de la stratégie marketing</t>
        </is>
      </c>
      <c r="G3837" s="49">
        <f>E3837&amp;" - "&amp;F3837</f>
        <v/>
      </c>
      <c r="H3837" s="36" t="inlineStr">
        <is>
          <t>RAS</t>
        </is>
      </c>
      <c r="I3837" s="45" t="inlineStr"/>
      <c r="J3837" s="45" t="inlineStr">
        <is>
          <t>RNCP38586</t>
        </is>
      </c>
      <c r="K3837" s="45" t="inlineStr">
        <is>
          <t>Manager de la stratégie marketing</t>
        </is>
      </c>
      <c r="L3837" s="45" t="inlineStr">
        <is>
          <t>09/02/2027</t>
        </is>
      </c>
      <c r="M3837" s="45" t="inlineStr">
        <is>
          <t>34093 (Marketing digital) ; 34057 (Marketing stratégique) ; 46359 (Réseau social)</t>
        </is>
      </c>
      <c r="N3837" s="50" t="inlineStr">
        <is>
          <t>NON</t>
        </is>
      </c>
      <c r="O3837" s="45" t="inlineStr"/>
    </row>
    <row r="3838" customFormat="1" s="3">
      <c r="A3838" s="45" t="n"/>
      <c r="B3838" s="46" t="inlineStr">
        <is>
          <t>34052</t>
        </is>
      </c>
      <c r="C3838" s="46">
        <f>LEFT(Tableau1[[#This Row],[Formacode]],3)</f>
        <v/>
      </c>
      <c r="D3838" s="47" t="n">
        <v>38597</v>
      </c>
      <c r="E3838" s="48">
        <f>"RNCP"&amp;D3838</f>
        <v/>
      </c>
      <c r="F3838" s="48" t="inlineStr">
        <is>
          <t>Manager du marketing et de la stratégie de marque</t>
        </is>
      </c>
      <c r="G3838" s="49">
        <f>E3838&amp;" - "&amp;F3838</f>
        <v/>
      </c>
      <c r="H3838" s="36" t="inlineStr">
        <is>
          <t>RAS</t>
        </is>
      </c>
      <c r="I3838" s="45" t="inlineStr"/>
      <c r="J3838" s="45" t="inlineStr">
        <is>
          <t>RNCP38597</t>
        </is>
      </c>
      <c r="K3838" s="45" t="inlineStr">
        <is>
          <t>Manager du marketing et de la stratégie de marque</t>
        </is>
      </c>
      <c r="L3838" s="45" t="inlineStr">
        <is>
          <t>09/02/2027</t>
        </is>
      </c>
      <c r="M3838" s="45" t="inlineStr">
        <is>
          <t>34059 (Gestion marque) ; 34260 (Marketing international)</t>
        </is>
      </c>
      <c r="N3838" s="50" t="inlineStr">
        <is>
          <t>NON</t>
        </is>
      </c>
      <c r="O3838" s="45" t="inlineStr"/>
    </row>
    <row r="3839" customFormat="1" s="3">
      <c r="A3839" s="45" t="n"/>
      <c r="B3839" s="46" t="inlineStr">
        <is>
          <t>34052</t>
        </is>
      </c>
      <c r="C3839" s="46">
        <f>LEFT(Tableau1[[#This Row],[Formacode]],3)</f>
        <v/>
      </c>
      <c r="D3839" s="47" t="n">
        <v>38598</v>
      </c>
      <c r="E3839" s="48">
        <f>"RNCP"&amp;D3839</f>
        <v/>
      </c>
      <c r="F3839" s="48" t="inlineStr">
        <is>
          <t>Manager du marketing de l'expérience client</t>
        </is>
      </c>
      <c r="G3839" s="49">
        <f>E3839&amp;" - "&amp;F3839</f>
        <v/>
      </c>
      <c r="H3839" s="36" t="inlineStr">
        <is>
          <t>RAS</t>
        </is>
      </c>
      <c r="I3839" s="45" t="inlineStr"/>
      <c r="J3839" s="45" t="inlineStr">
        <is>
          <t>RNCP38598</t>
        </is>
      </c>
      <c r="K3839" s="45" t="inlineStr">
        <is>
          <t>Manager du marketing de l'expérience client</t>
        </is>
      </c>
      <c r="L3839" s="45" t="inlineStr">
        <is>
          <t>09/02/2027</t>
        </is>
      </c>
      <c r="M3839" s="45" t="inlineStr">
        <is>
          <t>34260 (Marketing international) ; 34057 (Marketing stratégique) ; 34076 (Gestion relation client)</t>
        </is>
      </c>
      <c r="N3839" s="50" t="inlineStr">
        <is>
          <t>NON</t>
        </is>
      </c>
      <c r="O3839" s="45" t="inlineStr"/>
    </row>
    <row r="3840" customFormat="1" s="3">
      <c r="A3840" s="45" t="n"/>
      <c r="B3840" s="46" t="inlineStr">
        <is>
          <t>34052</t>
        </is>
      </c>
      <c r="C3840" s="46">
        <f>LEFT(Tableau1[[#This Row],[Formacode]],3)</f>
        <v/>
      </c>
      <c r="D3840" s="47" t="n">
        <v>38605</v>
      </c>
      <c r="E3840" s="48">
        <f>"RNCP"&amp;D3840</f>
        <v/>
      </c>
      <c r="F3840" s="48" t="inlineStr">
        <is>
          <t>Responsable de projet marketing communication</t>
        </is>
      </c>
      <c r="G3840" s="49">
        <f>E3840&amp;" - "&amp;F3840</f>
        <v/>
      </c>
      <c r="H3840" s="36" t="inlineStr">
        <is>
          <t>RAS</t>
        </is>
      </c>
      <c r="I3840" s="45" t="inlineStr"/>
      <c r="J3840" s="45" t="inlineStr">
        <is>
          <t>RNCP38605</t>
        </is>
      </c>
      <c r="K3840" s="45" t="inlineStr">
        <is>
          <t>Responsable de projet marketing communication</t>
        </is>
      </c>
      <c r="L3840" s="45" t="inlineStr">
        <is>
          <t>09/02/2027</t>
        </is>
      </c>
      <c r="M3840" s="45" t="inlineStr">
        <is>
          <t>34093 (Marketing digital) ; 46301 (Communication entreprise)</t>
        </is>
      </c>
      <c r="N3840" s="50" t="inlineStr">
        <is>
          <t>NON</t>
        </is>
      </c>
      <c r="O3840" s="45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32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63" t="n"/>
      <c r="B3876" s="64" t="inlineStr">
        <is>
          <t>34074</t>
        </is>
      </c>
      <c r="C3876" s="64">
        <f>LEFT(Tableau1[[#This Row],[Formacode]],3)</f>
        <v/>
      </c>
      <c r="D3876" s="65" t="n">
        <v>37775</v>
      </c>
      <c r="E3876" s="66">
        <f>"RNCP"&amp;D3876</f>
        <v/>
      </c>
      <c r="F3876" s="66" t="inlineStr">
        <is>
          <t>Manager de la communication de marque</t>
        </is>
      </c>
      <c r="G3876" s="67">
        <f>E3876&amp;" - "&amp;F3876</f>
        <v/>
      </c>
      <c r="H3876" s="38" t="inlineStr">
        <is>
          <t>Expiré / remplacé</t>
        </is>
      </c>
      <c r="I3876" s="63" t="inlineStr">
        <is>
          <t>Fiche inactive — remplacée par RNCP42485 (Manager de la communication de marque)</t>
        </is>
      </c>
      <c r="J3876" s="63" t="inlineStr">
        <is>
          <t>RNCP42485</t>
        </is>
      </c>
      <c r="K3876" s="63" t="inlineStr">
        <is>
          <t>Manager de la communication de marque</t>
        </is>
      </c>
      <c r="L3876" s="63" t="inlineStr">
        <is>
          <t>19/07/2026</t>
        </is>
      </c>
      <c r="M3876" s="63" t="inlineStr">
        <is>
          <t>34074 (Publicité) ; 46302 (Gestion entreprise communication information)</t>
        </is>
      </c>
      <c r="N3876" s="68" t="inlineStr">
        <is>
          <t>NON</t>
        </is>
      </c>
      <c r="O3876" s="63" t="inlineStr"/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32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32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45" t="n"/>
      <c r="B3889" s="46" t="inlineStr">
        <is>
          <t>34076</t>
        </is>
      </c>
      <c r="C3889" s="46">
        <f>LEFT(Tableau1[[#This Row],[Formacode]],3)</f>
        <v/>
      </c>
      <c r="D3889" s="47" t="n">
        <v>38583</v>
      </c>
      <c r="E3889" s="48">
        <f>"RNCP"&amp;D3889</f>
        <v/>
      </c>
      <c r="F3889" s="48" t="inlineStr">
        <is>
          <t>Manager du développement commercial</t>
        </is>
      </c>
      <c r="G3889" s="49">
        <f>E3889&amp;" - "&amp;F3889</f>
        <v/>
      </c>
      <c r="H3889" s="36" t="inlineStr">
        <is>
          <t>RAS</t>
        </is>
      </c>
      <c r="I3889" s="45" t="inlineStr"/>
      <c r="J3889" s="45" t="inlineStr">
        <is>
          <t>RNCP38583</t>
        </is>
      </c>
      <c r="K3889" s="45" t="inlineStr">
        <is>
          <t>Manager du développement commercial</t>
        </is>
      </c>
      <c r="L3889" s="45" t="inlineStr">
        <is>
          <t>09/02/2027</t>
        </is>
      </c>
      <c r="M3889" s="45" t="inlineStr">
        <is>
          <t>34085 (Stratégie commerciale) ; 34554 (Commerce) ; 34076 (Gestion relation client)</t>
        </is>
      </c>
      <c r="N3889" s="50" t="inlineStr">
        <is>
          <t>NON</t>
        </is>
      </c>
      <c r="O3889" s="45" t="inlineStr"/>
    </row>
    <row r="3890" customFormat="1" s="3">
      <c r="A3890" s="45" t="n"/>
      <c r="B3890" s="46" t="inlineStr">
        <is>
          <t>34076</t>
        </is>
      </c>
      <c r="C3890" s="46">
        <f>LEFT(Tableau1[[#This Row],[Formacode]],3)</f>
        <v/>
      </c>
      <c r="D3890" s="47" t="n">
        <v>38598</v>
      </c>
      <c r="E3890" s="48">
        <f>"RNCP"&amp;D3890</f>
        <v/>
      </c>
      <c r="F3890" s="48" t="inlineStr">
        <is>
          <t>Manager du marketing de l'expérience client</t>
        </is>
      </c>
      <c r="G3890" s="49">
        <f>E3890&amp;" - "&amp;F3890</f>
        <v/>
      </c>
      <c r="H3890" s="36" t="inlineStr">
        <is>
          <t>RAS</t>
        </is>
      </c>
      <c r="I3890" s="45" t="inlineStr"/>
      <c r="J3890" s="45" t="inlineStr">
        <is>
          <t>RNCP38598</t>
        </is>
      </c>
      <c r="K3890" s="45" t="inlineStr">
        <is>
          <t>Manager du marketing de l'expérience client</t>
        </is>
      </c>
      <c r="L3890" s="45" t="inlineStr">
        <is>
          <t>09/02/2027</t>
        </is>
      </c>
      <c r="M3890" s="45" t="inlineStr">
        <is>
          <t>34260 (Marketing international) ; 34057 (Marketing stratégique) ; 34076 (Gestion relation client)</t>
        </is>
      </c>
      <c r="N3890" s="50" t="inlineStr">
        <is>
          <t>NON</t>
        </is>
      </c>
      <c r="O3890" s="45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32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63" t="n"/>
      <c r="B3906" s="64" t="inlineStr">
        <is>
          <t>34085</t>
        </is>
      </c>
      <c r="C3906" s="64">
        <f>LEFT(Tableau1[[#This Row],[Formacode]],3)</f>
        <v/>
      </c>
      <c r="D3906" s="65" t="n">
        <v>37786</v>
      </c>
      <c r="E3906" s="66">
        <f>"RNCP"&amp;D3906</f>
        <v/>
      </c>
      <c r="F3906" s="66" t="inlineStr">
        <is>
          <t>Chargé de marketing et communication</t>
        </is>
      </c>
      <c r="G3906" s="67">
        <f>E3906&amp;" - "&amp;F3906</f>
        <v/>
      </c>
      <c r="H3906" s="38" t="inlineStr">
        <is>
          <t>Expiré / remplacé</t>
        </is>
      </c>
      <c r="I3906" s="63" t="inlineStr">
        <is>
          <t>Fiche inactive — remplacée par RNCP41736 (Chargé de marketing et communication)</t>
        </is>
      </c>
      <c r="J3906" s="63" t="inlineStr">
        <is>
          <t>RNCP41736</t>
        </is>
      </c>
      <c r="K3906" s="63" t="inlineStr">
        <is>
          <t>Chargé de marketing et communication</t>
        </is>
      </c>
      <c r="L3906" s="63" t="inlineStr">
        <is>
          <t>19/07/2026</t>
        </is>
      </c>
      <c r="M3906" s="63" t="inlineStr">
        <is>
          <t>34093 (Marketing digital) ; 46301 (Communication entreprise) ; 34085 (Stratégie commerciale) ; 32135 (Conduite projet)</t>
        </is>
      </c>
      <c r="N3906" s="68" t="inlineStr">
        <is>
          <t>NON</t>
        </is>
      </c>
      <c r="O3906" s="63" t="inlineStr"/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32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52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80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80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80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144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45" t="n"/>
      <c r="B3914" s="46" t="inlineStr">
        <is>
          <t>34085</t>
        </is>
      </c>
      <c r="C3914" s="46">
        <f>LEFT(Tableau1[[#This Row],[Formacode]],3)</f>
        <v/>
      </c>
      <c r="D3914" s="47" t="n">
        <v>38583</v>
      </c>
      <c r="E3914" s="48">
        <f>"RNCP"&amp;D3914</f>
        <v/>
      </c>
      <c r="F3914" s="48" t="inlineStr">
        <is>
          <t>Manager du développement commercial</t>
        </is>
      </c>
      <c r="G3914" s="49">
        <f>E3914&amp;" - "&amp;F3914</f>
        <v/>
      </c>
      <c r="H3914" s="36" t="inlineStr">
        <is>
          <t>RAS</t>
        </is>
      </c>
      <c r="I3914" s="45" t="inlineStr"/>
      <c r="J3914" s="45" t="inlineStr">
        <is>
          <t>RNCP38583</t>
        </is>
      </c>
      <c r="K3914" s="45" t="inlineStr">
        <is>
          <t>Manager du développement commercial</t>
        </is>
      </c>
      <c r="L3914" s="45" t="inlineStr">
        <is>
          <t>09/02/2027</t>
        </is>
      </c>
      <c r="M3914" s="45" t="inlineStr">
        <is>
          <t>34085 (Stratégie commerciale) ; 34554 (Commerce) ; 34076 (Gestion relation client)</t>
        </is>
      </c>
      <c r="N3914" s="50" t="inlineStr">
        <is>
          <t>NON</t>
        </is>
      </c>
      <c r="O3914" s="45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32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32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32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32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32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32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45" t="n"/>
      <c r="B3954" s="46" t="inlineStr">
        <is>
          <t>34240</t>
        </is>
      </c>
      <c r="C3954" s="46">
        <f>LEFT(Tableau1[[#This Row],[Formacode]],3)</f>
        <v/>
      </c>
      <c r="D3954" s="47" t="n">
        <v>38597</v>
      </c>
      <c r="E3954" s="48">
        <f>"RNCP"&amp;D3954</f>
        <v/>
      </c>
      <c r="F3954" s="48" t="inlineStr">
        <is>
          <t>Manager du marketing et de la stratégie de marque</t>
        </is>
      </c>
      <c r="G3954" s="49">
        <f>E3954&amp;" - "&amp;F3954</f>
        <v/>
      </c>
      <c r="H3954" s="36" t="inlineStr">
        <is>
          <t>RAS</t>
        </is>
      </c>
      <c r="I3954" s="45" t="inlineStr"/>
      <c r="J3954" s="45" t="inlineStr">
        <is>
          <t>RNCP38597</t>
        </is>
      </c>
      <c r="K3954" s="45" t="inlineStr">
        <is>
          <t>Manager du marketing et de la stratégie de marque</t>
        </is>
      </c>
      <c r="L3954" s="45" t="inlineStr">
        <is>
          <t>09/02/2027</t>
        </is>
      </c>
      <c r="M3954" s="45" t="inlineStr">
        <is>
          <t>34059 (Gestion marque) ; 34260 (Marketing international)</t>
        </is>
      </c>
      <c r="N3954" s="50" t="inlineStr">
        <is>
          <t>NON</t>
        </is>
      </c>
      <c r="O3954" s="45" t="inlineStr"/>
    </row>
    <row r="3955" customFormat="1" s="3">
      <c r="A3955" s="45" t="n"/>
      <c r="B3955" s="46" t="inlineStr">
        <is>
          <t>34240</t>
        </is>
      </c>
      <c r="C3955" s="46">
        <f>LEFT(Tableau1[[#This Row],[Formacode]],3)</f>
        <v/>
      </c>
      <c r="D3955" s="47" t="n">
        <v>38598</v>
      </c>
      <c r="E3955" s="48">
        <f>"RNCP"&amp;D3955</f>
        <v/>
      </c>
      <c r="F3955" s="48" t="inlineStr">
        <is>
          <t>Manager du marketing de l'expérience client</t>
        </is>
      </c>
      <c r="G3955" s="49">
        <f>E3955&amp;" - "&amp;F3955</f>
        <v/>
      </c>
      <c r="H3955" s="36" t="inlineStr">
        <is>
          <t>RAS</t>
        </is>
      </c>
      <c r="I3955" s="45" t="inlineStr"/>
      <c r="J3955" s="45" t="inlineStr">
        <is>
          <t>RNCP38598</t>
        </is>
      </c>
      <c r="K3955" s="45" t="inlineStr">
        <is>
          <t>Manager du marketing de l'expérience client</t>
        </is>
      </c>
      <c r="L3955" s="45" t="inlineStr">
        <is>
          <t>09/02/2027</t>
        </is>
      </c>
      <c r="M3955" s="45" t="inlineStr">
        <is>
          <t>34260 (Marketing international) ; 34057 (Marketing stratégique) ; 34076 (Gestion relation client)</t>
        </is>
      </c>
      <c r="N3955" s="50" t="inlineStr">
        <is>
          <t>NON</t>
        </is>
      </c>
      <c r="O3955" s="45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32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32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32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32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32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32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33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Successeur déjà publié : RNCP42644 (Sommelier conseil caviste) — préparer la bascule de l'offre CPF | Échéance le 15/09/2026 (dans 47 j)</t>
        </is>
      </c>
      <c r="J4002" s="51" t="inlineStr">
        <is>
          <t>RNCP42644</t>
        </is>
      </c>
      <c r="K4002" s="51" t="inlineStr">
        <is>
          <t>Sommelier conseil caviste</t>
        </is>
      </c>
      <c r="L4002" s="51" t="inlineStr">
        <is>
          <t>15/09/2026</t>
        </is>
      </c>
      <c r="M4002" s="51" t="inlineStr">
        <is>
          <t>42739 (Sommellerie) ; 34513 (Vente vin spiritueux) ; 21540 (Commercialisation vin spiritueux) ; 21511 (Dégustation vin)</t>
        </is>
      </c>
      <c r="N4002" s="62" t="inlineStr">
        <is>
          <t>NON</t>
        </is>
      </c>
      <c r="O4002" s="51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51" t="n"/>
      <c r="B4005" s="52" t="inlineStr">
        <is>
          <t>34566</t>
        </is>
      </c>
      <c r="C4005" s="52">
        <f>LEFT(Tableau1[[#This Row],[Formacode]],3)</f>
        <v/>
      </c>
      <c r="D4005" s="53" t="n">
        <v>36119</v>
      </c>
      <c r="E4005" s="54">
        <f>"RNCP"&amp;D4005</f>
        <v/>
      </c>
      <c r="F4005" s="54" t="inlineStr">
        <is>
          <t>Manager du marketing et de la transformation digitale</t>
        </is>
      </c>
      <c r="G4005" s="55">
        <f>E4005&amp;" - "&amp;F4005</f>
        <v/>
      </c>
      <c r="H4005" s="37" t="inlineStr">
        <is>
          <t>À vérifier</t>
        </is>
      </c>
      <c r="I4005" s="51" t="inlineStr">
        <is>
          <t>Échéance le 26/01/2027 (dans 180 j)</t>
        </is>
      </c>
      <c r="J4005" s="51" t="inlineStr">
        <is>
          <t>RNCP36119</t>
        </is>
      </c>
      <c r="K4005" s="51" t="inlineStr">
        <is>
          <t>Manager du marketing et de la transformation digitale</t>
        </is>
      </c>
      <c r="L4005" s="51" t="inlineStr">
        <is>
          <t>26/01/2027</t>
        </is>
      </c>
      <c r="M4005" s="51" t="inlineStr">
        <is>
          <t>34530 (E-commerce) ; 46347 (Stratégie communication numérique) ; 34093 (Marketing digital)</t>
        </is>
      </c>
      <c r="N4005" s="56" t="inlineStr">
        <is>
          <t>OUI</t>
        </is>
      </c>
      <c r="O4005" s="41" t="inlineStr">
        <is>
          <t>Changement de statut : RAS → À vérifier</t>
        </is>
      </c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32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32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63" t="n"/>
      <c r="B4019" s="64" t="inlineStr">
        <is>
          <t>34566</t>
        </is>
      </c>
      <c r="C4019" s="64">
        <f>LEFT(Tableau1[[#This Row],[Formacode]],3)</f>
        <v/>
      </c>
      <c r="D4019" s="65" t="n">
        <v>37787</v>
      </c>
      <c r="E4019" s="66">
        <f>"RNCP"&amp;D4019</f>
        <v/>
      </c>
      <c r="F4019" s="66" t="inlineStr">
        <is>
          <t>Responsable commerce retail</t>
        </is>
      </c>
      <c r="G4019" s="67">
        <f>E4019&amp;" - "&amp;F4019</f>
        <v/>
      </c>
      <c r="H4019" s="38" t="inlineStr">
        <is>
          <t>Expiré / remplacé</t>
        </is>
      </c>
      <c r="I4019" s="63" t="inlineStr">
        <is>
          <t>Fiche inactive — remplacée par RNCP41712 (Responsable commerce retail)</t>
        </is>
      </c>
      <c r="J4019" s="63" t="inlineStr">
        <is>
          <t>RNCP41712</t>
        </is>
      </c>
      <c r="K4019" s="63" t="inlineStr">
        <is>
          <t>Responsable commerce retail</t>
        </is>
      </c>
      <c r="L4019" s="63" t="inlineStr">
        <is>
          <t>19/07/2026</t>
        </is>
      </c>
      <c r="M4019" s="63" t="inlineStr">
        <is>
          <t>34037 (Satisfaction client) ; 34559 (Gestion rayon) ; 34587 (Grande distribution) ; 34588 (Gestion point vente)</t>
        </is>
      </c>
      <c r="N4019" s="68" t="inlineStr">
        <is>
          <t>NON</t>
        </is>
      </c>
      <c r="O4019" s="63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52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80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108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108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45" t="n"/>
      <c r="B4031" s="46" t="inlineStr">
        <is>
          <t>34566</t>
        </is>
      </c>
      <c r="C4031" s="46">
        <f>LEFT(Tableau1[[#This Row],[Formacode]],3)</f>
        <v/>
      </c>
      <c r="D4031" s="47" t="n">
        <v>38583</v>
      </c>
      <c r="E4031" s="48">
        <f>"RNCP"&amp;D4031</f>
        <v/>
      </c>
      <c r="F4031" s="48" t="inlineStr">
        <is>
          <t>Manager du développement commercial</t>
        </is>
      </c>
      <c r="G4031" s="49">
        <f>E4031&amp;" - "&amp;F4031</f>
        <v/>
      </c>
      <c r="H4031" s="36" t="inlineStr">
        <is>
          <t>RAS</t>
        </is>
      </c>
      <c r="I4031" s="45" t="inlineStr"/>
      <c r="J4031" s="45" t="inlineStr">
        <is>
          <t>RNCP38583</t>
        </is>
      </c>
      <c r="K4031" s="45" t="inlineStr">
        <is>
          <t>Manager du développement commercial</t>
        </is>
      </c>
      <c r="L4031" s="45" t="inlineStr">
        <is>
          <t>09/02/2027</t>
        </is>
      </c>
      <c r="M4031" s="45" t="inlineStr">
        <is>
          <t>34085 (Stratégie commerciale) ; 34554 (Commerce) ; 34076 (Gestion relation client)</t>
        </is>
      </c>
      <c r="N4031" s="50" t="inlineStr">
        <is>
          <t>NON</t>
        </is>
      </c>
      <c r="O4031" s="45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63" t="n"/>
      <c r="B4041" s="64" t="inlineStr">
        <is>
          <t>34566</t>
        </is>
      </c>
      <c r="C4041" s="64">
        <f>LEFT(Tableau1[[#This Row],[Formacode]],3)</f>
        <v/>
      </c>
      <c r="D4041" s="65" t="n">
        <v>39395</v>
      </c>
      <c r="E4041" s="66">
        <f>"RNCP"&amp;D4041</f>
        <v/>
      </c>
      <c r="F4041" s="66" t="inlineStr">
        <is>
          <t>Responsable d'agence et de commerce</t>
        </is>
      </c>
      <c r="G4041" s="67">
        <f>E4041&amp;" - "&amp;F4041</f>
        <v/>
      </c>
      <c r="H4041" s="38" t="inlineStr">
        <is>
          <t>Expiré / remplacé</t>
        </is>
      </c>
      <c r="I4041" s="63" t="inlineStr">
        <is>
          <t>Fiche inactive — remplacée par RNCP42475 (Responsable d'agence et de commerce)</t>
        </is>
      </c>
      <c r="J4041" s="63" t="inlineStr">
        <is>
          <t>RNCP42475</t>
        </is>
      </c>
      <c r="K4041" s="63" t="inlineStr">
        <is>
          <t>Responsable d'agence et de commerce</t>
        </is>
      </c>
      <c r="L4041" s="63" t="inlineStr">
        <is>
          <t>19/07/2026</t>
        </is>
      </c>
      <c r="M4041" s="63" t="inlineStr">
        <is>
          <t>34554 (Commerce) ; 32154 (Encadrement management) ; 32079 (Gestion performance)</t>
        </is>
      </c>
      <c r="N4041" s="68" t="inlineStr">
        <is>
          <t>NON</t>
        </is>
      </c>
      <c r="O4041" s="63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32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32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32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63" t="n"/>
      <c r="B4064" s="64" t="inlineStr">
        <is>
          <t>34573</t>
        </is>
      </c>
      <c r="C4064" s="64">
        <f>LEFT(Tableau1[[#This Row],[Formacode]],3)</f>
        <v/>
      </c>
      <c r="D4064" s="65" t="n">
        <v>37787</v>
      </c>
      <c r="E4064" s="66">
        <f>"RNCP"&amp;D4064</f>
        <v/>
      </c>
      <c r="F4064" s="66" t="inlineStr">
        <is>
          <t>Responsable commerce retail</t>
        </is>
      </c>
      <c r="G4064" s="67">
        <f>E4064&amp;" - "&amp;F4064</f>
        <v/>
      </c>
      <c r="H4064" s="38" t="inlineStr">
        <is>
          <t>Expiré / remplacé</t>
        </is>
      </c>
      <c r="I4064" s="63" t="inlineStr">
        <is>
          <t>Fiche inactive — remplacée par RNCP41712 (Responsable commerce retail)</t>
        </is>
      </c>
      <c r="J4064" s="63" t="inlineStr">
        <is>
          <t>RNCP41712</t>
        </is>
      </c>
      <c r="K4064" s="63" t="inlineStr">
        <is>
          <t>Responsable commerce retail</t>
        </is>
      </c>
      <c r="L4064" s="63" t="inlineStr">
        <is>
          <t>19/07/2026</t>
        </is>
      </c>
      <c r="M4064" s="63" t="inlineStr">
        <is>
          <t>34037 (Satisfaction client) ; 34559 (Gestion rayon) ; 34587 (Grande distribution) ; 34588 (Gestion point vente)</t>
        </is>
      </c>
      <c r="N4064" s="68" t="inlineStr">
        <is>
          <t>NON</t>
        </is>
      </c>
      <c r="O4064" s="63" t="inlineStr"/>
    </row>
    <row r="4065" customFormat="1" s="3">
      <c r="A4065" s="63" t="n"/>
      <c r="B4065" s="64" t="inlineStr">
        <is>
          <t>34573</t>
        </is>
      </c>
      <c r="C4065" s="64">
        <f>LEFT(Tableau1[[#This Row],[Formacode]],3)</f>
        <v/>
      </c>
      <c r="D4065" s="65" t="n">
        <v>37849</v>
      </c>
      <c r="E4065" s="66">
        <f>"RNCP"&amp;D4065</f>
        <v/>
      </c>
      <c r="F4065" s="66" t="inlineStr">
        <is>
          <t>Responsable du développement commercial</t>
        </is>
      </c>
      <c r="G4065" s="67">
        <f>E4065&amp;" - "&amp;F4065</f>
        <v/>
      </c>
      <c r="H4065" s="38" t="inlineStr">
        <is>
          <t>Expiré / remplacé</t>
        </is>
      </c>
      <c r="I4065" s="63" t="inlineStr">
        <is>
          <t>Fiche inactive (échéance 19/07/2026) — aucun successeur publié</t>
        </is>
      </c>
      <c r="J4065" s="63" t="inlineStr">
        <is>
          <t>RNCP37849</t>
        </is>
      </c>
      <c r="K4065" s="63" t="inlineStr">
        <is>
          <t>Responsable du développement commercial</t>
        </is>
      </c>
      <c r="L4065" s="63" t="inlineStr">
        <is>
          <t>19/07/2026</t>
        </is>
      </c>
      <c r="M4065" s="63" t="inlineStr">
        <is>
          <t>34026 (Développement sens commercial) ; 34582 (Négociation commerciale)</t>
        </is>
      </c>
      <c r="N4065" s="68" t="inlineStr">
        <is>
          <t>NON</t>
        </is>
      </c>
      <c r="O4065" s="63" t="inlineStr"/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80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80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144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45" t="n"/>
      <c r="B4072" s="46" t="inlineStr">
        <is>
          <t>34573</t>
        </is>
      </c>
      <c r="C4072" s="46">
        <f>LEFT(Tableau1[[#This Row],[Formacode]],3)</f>
        <v/>
      </c>
      <c r="D4072" s="47" t="n">
        <v>38583</v>
      </c>
      <c r="E4072" s="48">
        <f>"RNCP"&amp;D4072</f>
        <v/>
      </c>
      <c r="F4072" s="48" t="inlineStr">
        <is>
          <t>Manager du développement commercial</t>
        </is>
      </c>
      <c r="G4072" s="49">
        <f>E4072&amp;" - "&amp;F4072</f>
        <v/>
      </c>
      <c r="H4072" s="36" t="inlineStr">
        <is>
          <t>RAS</t>
        </is>
      </c>
      <c r="I4072" s="45" t="inlineStr"/>
      <c r="J4072" s="45" t="inlineStr">
        <is>
          <t>RNCP38583</t>
        </is>
      </c>
      <c r="K4072" s="45" t="inlineStr">
        <is>
          <t>Manager du développement commercial</t>
        </is>
      </c>
      <c r="L4072" s="45" t="inlineStr">
        <is>
          <t>09/02/2027</t>
        </is>
      </c>
      <c r="M4072" s="45" t="inlineStr">
        <is>
          <t>34085 (Stratégie commerciale) ; 34554 (Commerce) ; 34076 (Gestion relation client)</t>
        </is>
      </c>
      <c r="N4072" s="50" t="inlineStr">
        <is>
          <t>NON</t>
        </is>
      </c>
      <c r="O4072" s="45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45" t="n"/>
      <c r="B4074" s="46" t="inlineStr">
        <is>
          <t>34573</t>
        </is>
      </c>
      <c r="C4074" s="46">
        <f>LEFT(Tableau1[[#This Row],[Formacode]],3)</f>
        <v/>
      </c>
      <c r="D4074" s="47" t="n">
        <v>38604</v>
      </c>
      <c r="E4074" s="48">
        <f>"RNCP"&amp;D4074</f>
        <v/>
      </c>
      <c r="F4074" s="48" t="inlineStr">
        <is>
          <t>Responsable d'activités commerciales</t>
        </is>
      </c>
      <c r="G4074" s="49">
        <f>E4074&amp;" - "&amp;F4074</f>
        <v/>
      </c>
      <c r="H4074" s="36" t="inlineStr">
        <is>
          <t>RAS</t>
        </is>
      </c>
      <c r="I4074" s="45" t="inlineStr"/>
      <c r="J4074" s="45" t="inlineStr">
        <is>
          <t>RNCP38604</t>
        </is>
      </c>
      <c r="K4074" s="45" t="inlineStr">
        <is>
          <t>Responsable d'activités commerciales</t>
        </is>
      </c>
      <c r="L4074" s="45" t="inlineStr">
        <is>
          <t>09/02/2027</t>
        </is>
      </c>
      <c r="M4074" s="45" t="inlineStr">
        <is>
          <t>34593 (Prospection vente) ; 34026 (Développement sens commercial)</t>
        </is>
      </c>
      <c r="N4074" s="50" t="inlineStr">
        <is>
          <t>NON</t>
        </is>
      </c>
      <c r="O4074" s="45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63" t="n"/>
      <c r="B4080" s="64" t="inlineStr">
        <is>
          <t>34573</t>
        </is>
      </c>
      <c r="C4080" s="64">
        <f>LEFT(Tableau1[[#This Row],[Formacode]],3)</f>
        <v/>
      </c>
      <c r="D4080" s="65" t="n">
        <v>39395</v>
      </c>
      <c r="E4080" s="66">
        <f>"RNCP"&amp;D4080</f>
        <v/>
      </c>
      <c r="F4080" s="66" t="inlineStr">
        <is>
          <t>Responsable d'agence et de commerce</t>
        </is>
      </c>
      <c r="G4080" s="67">
        <f>E4080&amp;" - "&amp;F4080</f>
        <v/>
      </c>
      <c r="H4080" s="38" t="inlineStr">
        <is>
          <t>Expiré / remplacé</t>
        </is>
      </c>
      <c r="I4080" s="63" t="inlineStr">
        <is>
          <t>Fiche inactive — remplacée par RNCP42475 (Responsable d'agence et de commerce)</t>
        </is>
      </c>
      <c r="J4080" s="63" t="inlineStr">
        <is>
          <t>RNCP42475</t>
        </is>
      </c>
      <c r="K4080" s="63" t="inlineStr">
        <is>
          <t>Responsable d'agence et de commerce</t>
        </is>
      </c>
      <c r="L4080" s="63" t="inlineStr">
        <is>
          <t>19/07/2026</t>
        </is>
      </c>
      <c r="M4080" s="63" t="inlineStr">
        <is>
          <t>34554 (Commerce) ; 32154 (Encadrement management) ; 32079 (Gestion performance)</t>
        </is>
      </c>
      <c r="N4080" s="68" t="inlineStr">
        <is>
          <t>NON</t>
        </is>
      </c>
      <c r="O4080" s="63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80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45" t="n"/>
      <c r="B4100" s="46" t="inlineStr">
        <is>
          <t>34574</t>
        </is>
      </c>
      <c r="C4100" s="46">
        <f>LEFT(Tableau1[[#This Row],[Formacode]],3)</f>
        <v/>
      </c>
      <c r="D4100" s="47" t="n">
        <v>38583</v>
      </c>
      <c r="E4100" s="48">
        <f>"RNCP"&amp;D4100</f>
        <v/>
      </c>
      <c r="F4100" s="48" t="inlineStr">
        <is>
          <t>Manager du développement commercial</t>
        </is>
      </c>
      <c r="G4100" s="49">
        <f>E4100&amp;" - "&amp;F4100</f>
        <v/>
      </c>
      <c r="H4100" s="36" t="inlineStr">
        <is>
          <t>RAS</t>
        </is>
      </c>
      <c r="I4100" s="45" t="inlineStr"/>
      <c r="J4100" s="45" t="inlineStr">
        <is>
          <t>RNCP38583</t>
        </is>
      </c>
      <c r="K4100" s="45" t="inlineStr">
        <is>
          <t>Manager du développement commercial</t>
        </is>
      </c>
      <c r="L4100" s="45" t="inlineStr">
        <is>
          <t>09/02/2027</t>
        </is>
      </c>
      <c r="M4100" s="45" t="inlineStr">
        <is>
          <t>34085 (Stratégie commerciale) ; 34554 (Commerce) ; 34076 (Gestion relation client)</t>
        </is>
      </c>
      <c r="N4100" s="50" t="inlineStr">
        <is>
          <t>NON</t>
        </is>
      </c>
      <c r="O4100" s="45" t="inlineStr"/>
    </row>
    <row r="4101" customFormat="1" s="3">
      <c r="A4101" s="63" t="n"/>
      <c r="B4101" s="64" t="inlineStr">
        <is>
          <t>34574</t>
        </is>
      </c>
      <c r="C4101" s="64">
        <f>LEFT(Tableau1[[#This Row],[Formacode]],3)</f>
        <v/>
      </c>
      <c r="D4101" s="65" t="n">
        <v>39395</v>
      </c>
      <c r="E4101" s="66">
        <f>"RNCP"&amp;D4101</f>
        <v/>
      </c>
      <c r="F4101" s="66" t="inlineStr">
        <is>
          <t>Responsable d'agence et de commerce</t>
        </is>
      </c>
      <c r="G4101" s="67">
        <f>E4101&amp;" - "&amp;F4101</f>
        <v/>
      </c>
      <c r="H4101" s="38" t="inlineStr">
        <is>
          <t>Expiré / remplacé</t>
        </is>
      </c>
      <c r="I4101" s="63" t="inlineStr">
        <is>
          <t>Fiche inactive — remplacée par RNCP42475 (Responsable d'agence et de commerce)</t>
        </is>
      </c>
      <c r="J4101" s="63" t="inlineStr">
        <is>
          <t>RNCP42475</t>
        </is>
      </c>
      <c r="K4101" s="63" t="inlineStr">
        <is>
          <t>Responsable d'agence et de commerce</t>
        </is>
      </c>
      <c r="L4101" s="63" t="inlineStr">
        <is>
          <t>19/07/2026</t>
        </is>
      </c>
      <c r="M4101" s="63" t="inlineStr">
        <is>
          <t>34554 (Commerce) ; 32154 (Encadrement management) ; 32079 (Gestion performance)</t>
        </is>
      </c>
      <c r="N4101" s="68" t="inlineStr">
        <is>
          <t>NON</t>
        </is>
      </c>
      <c r="O4101" s="63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32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103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138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32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63" t="n"/>
      <c r="B4200" s="64" t="inlineStr">
        <is>
          <t>42056</t>
        </is>
      </c>
      <c r="C4200" s="64">
        <f>LEFT(Tableau1[[#This Row],[Formacode]],3)</f>
        <v/>
      </c>
      <c r="D4200" s="65" t="n">
        <v>37780</v>
      </c>
      <c r="E4200" s="66">
        <f>"RNCP"&amp;D4200</f>
        <v/>
      </c>
      <c r="F4200" s="66" t="inlineStr">
        <is>
          <t>Assistant de vie dépendance</t>
        </is>
      </c>
      <c r="G4200" s="67">
        <f>E4200&amp;" - "&amp;F4200</f>
        <v/>
      </c>
      <c r="H4200" s="38" t="inlineStr">
        <is>
          <t>Expiré / remplacé</t>
        </is>
      </c>
      <c r="I4200" s="63" t="inlineStr">
        <is>
          <t>Fiche inactive — remplacée par RNCP42318 (Assistant de vie)</t>
        </is>
      </c>
      <c r="J4200" s="63" t="inlineStr">
        <is>
          <t>RNCP42318</t>
        </is>
      </c>
      <c r="K4200" s="63" t="inlineStr">
        <is>
          <t>Assistant de vie</t>
        </is>
      </c>
      <c r="L4200" s="63" t="inlineStr">
        <is>
          <t>19/07/2026</t>
        </is>
      </c>
      <c r="M4200" s="63" t="inlineStr">
        <is>
          <t>42056 (Service à la personne) ; 44028 (Accompagnement éducatif et social)</t>
        </is>
      </c>
      <c r="N4200" s="68" t="inlineStr">
        <is>
          <t>NON</t>
        </is>
      </c>
      <c r="O4200" s="63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32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32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32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32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138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154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138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154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138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4306" s="51" t="inlineStr">
        <is>
          <t>RNCP42709</t>
        </is>
      </c>
      <c r="K4306" s="51" t="inlineStr">
        <is>
          <t>Diplôme en management international de l'hôtellerie, de la restauration et des vins et boissons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62" t="inlineStr">
        <is>
          <t>NON</t>
        </is>
      </c>
      <c r="O4306" s="51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51" t="n"/>
      <c r="B4311" s="52" t="inlineStr">
        <is>
          <t>42638</t>
        </is>
      </c>
      <c r="C4311" s="52">
        <f>LEFT(Tableau1[[#This Row],[Formacode]],3)</f>
        <v/>
      </c>
      <c r="D4311" s="53" t="n">
        <v>35706</v>
      </c>
      <c r="E4311" s="54">
        <f>"RNCP"&amp;D4311</f>
        <v/>
      </c>
      <c r="F4311" s="54" t="inlineStr">
        <is>
          <t>TP - Responsable de développement touristique territorial</t>
        </is>
      </c>
      <c r="G4311" s="55">
        <f>E4311&amp;" - "&amp;F4311</f>
        <v/>
      </c>
      <c r="H4311" s="37" t="inlineStr">
        <is>
          <t>À vérifier</t>
        </is>
      </c>
      <c r="I4311" s="51" t="inlineStr">
        <is>
          <t>Successeur déjà publié : RNCP42430 (Chargé de développement touristique territorial) — préparer la bascule de l'offre CPF | Échéance le 02/08/2026 (dans 3 j)</t>
        </is>
      </c>
      <c r="J4311" s="51" t="inlineStr">
        <is>
          <t>RNCP42430</t>
        </is>
      </c>
      <c r="K4311" s="51" t="inlineStr">
        <is>
          <t>Chargé de développement touristique territorial</t>
        </is>
      </c>
      <c r="L4311" s="51" t="inlineStr">
        <is>
          <t>02/08/2026</t>
        </is>
      </c>
      <c r="M4311" s="51" t="inlineStr">
        <is>
          <t>12516 (Aménagement touristique) ; 42638 (Développement touristique)</t>
        </is>
      </c>
      <c r="N4311" s="62" t="inlineStr">
        <is>
          <t>NON</t>
        </is>
      </c>
      <c r="O4311" s="51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4337" s="51" t="inlineStr">
        <is>
          <t>RNCP42709</t>
        </is>
      </c>
      <c r="K4337" s="51" t="inlineStr">
        <is>
          <t>Diplôme en management international de l'hôtellerie, de la restauration et des vins et boissons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62" t="inlineStr">
        <is>
          <t>NON</t>
        </is>
      </c>
      <c r="O4337" s="51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4339" s="51" t="inlineStr">
        <is>
          <t>RNCP42709</t>
        </is>
      </c>
      <c r="K4339" s="51" t="inlineStr">
        <is>
          <t>Diplôme en management international de l'hôtellerie, de la restauration et des vins et boissons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62" t="inlineStr">
        <is>
          <t>NON</t>
        </is>
      </c>
      <c r="O4339" s="51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32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4342" s="51" t="inlineStr">
        <is>
          <t>RNCP42709</t>
        </is>
      </c>
      <c r="K4342" s="51" t="inlineStr">
        <is>
          <t>Diplôme en management international de l'hôtellerie, de la restauration et des vins et boissons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62" t="inlineStr">
        <is>
          <t>NON</t>
        </is>
      </c>
      <c r="O4342" s="51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32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4346" s="51" t="inlineStr">
        <is>
          <t>RNCP42709</t>
        </is>
      </c>
      <c r="K4346" s="51" t="inlineStr">
        <is>
          <t>Diplôme en management international de l'hôtellerie, de la restauration et des vins et boissons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62" t="inlineStr">
        <is>
          <t>NON</t>
        </is>
      </c>
      <c r="O4346" s="51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32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4351" s="51" t="inlineStr">
        <is>
          <t>RNCP42709</t>
        </is>
      </c>
      <c r="K4351" s="51" t="inlineStr">
        <is>
          <t>Diplôme en management international de l'hôtellerie, de la restauration et des vins et boissons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62" t="inlineStr">
        <is>
          <t>NON</t>
        </is>
      </c>
      <c r="O4351" s="51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51" t="n"/>
      <c r="B4357" s="52" t="inlineStr">
        <is>
          <t>42729</t>
        </is>
      </c>
      <c r="C4357" s="52">
        <f>LEFT(Tableau1[[#This Row],[Formacode]],3)</f>
        <v/>
      </c>
      <c r="D4357" s="53" t="n">
        <v>41538</v>
      </c>
      <c r="E4357" s="54">
        <f>"RNCP"&amp;D4357</f>
        <v/>
      </c>
      <c r="F4357" s="54" t="inlineStr">
        <is>
          <t>TP - Responsable d'unité de restauration collective</t>
        </is>
      </c>
      <c r="G4357" s="55">
        <f>E4357&amp;" - "&amp;F4357</f>
        <v/>
      </c>
      <c r="H4357" s="37" t="inlineStr">
        <is>
          <t>À vérifier</t>
        </is>
      </c>
      <c r="I4357" s="51" t="inlineStr">
        <is>
          <t>Échéance le 21/01/2027 (dans 175 j)</t>
        </is>
      </c>
      <c r="J4357" s="51" t="inlineStr">
        <is>
          <t>RNCP41538</t>
        </is>
      </c>
      <c r="K4357" s="51" t="inlineStr">
        <is>
          <t>Responsable d'unité de restauration collective</t>
        </is>
      </c>
      <c r="L4357" s="51" t="inlineStr">
        <is>
          <t>21/01/2027</t>
        </is>
      </c>
      <c r="M4357" s="51" t="inlineStr">
        <is>
          <t>42729 (Gestion restauration collective)</t>
        </is>
      </c>
      <c r="N4357" s="62" t="inlineStr">
        <is>
          <t>NON</t>
        </is>
      </c>
      <c r="O4357" s="51" t="inlineStr"/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4358" s="51" t="inlineStr">
        <is>
          <t>RNCP42709</t>
        </is>
      </c>
      <c r="K4358" s="51" t="inlineStr">
        <is>
          <t>Diplôme en management international de l'hôtellerie, de la restauration et des vins et boissons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62" t="inlineStr">
        <is>
          <t>NON</t>
        </is>
      </c>
      <c r="O4358" s="51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32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Successeur déjà publié : RNCP42644 (Sommelier conseil caviste) — préparer la bascule de l'offre CPF | Échéance le 15/09/2026 (dans 47 j)</t>
        </is>
      </c>
      <c r="J4361" s="51" t="inlineStr">
        <is>
          <t>RNCP42644</t>
        </is>
      </c>
      <c r="K4361" s="51" t="inlineStr">
        <is>
          <t>Sommelier conseil caviste</t>
        </is>
      </c>
      <c r="L4361" s="51" t="inlineStr">
        <is>
          <t>15/09/2026</t>
        </is>
      </c>
      <c r="M4361" s="51" t="inlineStr">
        <is>
          <t>42739 (Sommellerie) ; 34513 (Vente vin spiritueux) ; 21540 (Commercialisation vin spiritueux) ; 21511 (Dégustation vin)</t>
        </is>
      </c>
      <c r="N4361" s="62" t="inlineStr">
        <is>
          <t>NON</t>
        </is>
      </c>
      <c r="O4361" s="51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32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4365" s="51" t="inlineStr">
        <is>
          <t>RNCP42709</t>
        </is>
      </c>
      <c r="K4365" s="51" t="inlineStr">
        <is>
          <t>Diplôme en management international de l'hôtellerie, de la restauration et des vins et boissons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62" t="inlineStr">
        <is>
          <t>NON</t>
        </is>
      </c>
      <c r="O4365" s="51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161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4373" s="51" t="inlineStr">
        <is>
          <t>RNCP42709</t>
        </is>
      </c>
      <c r="K4373" s="51" t="inlineStr">
        <is>
          <t>Diplôme en management international de l'hôtellerie, de la restauration et des vins et boissons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62" t="inlineStr">
        <is>
          <t>NON</t>
        </is>
      </c>
      <c r="O4373" s="51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(Diplôme en management international des arts culinaires) — préparer la bascule de l'offre CPF | Échéance le 31/08/2026 (dans 32 j)</t>
        </is>
      </c>
      <c r="J4377" s="51" t="inlineStr">
        <is>
          <t>RNCP42267</t>
        </is>
      </c>
      <c r="K4377" s="51" t="inlineStr">
        <is>
          <t>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4387" s="51" t="inlineStr">
        <is>
          <t>RNCP42709</t>
        </is>
      </c>
      <c r="K4387" s="51" t="inlineStr">
        <is>
          <t>Diplôme en management international de l'hôtellerie, de la restauration et des vins et boissons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62" t="inlineStr">
        <is>
          <t>NON</t>
        </is>
      </c>
      <c r="O4387" s="51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4390" s="51" t="inlineStr">
        <is>
          <t>RNCP42709</t>
        </is>
      </c>
      <c r="K4390" s="51" t="inlineStr">
        <is>
          <t>Diplôme en management international de l'hôtellerie, de la restauration et des vins et boissons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62" t="inlineStr">
        <is>
          <t>NON</t>
        </is>
      </c>
      <c r="O4390" s="51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(Diplôme en management international des arts culinaires) — préparer la bascule de l'offre CPF | Échéance le 31/08/2026 (dans 32 j)</t>
        </is>
      </c>
      <c r="J4393" s="51" t="inlineStr">
        <is>
          <t>RNCP42267</t>
        </is>
      </c>
      <c r="K4393" s="51" t="inlineStr">
        <is>
          <t>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4397" s="51" t="inlineStr">
        <is>
          <t>RNCP42709</t>
        </is>
      </c>
      <c r="K4397" s="51" t="inlineStr">
        <is>
          <t>Diplôme en management international de l'hôtellerie, de la restauration et des vins et boissons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62" t="inlineStr">
        <is>
          <t>NON</t>
        </is>
      </c>
      <c r="O4397" s="51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140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4407" s="51" t="inlineStr">
        <is>
          <t>RNCP42709</t>
        </is>
      </c>
      <c r="K4407" s="51" t="inlineStr">
        <is>
          <t>Diplôme en management international de l'hôtellerie, de la restauration et des vins et boissons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62" t="inlineStr">
        <is>
          <t>NON</t>
        </is>
      </c>
      <c r="O4407" s="51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Successeur déjà publié : RNCP42709 (Diplôme en management international de l'hôtellerie, de la restauration et des vins et boissons) — préparer la bascule de l'offre CPF | Échéance le 31/08/2026 (dans 32 j)</t>
        </is>
      </c>
      <c r="J4409" s="51" t="inlineStr">
        <is>
          <t>RNCP42709</t>
        </is>
      </c>
      <c r="K4409" s="51" t="inlineStr">
        <is>
          <t>Diplôme en management international de l'hôtellerie, de la restauration et des vins et boissons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62" t="inlineStr">
        <is>
          <t>NON</t>
        </is>
      </c>
      <c r="O4409" s="51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51" t="n"/>
      <c r="B4417" s="52" t="inlineStr">
        <is>
          <t>42822</t>
        </is>
      </c>
      <c r="C4417" s="52">
        <f>LEFT(Tableau1[[#This Row],[Formacode]],3)</f>
        <v/>
      </c>
      <c r="D4417" s="53" t="n">
        <v>37879</v>
      </c>
      <c r="E4417" s="54">
        <f>"RNCP"&amp;D4417</f>
        <v/>
      </c>
      <c r="F4417" s="54" t="inlineStr">
        <is>
          <t>TP - Opérateur en vidéoprotection et en télésurveillance</t>
        </is>
      </c>
      <c r="G4417" s="55">
        <f>E4417&amp;" - "&amp;F4417</f>
        <v/>
      </c>
      <c r="H4417" s="37" t="inlineStr">
        <is>
          <t>À vérifier</t>
        </is>
      </c>
      <c r="I4417" s="51" t="inlineStr">
        <is>
          <t>Échéance le 16/09/2026 (dans 48 j)</t>
        </is>
      </c>
      <c r="J4417" s="51" t="inlineStr">
        <is>
          <t>RNCP37879</t>
        </is>
      </c>
      <c r="K4417" s="51" t="inlineStr">
        <is>
          <t>Opérateur en vidéoprotection et en télésurveillance</t>
        </is>
      </c>
      <c r="L4417" s="51" t="inlineStr">
        <is>
          <t>16/09/2026</t>
        </is>
      </c>
      <c r="M4417" s="51" t="inlineStr">
        <is>
          <t>42801 (Télésurveillance)</t>
        </is>
      </c>
      <c r="N4417" s="62" t="inlineStr">
        <is>
          <t>NON</t>
        </is>
      </c>
      <c r="O4417" s="51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33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47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32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33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63" t="n"/>
      <c r="B4530" s="64" t="inlineStr">
        <is>
          <t>44026</t>
        </is>
      </c>
      <c r="C4530" s="64">
        <f>LEFT(Tableau1[[#This Row],[Formacode]],3)</f>
        <v/>
      </c>
      <c r="D4530" s="65" t="n">
        <v>37780</v>
      </c>
      <c r="E4530" s="66">
        <f>"RNCP"&amp;D4530</f>
        <v/>
      </c>
      <c r="F4530" s="66" t="inlineStr">
        <is>
          <t>Assistant de vie dépendance</t>
        </is>
      </c>
      <c r="G4530" s="67">
        <f>E4530&amp;" - "&amp;F4530</f>
        <v/>
      </c>
      <c r="H4530" s="38" t="inlineStr">
        <is>
          <t>Expiré / remplacé</t>
        </is>
      </c>
      <c r="I4530" s="63" t="inlineStr">
        <is>
          <t>Fiche inactive — remplacée par RNCP42318 (Assistant de vie)</t>
        </is>
      </c>
      <c r="J4530" s="63" t="inlineStr">
        <is>
          <t>RNCP42318</t>
        </is>
      </c>
      <c r="K4530" s="63" t="inlineStr">
        <is>
          <t>Assistant de vie</t>
        </is>
      </c>
      <c r="L4530" s="63" t="inlineStr">
        <is>
          <t>19/07/2026</t>
        </is>
      </c>
      <c r="M4530" s="63" t="inlineStr">
        <is>
          <t>42056 (Service à la personne) ; 44028 (Accompagnement éducatif et social)</t>
        </is>
      </c>
      <c r="N4530" s="68" t="inlineStr">
        <is>
          <t>NON</t>
        </is>
      </c>
      <c r="O4530" s="63" t="inlineStr"/>
    </row>
    <row r="4531">
      <c r="A4531" s="63" t="n"/>
      <c r="B4531" s="64" t="inlineStr">
        <is>
          <t>44026</t>
        </is>
      </c>
      <c r="C4531" s="64">
        <f>LEFT(Tableau1[[#This Row],[Formacode]],3)</f>
        <v/>
      </c>
      <c r="D4531" s="65" t="n">
        <v>37792</v>
      </c>
      <c r="E4531" s="66">
        <f>"RNCP"&amp;D4531</f>
        <v/>
      </c>
      <c r="F4531" s="66" t="inlineStr">
        <is>
          <t>Employé familial</t>
        </is>
      </c>
      <c r="G4531" s="67">
        <f>E4531&amp;" - "&amp;F4531</f>
        <v/>
      </c>
      <c r="H4531" s="38" t="inlineStr">
        <is>
          <t>Expiré / remplacé</t>
        </is>
      </c>
      <c r="I4531" s="63" t="inlineStr">
        <is>
          <t>Fiche inactive — remplacée par RNCP42320 (Employé familial)</t>
        </is>
      </c>
      <c r="J4531" s="63" t="inlineStr">
        <is>
          <t>RNCP42320</t>
        </is>
      </c>
      <c r="K4531" s="63" t="inlineStr">
        <is>
          <t>Employé familial</t>
        </is>
      </c>
      <c r="L4531" s="63" t="inlineStr">
        <is>
          <t>19/07/2026</t>
        </is>
      </c>
      <c r="M4531" s="63" t="inlineStr">
        <is>
          <t>44026 (Aide famille)</t>
        </is>
      </c>
      <c r="N4531" s="68" t="inlineStr">
        <is>
          <t>NON</t>
        </is>
      </c>
      <c r="O4531" s="63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32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63" t="n"/>
      <c r="B4543" s="64" t="inlineStr">
        <is>
          <t>44042</t>
        </is>
      </c>
      <c r="C4543" s="64">
        <f>LEFT(Tableau1[[#This Row],[Formacode]],3)</f>
        <v/>
      </c>
      <c r="D4543" s="65" t="n">
        <v>37795</v>
      </c>
      <c r="E4543" s="66">
        <f>"RNCP"&amp;D4543</f>
        <v/>
      </c>
      <c r="F4543" s="66" t="inlineStr">
        <is>
          <t>Assistant maternel / Garde d'enfants</t>
        </is>
      </c>
      <c r="G4543" s="67">
        <f>E4543&amp;" - "&amp;F4543</f>
        <v/>
      </c>
      <c r="H4543" s="38" t="inlineStr">
        <is>
          <t>Expiré / remplacé</t>
        </is>
      </c>
      <c r="I4543" s="63" t="inlineStr">
        <is>
          <t>Fiche inactive — remplacée par RNCP42319 (Assistant maternel - Assistant parental)</t>
        </is>
      </c>
      <c r="J4543" s="63" t="inlineStr">
        <is>
          <t>RNCP42319</t>
        </is>
      </c>
      <c r="K4543" s="63" t="inlineStr">
        <is>
          <t>Assistant maternel - Assistant parental</t>
        </is>
      </c>
      <c r="L4543" s="63" t="inlineStr">
        <is>
          <t>19/07/2026</t>
        </is>
      </c>
      <c r="M4543" s="63" t="inlineStr">
        <is>
          <t>44030 (Assistance maternelle) ; 42056 (Service à la personne)</t>
        </is>
      </c>
      <c r="N4543" s="68" t="inlineStr">
        <is>
          <t>NON</t>
        </is>
      </c>
      <c r="O4543" s="63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32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154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33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Successeur déjà publié : RNCP42635 (Chargé de développement de structure sportive) — préparer la bascule de l'offre CPF | Échéance le 18/10/2026 (dans 80 j)</t>
        </is>
      </c>
      <c r="J4566" s="51" t="inlineStr">
        <is>
          <t>RNCP42635</t>
        </is>
      </c>
      <c r="K4566" s="51" t="inlineStr">
        <is>
          <t>Chargé de développement de structure sportive</t>
        </is>
      </c>
      <c r="L4566" s="51" t="inlineStr">
        <is>
          <t>18/10/2026</t>
        </is>
      </c>
      <c r="M4566" s="51" t="inlineStr">
        <is>
          <t>15457 (Gestion sport) ; 15476 (Organisation événement sportif)</t>
        </is>
      </c>
      <c r="N4566" s="62" t="inlineStr">
        <is>
          <t>NON</t>
        </is>
      </c>
      <c r="O4566" s="51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32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32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32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RNCP42424 (Conseiller en économie sociale familiale) — préparer la bascule de l'offre CPF | Échéance le 31/08/2026 (dans 32 j)</t>
        </is>
      </c>
      <c r="J4584" s="51" t="inlineStr">
        <is>
          <t>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62" t="inlineStr">
        <is>
          <t>NON</t>
        </is>
      </c>
      <c r="O4584" s="51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154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154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32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63" t="n"/>
      <c r="B4616" s="64" t="inlineStr">
        <is>
          <t>45020</t>
        </is>
      </c>
      <c r="C4616" s="64">
        <f>LEFT(Tableau1[[#This Row],[Formacode]],3)</f>
        <v/>
      </c>
      <c r="D4616" s="65" t="n">
        <v>37742</v>
      </c>
      <c r="E4616" s="66">
        <f>"RNCP"&amp;D4616</f>
        <v/>
      </c>
      <c r="F4616" s="66" t="inlineStr">
        <is>
          <t>Initiateur aux arts du cirque</t>
        </is>
      </c>
      <c r="G4616" s="67">
        <f>E4616&amp;" - "&amp;F4616</f>
        <v/>
      </c>
      <c r="H4616" s="38" t="inlineStr">
        <is>
          <t>Expiré / remplacé</t>
        </is>
      </c>
      <c r="I4616" s="63" t="inlineStr">
        <is>
          <t>Fiche inactive — remplacée par RNCP42506 (Initiateur aux arts du cirque)</t>
        </is>
      </c>
      <c r="J4616" s="63" t="inlineStr">
        <is>
          <t>RNCP42506</t>
        </is>
      </c>
      <c r="K4616" s="63" t="inlineStr">
        <is>
          <t>Initiateur aux arts du cirque</t>
        </is>
      </c>
      <c r="L4616" s="63" t="inlineStr">
        <is>
          <t>19/07/2026</t>
        </is>
      </c>
      <c r="M4616" s="63" t="inlineStr">
        <is>
          <t>44067 (Animation socioculturelle) ; 45020 (Cirque arts rue)</t>
        </is>
      </c>
      <c r="N4616" s="68" t="inlineStr">
        <is>
          <t>NON</t>
        </is>
      </c>
      <c r="O4616" s="63" t="inlineStr"/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32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63" t="n"/>
      <c r="B4622" s="64" t="inlineStr">
        <is>
          <t>45027</t>
        </is>
      </c>
      <c r="C4622" s="64">
        <f>LEFT(Tableau1[[#This Row],[Formacode]],3)</f>
        <v/>
      </c>
      <c r="D4622" s="65" t="n">
        <v>37828</v>
      </c>
      <c r="E4622" s="66">
        <f>"RNCP"&amp;D4622</f>
        <v/>
      </c>
      <c r="F4622" s="66" t="inlineStr">
        <is>
          <t>Designer créateur de produit de mode et textile</t>
        </is>
      </c>
      <c r="G4622" s="67">
        <f>E4622&amp;" - "&amp;F4622</f>
        <v/>
      </c>
      <c r="H4622" s="38" t="inlineStr">
        <is>
          <t>Expiré / remplacé</t>
        </is>
      </c>
      <c r="I4622" s="63" t="inlineStr">
        <is>
          <t>Fiche inactive (échéance 19/07/2026) — aucun successeur publié</t>
        </is>
      </c>
      <c r="J4622" s="63" t="inlineStr">
        <is>
          <t>RNCP37828</t>
        </is>
      </c>
      <c r="K4622" s="63" t="inlineStr">
        <is>
          <t>Designer créateur de produit de mode et textile</t>
        </is>
      </c>
      <c r="L4622" s="63" t="inlineStr">
        <is>
          <t>19/07/2026</t>
        </is>
      </c>
      <c r="M4622" s="63" t="inlineStr">
        <is>
          <t>21775 (Stylisme habillement) ; 21627 (Création textile) ; 21752 (Accessoire mode) ; 45027 (Art appliqué) ; 46081 (Création graphique)</t>
        </is>
      </c>
      <c r="N4622" s="68" t="inlineStr">
        <is>
          <t>NON</t>
        </is>
      </c>
      <c r="O4622" s="63" t="inlineStr"/>
    </row>
    <row r="4623" customFormat="1" s="3">
      <c r="A4623" s="63" t="n"/>
      <c r="B4623" s="64" t="inlineStr">
        <is>
          <t>45027</t>
        </is>
      </c>
      <c r="C4623" s="64">
        <f>LEFT(Tableau1[[#This Row],[Formacode]],3)</f>
        <v/>
      </c>
      <c r="D4623" s="65" t="n">
        <v>37842</v>
      </c>
      <c r="E4623" s="66">
        <f>"RNCP"&amp;D4623</f>
        <v/>
      </c>
      <c r="F4623" s="66" t="inlineStr">
        <is>
          <t>Chef de projet design d'espace et produit</t>
        </is>
      </c>
      <c r="G4623" s="67">
        <f>E4623&amp;" - "&amp;F4623</f>
        <v/>
      </c>
      <c r="H4623" s="38" t="inlineStr">
        <is>
          <t>Expiré / remplacé</t>
        </is>
      </c>
      <c r="I4623" s="63" t="inlineStr">
        <is>
          <t>Fiche inactive — remplacée par RNCP42478 (Designer en aménagement intérieur et scénographie)</t>
        </is>
      </c>
      <c r="J4623" s="63" t="inlineStr">
        <is>
          <t>RNCP42478</t>
        </is>
      </c>
      <c r="K4623" s="63" t="inlineStr">
        <is>
          <t>Designer en aménagement intérieur et scénographie</t>
        </is>
      </c>
      <c r="L4623" s="63" t="inlineStr">
        <is>
          <t>19/07/2026</t>
        </is>
      </c>
      <c r="M4623" s="63" t="inlineStr">
        <is>
          <t>45015 (Architecture intérieure) ; 34597 (Marchandisage)</t>
        </is>
      </c>
      <c r="N4623" s="68" t="inlineStr">
        <is>
          <t>NON</t>
        </is>
      </c>
      <c r="O4623" s="63" t="inlineStr"/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32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52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52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141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32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63" t="n"/>
      <c r="B4668" s="64" t="inlineStr">
        <is>
          <t>45085</t>
        </is>
      </c>
      <c r="C4668" s="64">
        <f>LEFT(Tableau1[[#This Row],[Formacode]],3)</f>
        <v/>
      </c>
      <c r="D4668" s="65" t="n">
        <v>37742</v>
      </c>
      <c r="E4668" s="66">
        <f>"RNCP"&amp;D4668</f>
        <v/>
      </c>
      <c r="F4668" s="66" t="inlineStr">
        <is>
          <t>Initiateur aux arts du cirque</t>
        </is>
      </c>
      <c r="G4668" s="67">
        <f>E4668&amp;" - "&amp;F4668</f>
        <v/>
      </c>
      <c r="H4668" s="38" t="inlineStr">
        <is>
          <t>Expiré / remplacé</t>
        </is>
      </c>
      <c r="I4668" s="63" t="inlineStr">
        <is>
          <t>Fiche inactive — remplacée par RNCP42506 (Initiateur aux arts du cirque)</t>
        </is>
      </c>
      <c r="J4668" s="63" t="inlineStr">
        <is>
          <t>RNCP42506</t>
        </is>
      </c>
      <c r="K4668" s="63" t="inlineStr">
        <is>
          <t>Initiateur aux arts du cirque</t>
        </is>
      </c>
      <c r="L4668" s="63" t="inlineStr">
        <is>
          <t>19/07/2026</t>
        </is>
      </c>
      <c r="M4668" s="63" t="inlineStr">
        <is>
          <t>44067 (Animation socioculturelle) ; 45020 (Cirque arts rue)</t>
        </is>
      </c>
      <c r="N4668" s="68" t="inlineStr">
        <is>
          <t>NON</t>
        </is>
      </c>
      <c r="O4668" s="63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154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32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32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32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32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32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32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32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32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32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32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32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32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68" t="inlineStr">
        <is>
          <t>NON</t>
        </is>
      </c>
      <c r="O4779" s="63" t="inlineStr"/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47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63" t="n"/>
      <c r="B4782" s="64" t="inlineStr">
        <is>
          <t>46072</t>
        </is>
      </c>
      <c r="C4782" s="64">
        <f>LEFT(Tableau1[[#This Row],[Formacode]],3)</f>
        <v/>
      </c>
      <c r="D4782" s="65" t="n">
        <v>37828</v>
      </c>
      <c r="E4782" s="66">
        <f>"RNCP"&amp;D4782</f>
        <v/>
      </c>
      <c r="F4782" s="66" t="inlineStr">
        <is>
          <t>Designer créateur de produit de mode et textile</t>
        </is>
      </c>
      <c r="G4782" s="67">
        <f>E4782&amp;" - "&amp;F4782</f>
        <v/>
      </c>
      <c r="H4782" s="38" t="inlineStr">
        <is>
          <t>Expiré / remplacé</t>
        </is>
      </c>
      <c r="I4782" s="63" t="inlineStr">
        <is>
          <t>Fiche inactive (échéance 19/07/2026) — aucun successeur publié</t>
        </is>
      </c>
      <c r="J4782" s="63" t="inlineStr">
        <is>
          <t>RNCP37828</t>
        </is>
      </c>
      <c r="K4782" s="63" t="inlineStr">
        <is>
          <t>Designer créateur de produit de mode et textile</t>
        </is>
      </c>
      <c r="L4782" s="63" t="inlineStr">
        <is>
          <t>19/07/2026</t>
        </is>
      </c>
      <c r="M4782" s="63" t="inlineStr">
        <is>
          <t>21775 (Stylisme habillement) ; 21627 (Création textile) ; 21752 (Accessoire mode) ; 45027 (Art appliqué) ; 46081 (Création graphique)</t>
        </is>
      </c>
      <c r="N4782" s="68" t="inlineStr">
        <is>
          <t>NON</t>
        </is>
      </c>
      <c r="O4782" s="63" t="inlineStr"/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80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108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108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45" t="n"/>
      <c r="B4788" s="46" t="inlineStr">
        <is>
          <t>46072</t>
        </is>
      </c>
      <c r="C4788" s="46">
        <f>LEFT(Tableau1[[#This Row],[Formacode]],3)</f>
        <v/>
      </c>
      <c r="D4788" s="47" t="n">
        <v>38589</v>
      </c>
      <c r="E4788" s="48">
        <f>"RNCP"&amp;D4788</f>
        <v/>
      </c>
      <c r="F4788" s="48" t="inlineStr">
        <is>
          <t>Directeur artistique</t>
        </is>
      </c>
      <c r="G4788" s="49">
        <f>E4788&amp;" - "&amp;F4788</f>
        <v/>
      </c>
      <c r="H4788" s="36" t="inlineStr">
        <is>
          <t>RAS</t>
        </is>
      </c>
      <c r="I4788" s="45" t="inlineStr"/>
      <c r="J4788" s="45" t="inlineStr">
        <is>
          <t>RNCP38589</t>
        </is>
      </c>
      <c r="K4788" s="45" t="inlineStr">
        <is>
          <t>Directeur artistique</t>
        </is>
      </c>
      <c r="L4788" s="45" t="inlineStr">
        <is>
          <t>09/02/2027</t>
        </is>
      </c>
      <c r="M4788" s="45" t="inlineStr">
        <is>
          <t>46090 (Graphisme publicité) ; 46217 (Conception réalisation transmédia) ; 46003 (Infographie)</t>
        </is>
      </c>
      <c r="N4788" s="50" t="inlineStr">
        <is>
          <t>NON</t>
        </is>
      </c>
      <c r="O4788" s="45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45" t="n"/>
      <c r="B4808" s="46" t="inlineStr">
        <is>
          <t>46217</t>
        </is>
      </c>
      <c r="C4808" s="46">
        <f>LEFT(Tableau1[[#This Row],[Formacode]],3)</f>
        <v/>
      </c>
      <c r="D4808" s="47" t="n">
        <v>38589</v>
      </c>
      <c r="E4808" s="48">
        <f>"RNCP"&amp;D4808</f>
        <v/>
      </c>
      <c r="F4808" s="48" t="inlineStr">
        <is>
          <t>Directeur artistique</t>
        </is>
      </c>
      <c r="G4808" s="49">
        <f>E4808&amp;" - "&amp;F4808</f>
        <v/>
      </c>
      <c r="H4808" s="36" t="inlineStr">
        <is>
          <t>RAS</t>
        </is>
      </c>
      <c r="I4808" s="45" t="inlineStr"/>
      <c r="J4808" s="45" t="inlineStr">
        <is>
          <t>RNCP38589</t>
        </is>
      </c>
      <c r="K4808" s="45" t="inlineStr">
        <is>
          <t>Directeur artistique</t>
        </is>
      </c>
      <c r="L4808" s="45" t="inlineStr">
        <is>
          <t>09/02/2027</t>
        </is>
      </c>
      <c r="M4808" s="45" t="inlineStr">
        <is>
          <t>46090 (Graphisme publicité) ; 46217 (Conception réalisation transmédia) ; 46003 (Infographie)</t>
        </is>
      </c>
      <c r="N4808" s="50" t="inlineStr">
        <is>
          <t>NON</t>
        </is>
      </c>
      <c r="O4808" s="45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51" t="n"/>
      <c r="B4813" s="52" t="inlineStr">
        <is>
          <t>46236</t>
        </is>
      </c>
      <c r="C4813" s="52">
        <f>LEFT(Tableau1[[#This Row],[Formacode]],3)</f>
        <v/>
      </c>
      <c r="D4813" s="53" t="n">
        <v>36156</v>
      </c>
      <c r="E4813" s="54">
        <f>"RNCP"&amp;D4813</f>
        <v/>
      </c>
      <c r="F4813" s="54" t="inlineStr">
        <is>
          <t>Technicien d'exploitation son</t>
        </is>
      </c>
      <c r="G4813" s="55">
        <f>E4813&amp;" - "&amp;F4813</f>
        <v/>
      </c>
      <c r="H4813" s="37" t="inlineStr">
        <is>
          <t>À vérifier</t>
        </is>
      </c>
      <c r="I4813" s="51" t="inlineStr">
        <is>
          <t>Échéance le 26/01/2027 (dans 180 j)</t>
        </is>
      </c>
      <c r="J4813" s="51" t="inlineStr">
        <is>
          <t>RNCP36156</t>
        </is>
      </c>
      <c r="K4813" s="51" t="inlineStr">
        <is>
          <t>Technicien d'exploitation son</t>
        </is>
      </c>
      <c r="L4813" s="51" t="inlineStr">
        <is>
          <t>26/01/2027</t>
        </is>
      </c>
      <c r="M4813" s="51" t="inlineStr">
        <is>
          <t>46236 (Son)</t>
        </is>
      </c>
      <c r="N4813" s="56" t="inlineStr">
        <is>
          <t>OUI</t>
        </is>
      </c>
      <c r="O4813" s="41" t="inlineStr">
        <is>
          <t>Changement de statut : RAS → À vérifier</t>
        </is>
      </c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63" t="n"/>
      <c r="B4815" s="64" t="inlineStr">
        <is>
          <t>46236</t>
        </is>
      </c>
      <c r="C4815" s="64">
        <f>LEFT(Tableau1[[#This Row],[Formacode]],3)</f>
        <v/>
      </c>
      <c r="D4815" s="65" t="n">
        <v>37853</v>
      </c>
      <c r="E4815" s="66">
        <f>"RNCP"&amp;D4815</f>
        <v/>
      </c>
      <c r="F4815" s="66" t="inlineStr">
        <is>
          <t>Opérateur son</t>
        </is>
      </c>
      <c r="G4815" s="67">
        <f>E4815&amp;" - "&amp;F4815</f>
        <v/>
      </c>
      <c r="H4815" s="38" t="inlineStr">
        <is>
          <t>Expiré / remplacé</t>
        </is>
      </c>
      <c r="I4815" s="63" t="inlineStr">
        <is>
          <t>Fiche inactive (échéance 19/07/2026) — aucun successeur publié</t>
        </is>
      </c>
      <c r="J4815" s="63" t="inlineStr">
        <is>
          <t>RNCP37853</t>
        </is>
      </c>
      <c r="K4815" s="63" t="inlineStr">
        <is>
          <t>Opérateur son</t>
        </is>
      </c>
      <c r="L4815" s="63" t="inlineStr">
        <is>
          <t>19/07/2026</t>
        </is>
      </c>
      <c r="M4815" s="63" t="inlineStr">
        <is>
          <t>46236 (Son)</t>
        </is>
      </c>
      <c r="N4815" s="68" t="inlineStr">
        <is>
          <t>NON</t>
        </is>
      </c>
      <c r="O4815" s="63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63" t="n"/>
      <c r="B4825" s="64" t="inlineStr">
        <is>
          <t>46245</t>
        </is>
      </c>
      <c r="C4825" s="64">
        <f>LEFT(Tableau1[[#This Row],[Formacode]],3)</f>
        <v/>
      </c>
      <c r="D4825" s="65" t="n">
        <v>39392</v>
      </c>
      <c r="E4825" s="66">
        <f>"RNCP"&amp;D4825</f>
        <v/>
      </c>
      <c r="F4825" s="66" t="inlineStr">
        <is>
          <t>Assistant réalisateur</t>
        </is>
      </c>
      <c r="G4825" s="67">
        <f>E4825&amp;" - "&amp;F4825</f>
        <v/>
      </c>
      <c r="H4825" s="38" t="inlineStr">
        <is>
          <t>Expiré / remplacé</t>
        </is>
      </c>
      <c r="I4825" s="63" t="inlineStr">
        <is>
          <t>Fiche inactive — remplacée par RNCP42150 (Assistant réalisateur)</t>
        </is>
      </c>
      <c r="J4825" s="63" t="inlineStr">
        <is>
          <t>RNCP42150</t>
        </is>
      </c>
      <c r="K4825" s="63" t="inlineStr">
        <is>
          <t>Assistant réalisateur</t>
        </is>
      </c>
      <c r="L4825" s="63" t="inlineStr">
        <is>
          <t>19/07/2026</t>
        </is>
      </c>
      <c r="M4825" s="63" t="inlineStr">
        <is>
          <t>46274 (Cinéma) ; 46275 (Film documentaire) ; 46282 (Régie cinéma télévision) ; 46245 (Radio télévision)</t>
        </is>
      </c>
      <c r="N4825" s="68" t="inlineStr">
        <is>
          <t>NON</t>
        </is>
      </c>
      <c r="O4825" s="63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32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63" t="n"/>
      <c r="B4833" s="64" t="inlineStr">
        <is>
          <t>46264</t>
        </is>
      </c>
      <c r="C4833" s="64">
        <f>LEFT(Tableau1[[#This Row],[Formacode]],3)</f>
        <v/>
      </c>
      <c r="D4833" s="65" t="n">
        <v>37854</v>
      </c>
      <c r="E4833" s="66">
        <f>"RNCP"&amp;D4833</f>
        <v/>
      </c>
      <c r="F4833" s="66" t="inlineStr">
        <is>
          <t>Opérateur de prise de vue</t>
        </is>
      </c>
      <c r="G4833" s="67">
        <f>E4833&amp;" - "&amp;F4833</f>
        <v/>
      </c>
      <c r="H4833" s="38" t="inlineStr">
        <is>
          <t>Expiré / remplacé</t>
        </is>
      </c>
      <c r="I4833" s="63" t="inlineStr">
        <is>
          <t>Fiche inactive (échéance 19/07/2026) — aucun successeur publié</t>
        </is>
      </c>
      <c r="J4833" s="63" t="inlineStr">
        <is>
          <t>RNCP37854</t>
        </is>
      </c>
      <c r="K4833" s="63" t="inlineStr">
        <is>
          <t>Opérateur de prise de vue</t>
        </is>
      </c>
      <c r="L4833" s="63" t="inlineStr">
        <is>
          <t>19/07/2026</t>
        </is>
      </c>
      <c r="M4833" s="63" t="inlineStr">
        <is>
          <t>46281 (Prise de vue)</t>
        </is>
      </c>
      <c r="N4833" s="68" t="inlineStr">
        <is>
          <t>NON</t>
        </is>
      </c>
      <c r="O4833" s="63" t="inlineStr"/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80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108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63" t="n"/>
      <c r="B4844" s="64" t="inlineStr">
        <is>
          <t>46264</t>
        </is>
      </c>
      <c r="C4844" s="64">
        <f>LEFT(Tableau1[[#This Row],[Formacode]],3)</f>
        <v/>
      </c>
      <c r="D4844" s="65" t="n">
        <v>39392</v>
      </c>
      <c r="E4844" s="66">
        <f>"RNCP"&amp;D4844</f>
        <v/>
      </c>
      <c r="F4844" s="66" t="inlineStr">
        <is>
          <t>Assistant réalisateur</t>
        </is>
      </c>
      <c r="G4844" s="67">
        <f>E4844&amp;" - "&amp;F4844</f>
        <v/>
      </c>
      <c r="H4844" s="38" t="inlineStr">
        <is>
          <t>Expiré / remplacé</t>
        </is>
      </c>
      <c r="I4844" s="63" t="inlineStr">
        <is>
          <t>Fiche inactive — remplacée par RNCP42150 (Assistant réalisateur)</t>
        </is>
      </c>
      <c r="J4844" s="63" t="inlineStr">
        <is>
          <t>RNCP42150</t>
        </is>
      </c>
      <c r="K4844" s="63" t="inlineStr">
        <is>
          <t>Assistant réalisateur</t>
        </is>
      </c>
      <c r="L4844" s="63" t="inlineStr">
        <is>
          <t>19/07/2026</t>
        </is>
      </c>
      <c r="M4844" s="63" t="inlineStr">
        <is>
          <t>46274 (Cinéma) ; 46275 (Film documentaire) ; 46282 (Régie cinéma télévision) ; 46245 (Radio télévision)</t>
        </is>
      </c>
      <c r="N4844" s="68" t="inlineStr">
        <is>
          <t>NON</t>
        </is>
      </c>
      <c r="O4844" s="63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63" t="n"/>
      <c r="B4864" s="64" t="inlineStr">
        <is>
          <t>46274</t>
        </is>
      </c>
      <c r="C4864" s="64">
        <f>LEFT(Tableau1[[#This Row],[Formacode]],3)</f>
        <v/>
      </c>
      <c r="D4864" s="65" t="n">
        <v>39392</v>
      </c>
      <c r="E4864" s="66">
        <f>"RNCP"&amp;D4864</f>
        <v/>
      </c>
      <c r="F4864" s="66" t="inlineStr">
        <is>
          <t>Assistant réalisateur</t>
        </is>
      </c>
      <c r="G4864" s="67">
        <f>E4864&amp;" - "&amp;F4864</f>
        <v/>
      </c>
      <c r="H4864" s="38" t="inlineStr">
        <is>
          <t>Expiré / remplacé</t>
        </is>
      </c>
      <c r="I4864" s="63" t="inlineStr">
        <is>
          <t>Fiche inactive — remplacée par RNCP42150 (Assistant réalisateur)</t>
        </is>
      </c>
      <c r="J4864" s="63" t="inlineStr">
        <is>
          <t>RNCP42150</t>
        </is>
      </c>
      <c r="K4864" s="63" t="inlineStr">
        <is>
          <t>Assistant réalisateur</t>
        </is>
      </c>
      <c r="L4864" s="63" t="inlineStr">
        <is>
          <t>19/07/2026</t>
        </is>
      </c>
      <c r="M4864" s="63" t="inlineStr">
        <is>
          <t>46274 (Cinéma) ; 46275 (Film documentaire) ; 46282 (Régie cinéma télévision) ; 46245 (Radio télévision)</t>
        </is>
      </c>
      <c r="N4864" s="68" t="inlineStr">
        <is>
          <t>NON</t>
        </is>
      </c>
      <c r="O4864" s="63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77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63" t="n"/>
      <c r="B4880" s="64" t="inlineStr">
        <is>
          <t>46301</t>
        </is>
      </c>
      <c r="C4880" s="64">
        <f>LEFT(Tableau1[[#This Row],[Formacode]],3)</f>
        <v/>
      </c>
      <c r="D4880" s="65" t="n">
        <v>37775</v>
      </c>
      <c r="E4880" s="66">
        <f>"RNCP"&amp;D4880</f>
        <v/>
      </c>
      <c r="F4880" s="66" t="inlineStr">
        <is>
          <t>Manager de la communication de marque</t>
        </is>
      </c>
      <c r="G4880" s="67">
        <f>E4880&amp;" - "&amp;F4880</f>
        <v/>
      </c>
      <c r="H4880" s="38" t="inlineStr">
        <is>
          <t>Expiré / remplacé</t>
        </is>
      </c>
      <c r="I4880" s="63" t="inlineStr">
        <is>
          <t>Fiche inactive — remplacée par RNCP42485 (Manager de la communication de marque)</t>
        </is>
      </c>
      <c r="J4880" s="63" t="inlineStr">
        <is>
          <t>RNCP42485</t>
        </is>
      </c>
      <c r="K4880" s="63" t="inlineStr">
        <is>
          <t>Manager de la communication de marque</t>
        </is>
      </c>
      <c r="L4880" s="63" t="inlineStr">
        <is>
          <t>19/07/2026</t>
        </is>
      </c>
      <c r="M4880" s="63" t="inlineStr">
        <is>
          <t>34074 (Publicité) ; 46302 (Gestion entreprise communication information)</t>
        </is>
      </c>
      <c r="N4880" s="68" t="inlineStr">
        <is>
          <t>NON</t>
        </is>
      </c>
      <c r="O4880" s="63" t="inlineStr"/>
    </row>
    <row r="4881" customFormat="1" s="3">
      <c r="A4881" s="63" t="n"/>
      <c r="B4881" s="64" t="inlineStr">
        <is>
          <t>46301</t>
        </is>
      </c>
      <c r="C4881" s="64">
        <f>LEFT(Tableau1[[#This Row],[Formacode]],3)</f>
        <v/>
      </c>
      <c r="D4881" s="65" t="n">
        <v>37776</v>
      </c>
      <c r="E4881" s="66">
        <f>"RNCP"&amp;D4881</f>
        <v/>
      </c>
      <c r="F4881" s="66" t="inlineStr">
        <is>
          <t>Manager du contenu - content manager</t>
        </is>
      </c>
      <c r="G4881" s="67">
        <f>E4881&amp;" - "&amp;F4881</f>
        <v/>
      </c>
      <c r="H4881" s="38" t="inlineStr">
        <is>
          <t>Expiré / remplacé</t>
        </is>
      </c>
      <c r="I4881" s="63" t="inlineStr">
        <is>
          <t>Fiche inactive — remplacée par RNCP41795 (Manager du contenu - Content manager)</t>
        </is>
      </c>
      <c r="J4881" s="63" t="inlineStr">
        <is>
          <t>RNCP41795</t>
        </is>
      </c>
      <c r="K4881" s="63" t="inlineStr">
        <is>
          <t>Manager du contenu - Content manager</t>
        </is>
      </c>
      <c r="L4881" s="63" t="inlineStr">
        <is>
          <t>19/07/2026</t>
        </is>
      </c>
      <c r="M4881" s="63" t="inlineStr">
        <is>
          <t>46301 (Communication entreprise) ; 46347 (Stratégie communication numérique)</t>
        </is>
      </c>
      <c r="N4881" s="68" t="inlineStr">
        <is>
          <t>NON</t>
        </is>
      </c>
      <c r="O4881" s="63" t="inlineStr"/>
    </row>
    <row r="4882" customFormat="1" s="3">
      <c r="A4882" s="63" t="n"/>
      <c r="B4882" s="64" t="inlineStr">
        <is>
          <t>46301</t>
        </is>
      </c>
      <c r="C4882" s="64">
        <f>LEFT(Tableau1[[#This Row],[Formacode]],3)</f>
        <v/>
      </c>
      <c r="D4882" s="65" t="n">
        <v>37777</v>
      </c>
      <c r="E4882" s="66">
        <f>"RNCP"&amp;D4882</f>
        <v/>
      </c>
      <c r="F4882" s="66" t="inlineStr">
        <is>
          <t>Responsable de communication</t>
        </is>
      </c>
      <c r="G4882" s="67">
        <f>E4882&amp;" - "&amp;F4882</f>
        <v/>
      </c>
      <c r="H4882" s="38" t="inlineStr">
        <is>
          <t>Expiré / remplacé</t>
        </is>
      </c>
      <c r="I4882" s="63" t="inlineStr">
        <is>
          <t>Fiche inactive (échéance 19/07/2026) — aucun successeur publié</t>
        </is>
      </c>
      <c r="J4882" s="63" t="inlineStr">
        <is>
          <t>RNCP37777</t>
        </is>
      </c>
      <c r="K4882" s="63" t="inlineStr">
        <is>
          <t>Responsable de communication</t>
        </is>
      </c>
      <c r="L4882" s="63" t="inlineStr">
        <is>
          <t>19/07/2026</t>
        </is>
      </c>
      <c r="M4882" s="63" t="inlineStr">
        <is>
          <t>46341 (Communication externe) ; 46311 (Communication interne) ; 46347 (Stratégie communication numérique) ; 46340 (Communication événementielle)</t>
        </is>
      </c>
      <c r="N4882" s="68" t="inlineStr">
        <is>
          <t>NON</t>
        </is>
      </c>
      <c r="O4882" s="63" t="inlineStr"/>
    </row>
    <row r="4883" customFormat="1" s="3">
      <c r="A4883" s="63" t="n"/>
      <c r="B4883" s="64" t="inlineStr">
        <is>
          <t>46301</t>
        </is>
      </c>
      <c r="C4883" s="64">
        <f>LEFT(Tableau1[[#This Row],[Formacode]],3)</f>
        <v/>
      </c>
      <c r="D4883" s="65" t="n">
        <v>37786</v>
      </c>
      <c r="E4883" s="66">
        <f>"RNCP"&amp;D4883</f>
        <v/>
      </c>
      <c r="F4883" s="66" t="inlineStr">
        <is>
          <t>Chargé de marketing et communication</t>
        </is>
      </c>
      <c r="G4883" s="67">
        <f>E4883&amp;" - "&amp;F4883</f>
        <v/>
      </c>
      <c r="H4883" s="38" t="inlineStr">
        <is>
          <t>Expiré / remplacé</t>
        </is>
      </c>
      <c r="I4883" s="63" t="inlineStr">
        <is>
          <t>Fiche inactive — remplacée par RNCP41736 (Chargé de marketing et communication)</t>
        </is>
      </c>
      <c r="J4883" s="63" t="inlineStr">
        <is>
          <t>RNCP41736</t>
        </is>
      </c>
      <c r="K4883" s="63" t="inlineStr">
        <is>
          <t>Chargé de marketing et communication</t>
        </is>
      </c>
      <c r="L4883" s="63" t="inlineStr">
        <is>
          <t>19/07/2026</t>
        </is>
      </c>
      <c r="M4883" s="63" t="inlineStr">
        <is>
          <t>34093 (Marketing digital) ; 46301 (Communication entreprise) ; 34085 (Stratégie commerciale) ; 32135 (Conduite projet)</t>
        </is>
      </c>
      <c r="N4883" s="68" t="inlineStr">
        <is>
          <t>NON</t>
        </is>
      </c>
      <c r="O4883" s="63" t="inlineStr"/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80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45" t="n"/>
      <c r="B4886" s="46" t="inlineStr">
        <is>
          <t>46301</t>
        </is>
      </c>
      <c r="C4886" s="46">
        <f>LEFT(Tableau1[[#This Row],[Formacode]],3)</f>
        <v/>
      </c>
      <c r="D4886" s="47" t="n">
        <v>38605</v>
      </c>
      <c r="E4886" s="48">
        <f>"RNCP"&amp;D4886</f>
        <v/>
      </c>
      <c r="F4886" s="48" t="inlineStr">
        <is>
          <t>Responsable de projet marketing communication</t>
        </is>
      </c>
      <c r="G4886" s="49">
        <f>E4886&amp;" - "&amp;F4886</f>
        <v/>
      </c>
      <c r="H4886" s="36" t="inlineStr">
        <is>
          <t>RAS</t>
        </is>
      </c>
      <c r="I4886" s="45" t="inlineStr"/>
      <c r="J4886" s="45" t="inlineStr">
        <is>
          <t>RNCP38605</t>
        </is>
      </c>
      <c r="K4886" s="45" t="inlineStr">
        <is>
          <t>Responsable de projet marketing communication</t>
        </is>
      </c>
      <c r="L4886" s="45" t="inlineStr">
        <is>
          <t>09/02/2027</t>
        </is>
      </c>
      <c r="M4886" s="45" t="inlineStr">
        <is>
          <t>34093 (Marketing digital) ; 46301 (Communication entreprise)</t>
        </is>
      </c>
      <c r="N4886" s="50" t="inlineStr">
        <is>
          <t>NON</t>
        </is>
      </c>
      <c r="O4886" s="45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32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68" t="inlineStr">
        <is>
          <t>NON</t>
        </is>
      </c>
      <c r="O4936" s="63" t="inlineStr"/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47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77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51" t="n"/>
      <c r="B4939" s="52" t="inlineStr">
        <is>
          <t>46329</t>
        </is>
      </c>
      <c r="C4939" s="52">
        <f>LEFT(Tableau1[[#This Row],[Formacode]],3)</f>
        <v/>
      </c>
      <c r="D4939" s="53" t="n">
        <v>36119</v>
      </c>
      <c r="E4939" s="54">
        <f>"RNCP"&amp;D4939</f>
        <v/>
      </c>
      <c r="F4939" s="54" t="inlineStr">
        <is>
          <t>Manager du marketing et de la transformation digitale</t>
        </is>
      </c>
      <c r="G4939" s="55">
        <f>E4939&amp;" - "&amp;F4939</f>
        <v/>
      </c>
      <c r="H4939" s="37" t="inlineStr">
        <is>
          <t>À vérifier</t>
        </is>
      </c>
      <c r="I4939" s="51" t="inlineStr">
        <is>
          <t>Échéance le 26/01/2027 (dans 180 j)</t>
        </is>
      </c>
      <c r="J4939" s="51" t="inlineStr">
        <is>
          <t>RNCP36119</t>
        </is>
      </c>
      <c r="K4939" s="51" t="inlineStr">
        <is>
          <t>Manager du marketing et de la transformation digitale</t>
        </is>
      </c>
      <c r="L4939" s="51" t="inlineStr">
        <is>
          <t>26/01/2027</t>
        </is>
      </c>
      <c r="M4939" s="51" t="inlineStr">
        <is>
          <t>34530 (E-commerce) ; 46347 (Stratégie communication numérique) ; 34093 (Marketing digital)</t>
        </is>
      </c>
      <c r="N4939" s="56" t="inlineStr">
        <is>
          <t>OUI</t>
        </is>
      </c>
      <c r="O4939" s="41" t="inlineStr">
        <is>
          <t>Changement de statut : RAS → À vérifier</t>
        </is>
      </c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63" t="n"/>
      <c r="B4946" s="64" t="inlineStr">
        <is>
          <t>46329</t>
        </is>
      </c>
      <c r="C4946" s="64">
        <f>LEFT(Tableau1[[#This Row],[Formacode]],3)</f>
        <v/>
      </c>
      <c r="D4946" s="65" t="n">
        <v>37776</v>
      </c>
      <c r="E4946" s="66">
        <f>"RNCP"&amp;D4946</f>
        <v/>
      </c>
      <c r="F4946" s="66" t="inlineStr">
        <is>
          <t>Manager du contenu - content manager</t>
        </is>
      </c>
      <c r="G4946" s="67">
        <f>E4946&amp;" - "&amp;F4946</f>
        <v/>
      </c>
      <c r="H4946" s="38" t="inlineStr">
        <is>
          <t>Expiré / remplacé</t>
        </is>
      </c>
      <c r="I4946" s="63" t="inlineStr">
        <is>
          <t>Fiche inactive — remplacée par RNCP41795 (Manager du contenu - Content manager)</t>
        </is>
      </c>
      <c r="J4946" s="63" t="inlineStr">
        <is>
          <t>RNCP41795</t>
        </is>
      </c>
      <c r="K4946" s="63" t="inlineStr">
        <is>
          <t>Manager du contenu - Content manager</t>
        </is>
      </c>
      <c r="L4946" s="63" t="inlineStr">
        <is>
          <t>19/07/2026</t>
        </is>
      </c>
      <c r="M4946" s="63" t="inlineStr">
        <is>
          <t>46301 (Communication entreprise) ; 46347 (Stratégie communication numérique)</t>
        </is>
      </c>
      <c r="N4946" s="68" t="inlineStr">
        <is>
          <t>NON</t>
        </is>
      </c>
      <c r="O4946" s="63" t="inlineStr"/>
    </row>
    <row r="4947" customFormat="1" s="3">
      <c r="A4947" s="63" t="n"/>
      <c r="B4947" s="64" t="inlineStr">
        <is>
          <t>46329</t>
        </is>
      </c>
      <c r="C4947" s="64">
        <f>LEFT(Tableau1[[#This Row],[Formacode]],3)</f>
        <v/>
      </c>
      <c r="D4947" s="65" t="n">
        <v>37777</v>
      </c>
      <c r="E4947" s="66">
        <f>"RNCP"&amp;D4947</f>
        <v/>
      </c>
      <c r="F4947" s="66" t="inlineStr">
        <is>
          <t>Responsable de communication</t>
        </is>
      </c>
      <c r="G4947" s="67">
        <f>E4947&amp;" - "&amp;F4947</f>
        <v/>
      </c>
      <c r="H4947" s="38" t="inlineStr">
        <is>
          <t>Expiré / remplacé</t>
        </is>
      </c>
      <c r="I4947" s="63" t="inlineStr">
        <is>
          <t>Fiche inactive (échéance 19/07/2026) — aucun successeur publié</t>
        </is>
      </c>
      <c r="J4947" s="63" t="inlineStr">
        <is>
          <t>RNCP37777</t>
        </is>
      </c>
      <c r="K4947" s="63" t="inlineStr">
        <is>
          <t>Responsable de communication</t>
        </is>
      </c>
      <c r="L4947" s="63" t="inlineStr">
        <is>
          <t>19/07/2026</t>
        </is>
      </c>
      <c r="M4947" s="63" t="inlineStr">
        <is>
          <t>46341 (Communication externe) ; 46311 (Communication interne) ; 46347 (Stratégie communication numérique) ; 46340 (Communication événementielle)</t>
        </is>
      </c>
      <c r="N4947" s="68" t="inlineStr">
        <is>
          <t>NON</t>
        </is>
      </c>
      <c r="O4947" s="63" t="inlineStr"/>
    </row>
    <row r="4948" customFormat="1" s="3">
      <c r="A4948" s="63" t="n"/>
      <c r="B4948" s="64" t="inlineStr">
        <is>
          <t>46329</t>
        </is>
      </c>
      <c r="C4948" s="64">
        <f>LEFT(Tableau1[[#This Row],[Formacode]],3)</f>
        <v/>
      </c>
      <c r="D4948" s="65" t="n">
        <v>37793</v>
      </c>
      <c r="E4948" s="66">
        <f>"RNCP"&amp;D4948</f>
        <v/>
      </c>
      <c r="F4948" s="66" t="inlineStr">
        <is>
          <t>Manager de la stratégie digitale</t>
        </is>
      </c>
      <c r="G4948" s="67">
        <f>E4948&amp;" - "&amp;F4948</f>
        <v/>
      </c>
      <c r="H4948" s="38" t="inlineStr">
        <is>
          <t>Expiré / remplacé</t>
        </is>
      </c>
      <c r="I4948" s="63" t="inlineStr">
        <is>
          <t>Fiche inactive — remplacée par RNCP42488 (Manager de la stratégie digitale)</t>
        </is>
      </c>
      <c r="J4948" s="63" t="inlineStr">
        <is>
          <t>RNCP42488</t>
        </is>
      </c>
      <c r="K4948" s="63" t="inlineStr">
        <is>
          <t>Manager de la stratégie digitale</t>
        </is>
      </c>
      <c r="L4948" s="63" t="inlineStr">
        <is>
          <t>19/07/2026</t>
        </is>
      </c>
      <c r="M4948" s="63" t="inlineStr">
        <is>
          <t>34093 (Marketing digital) ; 32066 (Transition numérique) ; 46347 (Stratégie communication numérique) ; 34057 (Marketing stratégique)</t>
        </is>
      </c>
      <c r="N4948" s="68" t="inlineStr">
        <is>
          <t>NON</t>
        </is>
      </c>
      <c r="O4948" s="63" t="inlineStr"/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52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80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108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45" t="n"/>
      <c r="B4953" s="46" t="inlineStr">
        <is>
          <t>46329</t>
        </is>
      </c>
      <c r="C4953" s="46">
        <f>LEFT(Tableau1[[#This Row],[Formacode]],3)</f>
        <v/>
      </c>
      <c r="D4953" s="47" t="n">
        <v>38586</v>
      </c>
      <c r="E4953" s="48">
        <f>"RNCP"&amp;D4953</f>
        <v/>
      </c>
      <c r="F4953" s="48" t="inlineStr">
        <is>
          <t>Manager de la stratégie marketing</t>
        </is>
      </c>
      <c r="G4953" s="49">
        <f>E4953&amp;" - "&amp;F4953</f>
        <v/>
      </c>
      <c r="H4953" s="36" t="inlineStr">
        <is>
          <t>RAS</t>
        </is>
      </c>
      <c r="I4953" s="45" t="inlineStr"/>
      <c r="J4953" s="45" t="inlineStr">
        <is>
          <t>RNCP38586</t>
        </is>
      </c>
      <c r="K4953" s="45" t="inlineStr">
        <is>
          <t>Manager de la stratégie marketing</t>
        </is>
      </c>
      <c r="L4953" s="45" t="inlineStr">
        <is>
          <t>09/02/2027</t>
        </is>
      </c>
      <c r="M4953" s="45" t="inlineStr">
        <is>
          <t>34093 (Marketing digital) ; 34057 (Marketing stratégique) ; 46359 (Réseau social)</t>
        </is>
      </c>
      <c r="N4953" s="50" t="inlineStr">
        <is>
          <t>NON</t>
        </is>
      </c>
      <c r="O4953" s="45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47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63" t="n"/>
      <c r="B4977" s="64" t="inlineStr">
        <is>
          <t>46339</t>
        </is>
      </c>
      <c r="C4977" s="64">
        <f>LEFT(Tableau1[[#This Row],[Formacode]],3)</f>
        <v/>
      </c>
      <c r="D4977" s="65" t="n">
        <v>37793</v>
      </c>
      <c r="E4977" s="66">
        <f>"RNCP"&amp;D4977</f>
        <v/>
      </c>
      <c r="F4977" s="66" t="inlineStr">
        <is>
          <t>Manager de la stratégie digitale</t>
        </is>
      </c>
      <c r="G4977" s="67">
        <f>E4977&amp;" - "&amp;F4977</f>
        <v/>
      </c>
      <c r="H4977" s="38" t="inlineStr">
        <is>
          <t>Expiré / remplacé</t>
        </is>
      </c>
      <c r="I4977" s="63" t="inlineStr">
        <is>
          <t>Fiche inactive — remplacée par RNCP42488 (Manager de la stratégie digitale)</t>
        </is>
      </c>
      <c r="J4977" s="63" t="inlineStr">
        <is>
          <t>RNCP42488</t>
        </is>
      </c>
      <c r="K4977" s="63" t="inlineStr">
        <is>
          <t>Manager de la stratégie digitale</t>
        </is>
      </c>
      <c r="L4977" s="63" t="inlineStr">
        <is>
          <t>19/07/2026</t>
        </is>
      </c>
      <c r="M4977" s="63" t="inlineStr">
        <is>
          <t>34093 (Marketing digital) ; 32066 (Transition numérique) ; 46347 (Stratégie communication numérique) ; 34057 (Marketing stratégique)</t>
        </is>
      </c>
      <c r="N4977" s="68" t="inlineStr">
        <is>
          <t>NON</t>
        </is>
      </c>
      <c r="O4977" s="63" t="inlineStr"/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52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48" t="inlineStr">
        <is>
          <t>RNCP37239</t>
        </is>
      </c>
      <c r="B13" s="48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48" t="inlineStr">
        <is>
          <t>RNCP37239</t>
        </is>
      </c>
      <c r="B3" s="48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48" t="inlineStr">
        <is>
          <t>RNCP36968</t>
        </is>
      </c>
      <c r="B7" s="48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48" t="inlineStr">
        <is>
          <t>RNCP37378</t>
        </is>
      </c>
      <c r="B8" s="48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48" t="inlineStr">
        <is>
          <t>RNCP36777</t>
        </is>
      </c>
      <c r="B4" s="48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2026-07-30T07:07:38Z</dcterms:modified>
  <cp:lastModifiedBy>Ruxana Hussain</cp:lastModifiedBy>
  <cp:revision>1</cp:revision>
  <cp:lastPrinted>2026-03-20T15:45:49Z</cp:lastPrinted>
</cp:coreProperties>
</file>